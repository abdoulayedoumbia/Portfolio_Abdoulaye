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CISSE GSM\Documents\"/>
    </mc:Choice>
  </mc:AlternateContent>
  <xr:revisionPtr revIDLastSave="0" documentId="13_ncr:1000001_{73872B18-7780-4848-A237-CBDCDDA6277A}" xr6:coauthVersionLast="47" xr6:coauthVersionMax="47" xr10:uidLastSave="{00000000-0000-0000-0000-000000000000}"/>
  <bookViews>
    <workbookView xWindow="0" yWindow="0" windowWidth="20490" windowHeight="8925" xr2:uid="{00000000-000D-0000-FFFF-FFFF00000000}"/>
  </bookViews>
  <sheets>
    <sheet name="📊 Recherche" sheetId="3" r:id="rId1"/>
    <sheet name="📑 Operations" sheetId="2" r:id="rId2"/>
    <sheet name="👥️️ Clients" sheetId="1" r:id="rId3"/>
    <sheet name="📈  Système des opérations " sheetId="5" r:id="rId4"/>
    <sheet name="👤Guide d'utilisation " sheetId="7" r:id="rId5"/>
  </sheets>
  <definedNames>
    <definedName name="_xlnm._FilterDatabase" localSheetId="3" hidden="1">'📈  Système des opérations '!$A$2:$C$2</definedName>
  </definedNames>
  <calcPr calcId="191028"/>
  <pivotCaches>
    <pivotCache cacheId="0" r:id="rId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6" i="2" l="1"/>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H29" i="2"/>
  <c r="H30" i="2"/>
  <c r="H31" i="2"/>
  <c r="H32" i="2"/>
  <c r="H33" i="2"/>
  <c r="H34" i="2"/>
  <c r="H35" i="2"/>
  <c r="I29" i="2"/>
  <c r="I30" i="2"/>
  <c r="I31" i="2"/>
  <c r="I32" i="2"/>
  <c r="I33" i="2"/>
  <c r="I34" i="2"/>
  <c r="I35" i="2"/>
  <c r="J29" i="2"/>
  <c r="J30" i="2"/>
  <c r="J31" i="2"/>
  <c r="J32" i="2"/>
  <c r="J33" i="2"/>
  <c r="J34" i="2"/>
  <c r="J35" i="2"/>
  <c r="H23" i="2"/>
  <c r="H24" i="2"/>
  <c r="H25" i="2"/>
  <c r="H26" i="2"/>
  <c r="H27" i="2"/>
  <c r="H28" i="2"/>
  <c r="I23" i="2"/>
  <c r="I24" i="2"/>
  <c r="I25" i="2"/>
  <c r="I26" i="2"/>
  <c r="I27" i="2"/>
  <c r="I28" i="2"/>
  <c r="J23" i="2"/>
  <c r="J24" i="2"/>
  <c r="J25" i="2"/>
  <c r="J26" i="2"/>
  <c r="J27" i="2"/>
  <c r="J28" i="2"/>
  <c r="H21" i="2"/>
  <c r="H22" i="2"/>
  <c r="I21" i="2"/>
  <c r="I22" i="2"/>
  <c r="J21" i="2"/>
  <c r="J22" i="2"/>
  <c r="H2" i="2"/>
  <c r="I2" i="2"/>
  <c r="H3" i="2"/>
  <c r="I3" i="2"/>
  <c r="H4" i="2"/>
  <c r="I4" i="2"/>
  <c r="H5" i="2"/>
  <c r="I5" i="2"/>
  <c r="H6" i="2"/>
  <c r="I6" i="2"/>
  <c r="H7" i="2"/>
  <c r="I7" i="2"/>
  <c r="H8" i="2"/>
  <c r="I8" i="2"/>
  <c r="H9" i="2"/>
  <c r="I9" i="2"/>
  <c r="H10" i="2"/>
  <c r="I10" i="2"/>
  <c r="H11" i="2"/>
  <c r="I11" i="2"/>
  <c r="H12" i="2"/>
  <c r="I12" i="2"/>
  <c r="H13" i="2"/>
  <c r="I13" i="2"/>
  <c r="H14" i="2"/>
  <c r="I14" i="2"/>
  <c r="H15" i="2"/>
  <c r="I15" i="2"/>
  <c r="H16" i="2"/>
  <c r="I16" i="2"/>
  <c r="H17" i="2"/>
  <c r="I17" i="2"/>
  <c r="H18" i="2"/>
  <c r="J18" i="2"/>
  <c r="H19" i="2"/>
  <c r="I19" i="2"/>
  <c r="H20" i="2"/>
  <c r="I20" i="2"/>
  <c r="B48" i="5"/>
  <c r="B49" i="5"/>
  <c r="C48" i="5"/>
  <c r="C49" i="5"/>
  <c r="B44" i="5"/>
  <c r="B45" i="5"/>
  <c r="B46" i="5"/>
  <c r="B47" i="5"/>
  <c r="C44" i="5"/>
  <c r="C45" i="5"/>
  <c r="D45" i="5"/>
  <c r="C46" i="5"/>
  <c r="D46" i="5"/>
  <c r="C47" i="5"/>
  <c r="B36" i="5"/>
  <c r="B37" i="5"/>
  <c r="B38" i="5"/>
  <c r="B39" i="5"/>
  <c r="B40" i="5"/>
  <c r="B41" i="5"/>
  <c r="B42" i="5"/>
  <c r="B43" i="5"/>
  <c r="C36" i="5"/>
  <c r="D36" i="5"/>
  <c r="C37" i="5"/>
  <c r="D37" i="5"/>
  <c r="C38" i="5"/>
  <c r="D38" i="5"/>
  <c r="C39" i="5"/>
  <c r="D39" i="5"/>
  <c r="C40" i="5"/>
  <c r="D40" i="5"/>
  <c r="C41" i="5"/>
  <c r="D41" i="5"/>
  <c r="C42" i="5"/>
  <c r="D42" i="5"/>
  <c r="C43" i="5"/>
  <c r="B31" i="5"/>
  <c r="B32" i="5"/>
  <c r="B33" i="5"/>
  <c r="B34" i="5"/>
  <c r="B35" i="5"/>
  <c r="C31" i="5"/>
  <c r="C32" i="5"/>
  <c r="C33" i="5"/>
  <c r="C34" i="5"/>
  <c r="C35" i="5"/>
  <c r="C4" i="3"/>
  <c r="C5" i="3"/>
  <c r="J4" i="2"/>
  <c r="J8" i="2"/>
  <c r="J10" i="2"/>
  <c r="B27" i="5"/>
  <c r="B28" i="5"/>
  <c r="B29" i="5"/>
  <c r="B30" i="5"/>
  <c r="C27" i="5"/>
  <c r="D27" i="5"/>
  <c r="C28" i="5"/>
  <c r="D28" i="5"/>
  <c r="C29" i="5"/>
  <c r="D29" i="5"/>
  <c r="C30" i="5"/>
  <c r="D30" i="5"/>
  <c r="B16" i="5"/>
  <c r="B17" i="5"/>
  <c r="B18" i="5"/>
  <c r="B19" i="5"/>
  <c r="B20" i="5"/>
  <c r="B21" i="5"/>
  <c r="B22" i="5"/>
  <c r="B23" i="5"/>
  <c r="B24" i="5"/>
  <c r="B25" i="5"/>
  <c r="B26" i="5"/>
  <c r="C16" i="5"/>
  <c r="C17" i="5"/>
  <c r="C18" i="5"/>
  <c r="C19" i="5"/>
  <c r="C20" i="5"/>
  <c r="C21" i="5"/>
  <c r="C22" i="5"/>
  <c r="C23" i="5"/>
  <c r="C24" i="5"/>
  <c r="C25" i="5"/>
  <c r="C26" i="5"/>
  <c r="C3" i="5"/>
  <c r="B3" i="5"/>
  <c r="C4" i="5"/>
  <c r="B4" i="5"/>
  <c r="C5" i="5"/>
  <c r="B5" i="5"/>
  <c r="C6" i="5"/>
  <c r="B6" i="5"/>
  <c r="C7" i="5"/>
  <c r="B7" i="5"/>
  <c r="C8" i="5"/>
  <c r="B8" i="5"/>
  <c r="C9" i="5"/>
  <c r="C11" i="5"/>
  <c r="B11" i="5"/>
  <c r="C12" i="5"/>
  <c r="B12" i="5"/>
  <c r="C13" i="5"/>
  <c r="B13" i="5"/>
  <c r="C15" i="5"/>
  <c r="B15" i="5"/>
  <c r="D5" i="5"/>
  <c r="J12" i="2"/>
  <c r="J16" i="2"/>
  <c r="B14" i="5"/>
  <c r="B10" i="5"/>
  <c r="D17" i="5"/>
  <c r="D21" i="5"/>
  <c r="B11" i="3"/>
  <c r="J14" i="2"/>
  <c r="C11" i="3"/>
  <c r="D25" i="5"/>
  <c r="C14" i="5"/>
  <c r="D14" i="5"/>
  <c r="C10" i="5"/>
  <c r="D10" i="5"/>
  <c r="D35" i="5"/>
  <c r="D31" i="5"/>
  <c r="D48" i="5"/>
  <c r="J6" i="2"/>
  <c r="J20" i="2"/>
  <c r="J17" i="2"/>
  <c r="J2" i="2"/>
  <c r="D24" i="5"/>
  <c r="D20" i="5"/>
  <c r="D44" i="5"/>
  <c r="D19" i="5"/>
  <c r="D23" i="5"/>
  <c r="D7" i="5"/>
  <c r="D13" i="5"/>
  <c r="D11" i="5"/>
  <c r="D26" i="5"/>
  <c r="D18" i="5"/>
  <c r="D32" i="5"/>
  <c r="I18" i="2"/>
  <c r="D6" i="5"/>
  <c r="D22" i="5"/>
  <c r="B12" i="3"/>
  <c r="D3" i="5"/>
  <c r="D33" i="5"/>
  <c r="C6" i="3"/>
  <c r="B7" i="3"/>
  <c r="D47" i="5"/>
  <c r="D49" i="5"/>
  <c r="D12" i="5"/>
  <c r="D8" i="5"/>
  <c r="D4" i="5"/>
  <c r="D16" i="5"/>
  <c r="D43" i="5"/>
  <c r="D15" i="5"/>
  <c r="D34" i="5"/>
  <c r="J13" i="2"/>
  <c r="J9" i="2"/>
  <c r="J5" i="2"/>
  <c r="H200" i="2"/>
  <c r="B9" i="5"/>
  <c r="D9" i="5"/>
  <c r="J19" i="2"/>
  <c r="J15" i="2"/>
  <c r="J11" i="2"/>
  <c r="J7" i="2"/>
  <c r="J3" i="2"/>
</calcChain>
</file>

<file path=xl/sharedStrings.xml><?xml version="1.0" encoding="utf-8"?>
<sst xmlns="http://schemas.openxmlformats.org/spreadsheetml/2006/main" count="151" uniqueCount="108">
  <si>
    <t>Nom du client</t>
  </si>
  <si>
    <t>Date</t>
  </si>
  <si>
    <t>Désignation</t>
  </si>
  <si>
    <t>Type</t>
  </si>
  <si>
    <t>Montant total</t>
  </si>
  <si>
    <t>Montant payé</t>
  </si>
  <si>
    <t>Payé partiel</t>
  </si>
  <si>
    <t>Reste</t>
  </si>
  <si>
    <t>Total Créances</t>
  </si>
  <si>
    <t>Total Dettes</t>
  </si>
  <si>
    <t>Solde (Créances - Dettes)</t>
  </si>
  <si>
    <t xml:space="preserve">Dettes actuelle </t>
  </si>
  <si>
    <t>créances actuelle</t>
  </si>
  <si>
    <t xml:space="preserve">Tableau de Bord </t>
  </si>
  <si>
    <t>Nbre de jours</t>
  </si>
  <si>
    <t>Créance</t>
  </si>
  <si>
    <t xml:space="preserve">États </t>
  </si>
  <si>
    <t xml:space="preserve">Dates </t>
  </si>
  <si>
    <t xml:space="preserve">Écart </t>
  </si>
  <si>
    <t>Total de Créance</t>
  </si>
  <si>
    <t xml:space="preserve">Total de Dettes </t>
  </si>
  <si>
    <t xml:space="preserve">Synthèse des Opérations </t>
  </si>
  <si>
    <t>Oumar</t>
  </si>
  <si>
    <t>Dette</t>
  </si>
  <si>
    <t>ÉTAPE 1 : PRISE EN MAIN &amp; ARCHITECTURE</t>
  </si>
  <si>
    <t>ÉTAPE 2 : SAISIE QUOTIDIENNE DES OPÉRATIONS</t>
  </si>
  <si>
    <t>ÉTAPE 3 : RECHERCHE &amp; PILOTAGE CLIENT</t>
  </si>
  <si>
    <t>ÉTAPE 4 : ANALYSE GLOBALE &amp; TABLEAU DE BORD</t>
  </si>
  <si>
    <t>ÉTAPE 5 : MAINTENANCE &amp; BONNES PRATIQUES</t>
  </si>
  <si>
    <t>[COLONNE A - NOMS] Cliquez sur la cellule et utilisez la liste déroulante pour sélectionner le client (nom identique à la feuille source).</t>
  </si>
  <si>
    <t>[MÉTHODE DE RECHERCHE] Allez sur la feuille 'Recherche', sélectionnez un nom dans la liste déroulante. Le tableau s'actualise seul.</t>
  </si>
  <si>
    <t>[KPI DETTES &amp; CRÉANCES] Affiche le cumul total de l'argent que vous devez (Dettes) et de votre argent dehors (Créances).</t>
  </si>
  <si>
    <t>[FEUILLE CLIENTS] Contient la liste unique de tous vos partenaires. C'est la base de données source obligatoire du fichier.</t>
  </si>
  <si>
    <t>[COLONNE B &amp; C] Saisissez la date du jour (JJ/MM/AAAA) et notez la désignation claire de la marchandise ou du service.</t>
  </si>
  <si>
    <t>[COMPTEUR CRÉANCES &amp; DETTES] Affiche la somme cumulée de tout ce que ce client précis vous doit, et ce que vous lui devez.</t>
  </si>
  <si>
    <t>[SOLDE GLOBAL] Indicateur net de la situation. Permet d'évaluer instantanément l'état de votre trésorerie globale engagée.</t>
  </si>
  <si>
    <t>[FEUILLE OPÉRATIONS] Le journal de bord quotidien où sont enregistrés toutes les ventes, tous les achats, les avances et les règlements.</t>
  </si>
  <si>
    <t>[COLONNE D - TYPE] Sélectionnez obligatoirement 'Créance' (le client vous doit) ou 'Dette' (vous devez au client / avance reçue).</t>
  </si>
  <si>
    <t>[COMPTEUR SOLDE NET] Résultat mathématique brut faisant la différence exacte entre vos créances et vos dettes pour ce client.</t>
  </si>
  <si>
    <t>[GRAPHIQUE DYNAMIQUE] Le camembert montre la proportion visuelle entre l'argent bloqué dehors (Créances) et vos dettes actuelles.</t>
  </si>
  <si>
    <t>[SUPPRESSION D'OPÉRATIONS] Pour nettoyer le compte d'un client, la suppression des lignes doit impérativement se faire manuellement.</t>
  </si>
  <si>
    <t>[FEUILLE RECHERCHE] Espace isolé permettant d'analyser la fiche financière complète d'un seul client en un coup d'œil.</t>
  </si>
  <si>
    <t>[MESSAGE ALERTE 1] 'Le client vous doit X CFA' : s'affiche si le solde est positif. Vous devez récupérer cet argent.</t>
  </si>
  <si>
    <t>[TABLEAU TOP 5] Classe automatiquement les 5 clients ayant les encours les plus élevés pour cibler et prioriser vos relances.</t>
  </si>
  <si>
    <t>[PROCÉDURE SUPPRESSION] 1. Onglet 'Opérations' -&gt; 2. Filtrez sur le client -&gt; 3. Sélectionnez ses lignes -&gt; 4. Clic droit 'Supprimer les lignes'.</t>
  </si>
  <si>
    <t>[FEUILLE TABLEAU DE BORD] Synthèse visuelle automatique affichant la santé financière globale de l'entreprise et le Top 5 des encours.</t>
  </si>
  <si>
    <t>[TOTAL TOP 5] Mesure le niveau de risque financier concentré uniquement sur vos 5 plus gros comptes de l'activité.</t>
  </si>
  <si>
    <t>📱 Spécifications de l'Outil</t>
  </si>
  <si>
    <r>
      <t>Application support</t>
    </r>
    <r>
      <rPr>
        <sz val="12"/>
        <color theme="1"/>
        <rFont val="Roboto"/>
        <family val="18"/>
      </rPr>
      <t xml:space="preserve"> : Microsoft Excel (Mobile &amp; PC)</t>
    </r>
  </si>
  <si>
    <r>
      <t>Automatisation</t>
    </r>
    <r>
      <rPr>
        <sz val="12"/>
        <color theme="1"/>
        <rFont val="Roboto"/>
        <family val="18"/>
      </rPr>
      <t xml:space="preserve"> : Tableaux dynamiques et indicateurs visuels intégrés</t>
    </r>
  </si>
  <si>
    <t>👤 Informations Administratives</t>
  </si>
  <si>
    <r>
      <t>Projet</t>
    </r>
    <r>
      <rPr>
        <sz val="12"/>
        <color theme="1"/>
        <rFont val="Roboto"/>
        <family val="18"/>
      </rPr>
      <t xml:space="preserve"> : Outil d'Aide à la Décision Commerciale et Financière</t>
    </r>
  </si>
  <si>
    <t>Public cible : Commerçants, Boutiques.</t>
  </si>
  <si>
    <t xml:space="preserve">Concepteur : Doumbia Abdoulaye </t>
  </si>
  <si>
    <t>Version du fichier : v1.0 (Juillet 2026)</t>
  </si>
  <si>
    <t>[PRÉSENTATION] Ce système simplifie le suivi de votre trésorerie (créances clients et dettes clients) en éliminant les calculs manuels.</t>
  </si>
  <si>
    <t>[COLONNES G, H, I (AUTO)] [NE PAS TOUCHER] Formules automatiques calculant le reste à payer, l'état (Urgents (Montants &gt;= 5000)) et le nombre de jours.</t>
  </si>
  <si>
    <t>[MESSAGE ALERTE 2] 'Vous devez X CFA au client' : s'affiche si le solde est négatif (cas d'une avance reçue ou Dettes Clients).</t>
  </si>
  <si>
    <t>[SAUVEGARDE &amp; DIAGNOSTIC] Activez la sauvegarde cloud ou automatique. Si un calcul fausse, vérifiez les fautes d'orthographe ou les textes saisis sur les formules.</t>
  </si>
  <si>
    <t>Un outil évolutif pour votre croissance</t>
  </si>
  <si>
    <t>L'efficacité de cette application repose entièrement sur la régularité et la rigueur de ses utilisateurs. Un fichier Excel bien tenu est le meilleur conseiller financier d'une entreprise. Prenez soin de vos données, elles prendront soin de votre trésorerie !</t>
  </si>
  <si>
    <t xml:space="preserve"> Perspectives d'évolutions futures (Version 2.0)</t>
  </si>
  <si>
    <t xml:space="preserve"> La discipline fait la précision</t>
  </si>
  <si>
    <t>Le projet prévoit d'évoluer à une application mobile offrir une solution encore plus pratique, accessible et adaptée sur le terrain pour les commerçants.</t>
  </si>
  <si>
    <t>[COLONNE F - PAIEMENTS PARTIELS] La colonne 'Paiements partiels' sert à noter les paiements partiels accompagner toujours avec un signe moins (-) .</t>
  </si>
  <si>
    <t>[COLONNE E - MONTANT] Saisissez le 'Montant' total brut initial de l'opération commerciale.</t>
  </si>
  <si>
    <t xml:space="preserve">GUIDE D'UTILISATION </t>
  </si>
  <si>
    <t>[ACTUALISATION TOP 5] IMPORTANT : Le Top 5 est un tableau croisé. Il ne s'actualise pas tout seul lors de vos saisies quotidiennes.</t>
  </si>
  <si>
    <t>[ACTION DE MISE À JOUR] Cas Mobile, Sur la feuille 'Recherche, Sélectionnez un client sur le tableau croisé, puis cliquez sur ' Icône Actualiser'.</t>
  </si>
  <si>
    <t>Dashboard CreaDette</t>
  </si>
  <si>
    <t>Ce système de gestion ne se contente pas de stocker des chiffres. En centralisant vos flux financiers dans cet outil, vous passez d'une gestion visuelle approximative à un pilotage commercial stratégique. Vous disposez désormais d'une base solide pour anticiper les manques de liquidités et assainir vos relations avec vos partenaires d'affaires.</t>
  </si>
  <si>
    <t>Total général</t>
  </si>
  <si>
    <t>Noms des clients                               .</t>
  </si>
  <si>
    <t>Montants                                                    .</t>
  </si>
  <si>
    <t xml:space="preserve">5 premières clients par créances les plus élevés </t>
  </si>
  <si>
    <t>Yacou</t>
  </si>
  <si>
    <t xml:space="preserve">Noms </t>
  </si>
  <si>
    <t>Salima</t>
  </si>
  <si>
    <t>Thé 100f, sucre 400f, eau 50f</t>
  </si>
  <si>
    <t>Farine 600f, levure 200f</t>
  </si>
  <si>
    <t xml:space="preserve">Aminata </t>
  </si>
  <si>
    <t xml:space="preserve">lait Mixiwell gros 1500f, </t>
  </si>
  <si>
    <t>Issa</t>
  </si>
  <si>
    <t>sacs de riz 21000f</t>
  </si>
  <si>
    <t>bonne-rouge 350f, vinto 500f</t>
  </si>
  <si>
    <t>Fatim</t>
  </si>
  <si>
    <t>Mayonnaise 2250f</t>
  </si>
  <si>
    <t>Huile 20 litre 24000f</t>
  </si>
  <si>
    <t>Salif</t>
  </si>
  <si>
    <t>Lipton paquet 1250</t>
  </si>
  <si>
    <t>Corned-beef 500f, huile 150</t>
  </si>
  <si>
    <t>Chaka</t>
  </si>
  <si>
    <t>bouble seven 500f, malta 500f, jus pp 300f</t>
  </si>
  <si>
    <t>Zeïna</t>
  </si>
  <si>
    <t>Biscuit Perkt cartons 17500f</t>
  </si>
  <si>
    <t>Malik</t>
  </si>
  <si>
    <t>Gaz buttane 750f</t>
  </si>
  <si>
    <t>Diago 500f</t>
  </si>
  <si>
    <t xml:space="preserve">Rokia </t>
  </si>
  <si>
    <t>Huile 05 litre 7500f</t>
  </si>
  <si>
    <t>spaghetti cartons 9000f</t>
  </si>
  <si>
    <t>Kassim</t>
  </si>
  <si>
    <t>Couscous 1250f</t>
  </si>
  <si>
    <t>Madiou</t>
  </si>
  <si>
    <t>beurre 1500f</t>
  </si>
  <si>
    <t>Citron boîte 2250</t>
  </si>
  <si>
    <t xml:space="preserve">Toumani </t>
  </si>
  <si>
    <t>bicarbonate 7500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</si>
</sst>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CFA-340C]"/>
  </numFmts>
  <fonts count="22" x14ac:knownFonts="1">
    <font>
      <sz val="11"/>
      <color theme="1"/>
      <name val="Calibri"/>
      <family val="2"/>
      <scheme val="minor"/>
    </font>
    <font>
      <b/>
      <sz val="11"/>
      <name val="Calibri"/>
    </font>
    <font>
      <b/>
      <sz val="11"/>
      <color theme="1"/>
      <name val="Calibri"/>
      <family val="2"/>
      <scheme val="minor"/>
    </font>
    <font>
      <b/>
      <sz val="11"/>
      <color theme="0"/>
      <name val="Calibri"/>
    </font>
    <font>
      <sz val="11"/>
      <color rgb="FFC00000"/>
      <name val="Calibri"/>
      <family val="2"/>
      <scheme val="minor"/>
    </font>
    <font>
      <b/>
      <sz val="11"/>
      <color theme="0"/>
      <name val="Calibri"/>
      <family val="2"/>
      <scheme val="minor"/>
    </font>
    <font>
      <b/>
      <sz val="11"/>
      <color rgb="FFFF0000"/>
      <name val="Calibri"/>
      <family val="2"/>
      <scheme val="minor"/>
    </font>
    <font>
      <b/>
      <sz val="14"/>
      <color theme="0"/>
      <name val="Calibri"/>
      <family val="2"/>
      <scheme val="minor"/>
    </font>
    <font>
      <b/>
      <sz val="14"/>
      <color theme="0"/>
      <name val="Calibri"/>
    </font>
    <font>
      <b/>
      <sz val="11"/>
      <name val="Calibri"/>
      <family val="2"/>
      <scheme val="minor"/>
    </font>
    <font>
      <b/>
      <sz val="12"/>
      <color theme="1"/>
      <name val="Roboto"/>
      <family val="18"/>
    </font>
    <font>
      <sz val="12"/>
      <color theme="1"/>
      <name val="Roboto"/>
      <family val="18"/>
    </font>
    <font>
      <b/>
      <sz val="15"/>
      <color theme="7" tint="-0.249977111117893"/>
      <name val="Roboto"/>
      <family val="18"/>
    </font>
    <font>
      <b/>
      <u/>
      <sz val="14"/>
      <color theme="0"/>
      <name val="Calibri"/>
      <family val="2"/>
      <scheme val="minor"/>
    </font>
    <font>
      <b/>
      <u/>
      <sz val="14"/>
      <color theme="5" tint="-0.249977111117893"/>
      <name val="Calibri"/>
      <family val="2"/>
      <scheme val="minor"/>
    </font>
    <font>
      <b/>
      <sz val="26"/>
      <color theme="0"/>
      <name val="Calibri"/>
      <family val="2"/>
      <scheme val="minor"/>
    </font>
    <font>
      <b/>
      <sz val="14"/>
      <color theme="0"/>
      <name val="Cambria"/>
      <family val="18"/>
      <scheme val="major"/>
    </font>
    <font>
      <sz val="12"/>
      <name val="Roboto"/>
    </font>
    <font>
      <sz val="12"/>
      <color theme="1"/>
      <name val="Roboto"/>
    </font>
    <font>
      <i/>
      <sz val="11"/>
      <color theme="1"/>
      <name val="Calibri"/>
      <family val="2"/>
      <scheme val="minor"/>
    </font>
    <font>
      <sz val="11"/>
      <color rgb="FFFF0000"/>
      <name val="Calibri"/>
      <family val="2"/>
      <scheme val="minor"/>
    </font>
    <font>
      <b/>
      <sz val="11"/>
      <color theme="1"/>
      <name val="Calibri"/>
      <scheme val="minor"/>
    </font>
  </fonts>
  <fills count="14">
    <fill>
      <patternFill patternType="none"/>
    </fill>
    <fill>
      <patternFill patternType="gray125"/>
    </fill>
    <fill>
      <patternFill patternType="solid">
        <fgColor rgb="FFE2EFDA"/>
        <bgColor rgb="FFE2EFDA"/>
      </patternFill>
    </fill>
    <fill>
      <patternFill patternType="solid">
        <fgColor theme="9"/>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5" tint="0.59999389629810485"/>
        <bgColor indexed="64"/>
      </patternFill>
    </fill>
    <fill>
      <patternFill patternType="solid">
        <fgColor theme="3"/>
        <bgColor indexed="64"/>
      </patternFill>
    </fill>
    <fill>
      <patternFill patternType="solid">
        <fgColor theme="2"/>
        <bgColor indexed="64"/>
      </patternFill>
    </fill>
    <fill>
      <patternFill patternType="solid">
        <fgColor theme="9" tint="0.59999389629810485"/>
        <bgColor indexed="64"/>
      </patternFill>
    </fill>
    <fill>
      <patternFill patternType="solid">
        <fgColor theme="3" tint="0.79998168889431442"/>
        <bgColor indexed="64"/>
      </patternFill>
    </fill>
    <fill>
      <patternFill patternType="solid">
        <fgColor rgb="FFFFFF00"/>
        <bgColor indexed="64"/>
      </patternFill>
    </fill>
    <fill>
      <patternFill patternType="solid">
        <fgColor theme="9" tint="-0.499984740745262"/>
        <bgColor indexed="64"/>
      </patternFill>
    </fill>
  </fills>
  <borders count="25">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rgb="FF505050"/>
      </left>
      <right style="thin">
        <color rgb="FF505050"/>
      </right>
      <top style="thin">
        <color rgb="FF505050"/>
      </top>
      <bottom style="thin">
        <color rgb="FF505050"/>
      </bottom>
      <diagonal/>
    </border>
    <border>
      <left style="thin">
        <color rgb="FF505050"/>
      </left>
      <right style="thin">
        <color rgb="FF505050"/>
      </right>
      <top/>
      <bottom style="thin">
        <color rgb="FF505050"/>
      </bottom>
      <diagonal/>
    </border>
    <border>
      <left style="thin">
        <color rgb="FF505050"/>
      </left>
      <right style="thin">
        <color rgb="FF505050"/>
      </right>
      <top style="thin">
        <color rgb="FF505050"/>
      </top>
      <bottom/>
      <diagonal/>
    </border>
    <border>
      <left style="thin">
        <color rgb="FF505050"/>
      </left>
      <right style="thin">
        <color rgb="FF505050"/>
      </right>
      <top/>
      <bottom/>
      <diagonal/>
    </border>
    <border>
      <left/>
      <right style="thin">
        <color rgb="FF505050"/>
      </right>
      <top style="thin">
        <color rgb="FF505050"/>
      </top>
      <bottom/>
      <diagonal/>
    </border>
    <border>
      <left/>
      <right style="thin">
        <color rgb="FF505050"/>
      </right>
      <top/>
      <bottom/>
      <diagonal/>
    </border>
    <border>
      <left style="thin">
        <color rgb="FF505050"/>
      </left>
      <right/>
      <top style="thin">
        <color rgb="FF505050"/>
      </top>
      <bottom style="thin">
        <color rgb="FF505050"/>
      </bottom>
      <diagonal/>
    </border>
    <border>
      <left/>
      <right style="thin">
        <color rgb="FF505050"/>
      </right>
      <top style="thin">
        <color rgb="FF505050"/>
      </top>
      <bottom style="thin">
        <color rgb="FF505050"/>
      </bottom>
      <diagonal/>
    </border>
    <border>
      <left style="thin">
        <color rgb="FF505050"/>
      </left>
      <right/>
      <top/>
      <bottom/>
      <diagonal/>
    </border>
    <border>
      <left style="thin">
        <color auto="1"/>
      </left>
      <right/>
      <top style="thin">
        <color auto="1"/>
      </top>
      <bottom/>
      <diagonal/>
    </border>
    <border>
      <left style="thin">
        <color rgb="FF505050"/>
      </left>
      <right/>
      <top style="thin">
        <color rgb="FF505050"/>
      </top>
      <bottom/>
      <diagonal/>
    </border>
    <border>
      <left/>
      <right style="thin">
        <color auto="1"/>
      </right>
      <top/>
      <bottom/>
      <diagonal/>
    </border>
    <border>
      <left style="thin">
        <color auto="1"/>
      </left>
      <right style="thin">
        <color auto="1"/>
      </right>
      <top/>
      <bottom/>
      <diagonal/>
    </border>
    <border>
      <left/>
      <right/>
      <top style="thin">
        <color rgb="FF505050"/>
      </top>
      <bottom style="thin">
        <color rgb="FF505050"/>
      </bottom>
      <diagonal/>
    </border>
    <border>
      <left/>
      <right/>
      <top/>
      <bottom style="thin">
        <color rgb="FF505050"/>
      </bottom>
      <diagonal/>
    </border>
    <border>
      <left/>
      <right/>
      <top style="thin">
        <color rgb="FF505050"/>
      </top>
      <bottom/>
      <diagonal/>
    </border>
  </borders>
  <cellStyleXfs count="1">
    <xf numFmtId="0" fontId="0" fillId="0" borderId="0"/>
  </cellStyleXfs>
  <cellXfs count="79">
    <xf numFmtId="0" fontId="0" fillId="0" borderId="0" xfId="0"/>
    <xf numFmtId="0" fontId="2" fillId="4" borderId="10" xfId="0" applyFont="1" applyFill="1" applyBorder="1" applyAlignment="1">
      <alignment horizontal="center"/>
    </xf>
    <xf numFmtId="0" fontId="3" fillId="8" borderId="0" xfId="0" applyFont="1" applyFill="1"/>
    <xf numFmtId="0" fontId="1" fillId="5" borderId="11" xfId="0" applyFont="1" applyFill="1" applyBorder="1"/>
    <xf numFmtId="0" fontId="1" fillId="6" borderId="12" xfId="0" applyFont="1" applyFill="1" applyBorder="1"/>
    <xf numFmtId="0" fontId="3" fillId="8" borderId="4" xfId="0" applyFont="1" applyFill="1" applyBorder="1" applyAlignment="1">
      <alignment horizontal="center" wrapText="1"/>
    </xf>
    <xf numFmtId="0" fontId="3" fillId="8" borderId="5" xfId="0" applyFont="1" applyFill="1" applyBorder="1" applyAlignment="1">
      <alignment horizontal="center" wrapText="1"/>
    </xf>
    <xf numFmtId="0" fontId="3" fillId="8" borderId="6" xfId="0" applyFont="1" applyFill="1" applyBorder="1" applyAlignment="1">
      <alignment horizontal="center" wrapText="1"/>
    </xf>
    <xf numFmtId="1" fontId="5" fillId="8" borderId="1" xfId="0" applyNumberFormat="1" applyFont="1" applyFill="1" applyBorder="1" applyAlignment="1">
      <alignment wrapText="1"/>
    </xf>
    <xf numFmtId="0" fontId="0" fillId="0" borderId="9" xfId="0" applyBorder="1"/>
    <xf numFmtId="0" fontId="1" fillId="7" borderId="17" xfId="0" applyFont="1" applyFill="1" applyBorder="1"/>
    <xf numFmtId="0" fontId="0" fillId="0" borderId="0" xfId="0" applyFill="1"/>
    <xf numFmtId="1" fontId="6" fillId="10" borderId="1" xfId="0" applyNumberFormat="1" applyFont="1" applyFill="1" applyBorder="1" applyAlignment="1">
      <alignment wrapText="1"/>
    </xf>
    <xf numFmtId="1" fontId="6" fillId="10" borderId="8" xfId="0" applyNumberFormat="1" applyFont="1" applyFill="1" applyBorder="1" applyAlignment="1">
      <alignment wrapText="1"/>
    </xf>
    <xf numFmtId="0" fontId="0" fillId="0" borderId="0" xfId="0" applyAlignment="1">
      <alignment wrapText="1"/>
    </xf>
    <xf numFmtId="14" fontId="0" fillId="0" borderId="0" xfId="0" applyNumberFormat="1"/>
    <xf numFmtId="14" fontId="3" fillId="8" borderId="5" xfId="0" applyNumberFormat="1" applyFont="1" applyFill="1" applyBorder="1" applyAlignment="1">
      <alignment horizontal="center" wrapText="1"/>
    </xf>
    <xf numFmtId="0" fontId="2" fillId="0" borderId="0" xfId="0" applyFont="1"/>
    <xf numFmtId="14" fontId="2" fillId="0" borderId="9" xfId="0" applyNumberFormat="1" applyFont="1" applyBorder="1"/>
    <xf numFmtId="14" fontId="2" fillId="11" borderId="10" xfId="0" applyNumberFormat="1" applyFont="1" applyFill="1" applyBorder="1"/>
    <xf numFmtId="0" fontId="2" fillId="11" borderId="10" xfId="0" applyFont="1" applyFill="1" applyBorder="1"/>
    <xf numFmtId="0" fontId="0" fillId="0" borderId="0" xfId="0" applyBorder="1"/>
    <xf numFmtId="0" fontId="10" fillId="0" borderId="0" xfId="0" applyFont="1" applyAlignment="1">
      <alignment wrapText="1"/>
    </xf>
    <xf numFmtId="0" fontId="11" fillId="0" borderId="0" xfId="0" applyFont="1" applyBorder="1" applyAlignment="1">
      <alignment wrapText="1"/>
    </xf>
    <xf numFmtId="0" fontId="12" fillId="0" borderId="0" xfId="0" applyFont="1" applyBorder="1" applyAlignment="1">
      <alignment wrapText="1"/>
    </xf>
    <xf numFmtId="0" fontId="13" fillId="8" borderId="0" xfId="0" applyFont="1" applyFill="1"/>
    <xf numFmtId="0" fontId="14" fillId="0" borderId="0" xfId="0" applyFont="1"/>
    <xf numFmtId="0" fontId="15" fillId="8" borderId="0" xfId="0" applyFont="1" applyFill="1" applyAlignment="1">
      <alignment horizontal="center" vertical="center"/>
    </xf>
    <xf numFmtId="0" fontId="17" fillId="0" borderId="0" xfId="0" applyFont="1" applyBorder="1" applyAlignment="1">
      <alignment wrapText="1"/>
    </xf>
    <xf numFmtId="0" fontId="18" fillId="0" borderId="0" xfId="0" applyFont="1" applyBorder="1" applyAlignment="1">
      <alignment wrapText="1"/>
    </xf>
    <xf numFmtId="0" fontId="0" fillId="0" borderId="1" xfId="0" pivotButton="1" applyBorder="1"/>
    <xf numFmtId="0" fontId="0" fillId="0" borderId="1" xfId="0" applyBorder="1"/>
    <xf numFmtId="0" fontId="0" fillId="0" borderId="1" xfId="0" applyBorder="1" applyAlignment="1">
      <alignment horizontal="left"/>
    </xf>
    <xf numFmtId="0" fontId="19" fillId="9" borderId="0" xfId="0" applyFont="1" applyFill="1"/>
    <xf numFmtId="0" fontId="4" fillId="0" borderId="1" xfId="0" applyFont="1" applyBorder="1" applyAlignment="1">
      <alignment horizontal="left"/>
    </xf>
    <xf numFmtId="164" fontId="0" fillId="0" borderId="9" xfId="0" applyNumberFormat="1" applyBorder="1"/>
    <xf numFmtId="164" fontId="0" fillId="0" borderId="15" xfId="0" applyNumberFormat="1" applyBorder="1"/>
    <xf numFmtId="164" fontId="0" fillId="0" borderId="11" xfId="0" applyNumberFormat="1" applyBorder="1"/>
    <xf numFmtId="164" fontId="0" fillId="0" borderId="19" xfId="0" applyNumberFormat="1" applyBorder="1"/>
    <xf numFmtId="164" fontId="0" fillId="9" borderId="9" xfId="0" applyNumberFormat="1" applyFill="1" applyBorder="1"/>
    <xf numFmtId="164" fontId="0" fillId="9" borderId="11" xfId="0" applyNumberFormat="1" applyFill="1" applyBorder="1"/>
    <xf numFmtId="0" fontId="2" fillId="0" borderId="20" xfId="0" applyFont="1" applyBorder="1" applyAlignment="1">
      <alignment wrapText="1"/>
    </xf>
    <xf numFmtId="0" fontId="2" fillId="0" borderId="5" xfId="0" applyFont="1" applyBorder="1" applyAlignment="1">
      <alignment wrapText="1"/>
    </xf>
    <xf numFmtId="1" fontId="2" fillId="10" borderId="3" xfId="0" applyNumberFormat="1" applyFont="1" applyFill="1" applyBorder="1" applyAlignment="1">
      <alignment wrapText="1"/>
    </xf>
    <xf numFmtId="0" fontId="0" fillId="0" borderId="22" xfId="0" applyBorder="1"/>
    <xf numFmtId="20" fontId="8" fillId="8" borderId="23" xfId="0" applyNumberFormat="1" applyFont="1" applyFill="1" applyBorder="1"/>
    <xf numFmtId="0" fontId="0" fillId="0" borderId="24" xfId="0" applyBorder="1"/>
    <xf numFmtId="0" fontId="2" fillId="0" borderId="2" xfId="0" applyFont="1" applyBorder="1" applyAlignment="1">
      <alignment wrapText="1"/>
    </xf>
    <xf numFmtId="14" fontId="2" fillId="0" borderId="1" xfId="0" applyNumberFormat="1" applyFont="1" applyBorder="1" applyAlignment="1">
      <alignment wrapText="1"/>
    </xf>
    <xf numFmtId="0" fontId="2" fillId="0" borderId="1" xfId="0" applyFont="1" applyBorder="1" applyAlignment="1">
      <alignment wrapText="1"/>
    </xf>
    <xf numFmtId="1" fontId="6" fillId="10" borderId="1" xfId="0" applyNumberFormat="1" applyFont="1" applyFill="1" applyBorder="1" applyAlignment="1">
      <alignment wrapText="1"/>
    </xf>
    <xf numFmtId="0" fontId="2" fillId="0" borderId="7" xfId="0" applyFont="1" applyBorder="1" applyAlignment="1">
      <alignment wrapText="1"/>
    </xf>
    <xf numFmtId="14" fontId="2" fillId="0" borderId="8" xfId="0" applyNumberFormat="1" applyFont="1" applyBorder="1" applyAlignment="1">
      <alignment wrapText="1"/>
    </xf>
    <xf numFmtId="0" fontId="2" fillId="0" borderId="8" xfId="0" applyFont="1" applyBorder="1" applyAlignment="1">
      <alignment wrapText="1"/>
    </xf>
    <xf numFmtId="1" fontId="6" fillId="10" borderId="8" xfId="0" applyNumberFormat="1" applyFont="1" applyFill="1" applyBorder="1" applyAlignment="1">
      <alignment wrapText="1"/>
    </xf>
    <xf numFmtId="14" fontId="2" fillId="0" borderId="21" xfId="0" applyNumberFormat="1" applyFont="1" applyBorder="1" applyAlignment="1">
      <alignment wrapText="1"/>
    </xf>
    <xf numFmtId="1" fontId="2" fillId="0" borderId="1" xfId="0" applyNumberFormat="1" applyFont="1" applyBorder="1" applyAlignment="1">
      <alignment wrapText="1"/>
    </xf>
    <xf numFmtId="1" fontId="2" fillId="10" borderId="3" xfId="0" applyNumberFormat="1" applyFont="1" applyFill="1" applyBorder="1" applyAlignment="1">
      <alignment wrapText="1"/>
    </xf>
    <xf numFmtId="1" fontId="2" fillId="10" borderId="18" xfId="0" applyNumberFormat="1" applyFont="1" applyFill="1" applyBorder="1" applyAlignment="1">
      <alignment wrapText="1"/>
    </xf>
    <xf numFmtId="164" fontId="2" fillId="0" borderId="1" xfId="0" applyNumberFormat="1" applyFont="1" applyBorder="1" applyAlignment="1">
      <alignment wrapText="1"/>
    </xf>
    <xf numFmtId="164" fontId="2" fillId="10" borderId="3" xfId="0" applyNumberFormat="1" applyFont="1" applyFill="1" applyBorder="1" applyAlignment="1">
      <alignment wrapText="1"/>
    </xf>
    <xf numFmtId="164" fontId="2" fillId="0" borderId="8" xfId="0" applyNumberFormat="1" applyFont="1" applyBorder="1" applyAlignment="1">
      <alignment wrapText="1"/>
    </xf>
    <xf numFmtId="164" fontId="0" fillId="2" borderId="13" xfId="0" applyNumberFormat="1" applyFill="1" applyBorder="1"/>
    <xf numFmtId="164" fontId="0" fillId="2" borderId="14" xfId="0" applyNumberFormat="1" applyFill="1" applyBorder="1"/>
    <xf numFmtId="164" fontId="4" fillId="2" borderId="11" xfId="0" applyNumberFormat="1" applyFont="1" applyFill="1" applyBorder="1"/>
    <xf numFmtId="164" fontId="2" fillId="0" borderId="11" xfId="0" applyNumberFormat="1" applyFont="1" applyBorder="1" applyAlignment="1">
      <alignment horizontal="center"/>
    </xf>
    <xf numFmtId="164" fontId="2" fillId="0" borderId="11" xfId="0" applyNumberFormat="1" applyFont="1" applyFill="1" applyBorder="1" applyAlignment="1">
      <alignment horizontal="center"/>
    </xf>
    <xf numFmtId="164" fontId="0" fillId="0" borderId="1" xfId="0" applyNumberFormat="1" applyBorder="1"/>
    <xf numFmtId="164" fontId="20" fillId="0" borderId="1" xfId="0" applyNumberFormat="1" applyFont="1" applyBorder="1"/>
    <xf numFmtId="1" fontId="21" fillId="10" borderId="3" xfId="0" applyNumberFormat="1" applyFont="1" applyFill="1" applyBorder="1" applyAlignment="1">
      <alignment wrapText="1"/>
    </xf>
    <xf numFmtId="1" fontId="21" fillId="10" borderId="18" xfId="0" applyNumberFormat="1" applyFont="1" applyFill="1" applyBorder="1" applyAlignment="1">
      <alignment wrapText="1"/>
    </xf>
    <xf numFmtId="0" fontId="2" fillId="3" borderId="9" xfId="0" applyFont="1" applyFill="1" applyBorder="1" applyAlignment="1">
      <alignment horizontal="center"/>
    </xf>
    <xf numFmtId="0" fontId="16" fillId="13" borderId="0" xfId="0" applyFont="1" applyFill="1" applyAlignment="1">
      <alignment horizontal="center"/>
    </xf>
    <xf numFmtId="0" fontId="6" fillId="0" borderId="15" xfId="0" applyFont="1" applyBorder="1" applyAlignment="1">
      <alignment horizontal="center"/>
    </xf>
    <xf numFmtId="0" fontId="6" fillId="0" borderId="16" xfId="0" applyFont="1" applyBorder="1" applyAlignment="1">
      <alignment horizontal="center"/>
    </xf>
    <xf numFmtId="0" fontId="5" fillId="8" borderId="15" xfId="0" applyNumberFormat="1" applyFont="1" applyFill="1" applyBorder="1" applyAlignment="1">
      <alignment horizontal="center"/>
    </xf>
    <xf numFmtId="0" fontId="5" fillId="8" borderId="16" xfId="0" applyNumberFormat="1" applyFont="1" applyFill="1" applyBorder="1" applyAlignment="1">
      <alignment horizontal="center"/>
    </xf>
    <xf numFmtId="0" fontId="9" fillId="12" borderId="0" xfId="0" applyFont="1" applyFill="1" applyAlignment="1">
      <alignment horizontal="center"/>
    </xf>
    <xf numFmtId="14" fontId="7" fillId="8" borderId="9" xfId="0" applyNumberFormat="1" applyFont="1" applyFill="1" applyBorder="1" applyAlignment="1">
      <alignment horizontal="center"/>
    </xf>
  </cellXfs>
  <cellStyles count="1">
    <cellStyle name="Normal" xfId="0" builtinId="0"/>
  </cellStyles>
  <dxfs count="53">
    <dxf>
      <font>
        <color rgb="FFFF0000"/>
      </font>
    </dxf>
    <dxf>
      <numFmt numFmtId="164" formatCode="#,##0\ [$CFA-340C]"/>
      <border>
        <left style="thin">
          <color rgb="FF505050"/>
        </left>
        <right/>
        <top style="thin">
          <color rgb="FF505050"/>
        </top>
        <bottom style="thin">
          <color rgb="FF505050"/>
        </bottom>
        <vertical style="thin">
          <color rgb="FF505050"/>
        </vertical>
        <horizontal style="thin">
          <color rgb="FF505050"/>
        </horizontal>
      </border>
    </dxf>
    <dxf>
      <numFmt numFmtId="164" formatCode="#,##0\ [$CFA-340C]"/>
      <fill>
        <patternFill patternType="solid">
          <fgColor indexed="64"/>
          <bgColor theme="2"/>
        </patternFill>
      </fill>
      <border diagonalUp="0" diagonalDown="0">
        <left style="thin">
          <color rgb="FF505050"/>
        </left>
        <right style="thin">
          <color rgb="FF505050"/>
        </right>
        <top style="thin">
          <color rgb="FF505050"/>
        </top>
        <bottom style="thin">
          <color rgb="FF505050"/>
        </bottom>
        <vertical style="thin">
          <color rgb="FF505050"/>
        </vertical>
        <horizontal style="thin">
          <color rgb="FF505050"/>
        </horizontal>
      </border>
    </dxf>
    <dxf>
      <numFmt numFmtId="164" formatCode="#,##0\ [$CFA-340C]"/>
      <border diagonalUp="0" diagonalDown="0">
        <left style="thin">
          <color rgb="FF505050"/>
        </left>
        <right style="thin">
          <color rgb="FF505050"/>
        </right>
        <top style="thin">
          <color rgb="FF505050"/>
        </top>
        <bottom style="thin">
          <color rgb="FF505050"/>
        </bottom>
        <vertical style="thin">
          <color rgb="FF505050"/>
        </vertical>
        <horizontal style="thin">
          <color rgb="FF505050"/>
        </horizontal>
      </border>
    </dxf>
    <dxf>
      <font>
        <b/>
        <i val="0"/>
        <strike val="0"/>
        <condense val="0"/>
        <extend val="0"/>
        <outline val="0"/>
        <shadow val="0"/>
        <u val="none"/>
        <vertAlign val="baseline"/>
        <sz val="11"/>
        <color theme="1"/>
        <name val="Calibri"/>
        <scheme val="minor"/>
      </font>
      <numFmt numFmtId="19" formatCode="dd/mm/yyyy"/>
      <border diagonalUp="0" diagonalDown="0">
        <left/>
        <right style="thin">
          <color rgb="FF505050"/>
        </right>
        <top style="thin">
          <color rgb="FF505050"/>
        </top>
        <bottom style="thin">
          <color rgb="FF505050"/>
        </bottom>
        <vertical style="thin">
          <color rgb="FF505050"/>
        </vertical>
        <horizontal style="thin">
          <color rgb="FF505050"/>
        </horizontal>
      </border>
    </dxf>
    <dxf>
      <border>
        <top style="thin">
          <color rgb="FF505050"/>
        </top>
      </border>
    </dxf>
    <dxf>
      <border>
        <left style="thin">
          <color rgb="FF505050"/>
        </left>
        <right style="thin">
          <color rgb="FF505050"/>
        </right>
        <top style="thin">
          <color rgb="FF505050"/>
        </top>
        <bottom style="thin">
          <color rgb="FF505050"/>
        </bottom>
      </border>
    </dxf>
    <dxf>
      <border>
        <bottom style="thin">
          <color rgb="FF505050"/>
        </bottom>
      </border>
    </dxf>
    <dxf>
      <font>
        <b/>
      </font>
      <fill>
        <patternFill patternType="solid">
          <fgColor indexed="64"/>
          <bgColor theme="3" tint="0.79998168889431442"/>
        </patternFill>
      </fill>
      <border>
        <left style="thin">
          <color rgb="FF505050"/>
        </left>
        <right style="thin">
          <color rgb="FF505050"/>
        </right>
        <top/>
        <bottom/>
        <vertical style="thin">
          <color rgb="FF505050"/>
        </vertical>
        <horizontal style="thin">
          <color rgb="FF505050"/>
        </horizontal>
      </border>
    </dxf>
    <dxf>
      <border diagonalUp="0" diagonalDown="0">
        <left/>
        <right/>
        <top style="thin">
          <color rgb="FF505050"/>
        </top>
        <bottom style="thin">
          <color rgb="FF505050"/>
        </bottom>
        <vertical/>
        <horizontal/>
      </border>
    </dxf>
    <dxf>
      <border outline="0">
        <top style="thin">
          <color rgb="FF505050"/>
        </top>
      </border>
    </dxf>
    <dxf>
      <border outline="0">
        <left style="thin">
          <color rgb="FF505050"/>
        </left>
        <right style="thin">
          <color rgb="FF505050"/>
        </right>
        <top style="thin">
          <color rgb="FF505050"/>
        </top>
        <bottom style="thin">
          <color rgb="FF505050"/>
        </bottom>
      </border>
    </dxf>
    <dxf>
      <border outline="0">
        <bottom style="thin">
          <color rgb="FF505050"/>
        </bottom>
      </border>
    </dxf>
    <dxf>
      <font>
        <b/>
        <i val="0"/>
        <strike val="0"/>
        <condense val="0"/>
        <extend val="0"/>
        <outline val="0"/>
        <shadow val="0"/>
        <u val="none"/>
        <vertAlign val="baseline"/>
        <sz val="14"/>
        <color theme="0"/>
        <name val="Calibri"/>
        <scheme val="none"/>
      </font>
      <numFmt numFmtId="25" formatCode="hh:mm"/>
      <fill>
        <patternFill patternType="solid">
          <fgColor indexed="64"/>
          <bgColor theme="3"/>
        </patternFill>
      </fill>
    </dxf>
    <dxf>
      <font>
        <b/>
        <i val="0"/>
        <strike val="0"/>
        <condense val="0"/>
        <extend val="0"/>
        <outline val="0"/>
        <shadow val="0"/>
        <u val="none"/>
        <vertAlign val="baseline"/>
        <sz val="11"/>
        <color rgb="FFFF0000"/>
        <name val="Calibri"/>
        <family val="2"/>
        <scheme val="minor"/>
      </font>
      <numFmt numFmtId="1" formatCode="0"/>
      <fill>
        <patternFill patternType="solid">
          <fgColor indexed="64"/>
          <bgColor theme="9" tint="0.59999389629810485"/>
        </patternFill>
      </fill>
      <alignment horizontal="general" vertical="bottom" textRotation="0" wrapText="1" indent="0" justifyLastLine="0" shrinkToFit="0" readingOrder="0"/>
      <border diagonalUp="0" diagonalDown="0" outline="0">
        <left style="thin">
          <color auto="1"/>
        </left>
        <right style="thin">
          <color auto="1"/>
        </right>
        <top style="thin">
          <color auto="1"/>
        </top>
        <bottom/>
      </border>
    </dxf>
    <dxf>
      <font>
        <b/>
        <color rgb="FFFF0000"/>
      </font>
      <numFmt numFmtId="1" formatCode="0"/>
      <fill>
        <patternFill patternType="solid">
          <fgColor indexed="64"/>
          <bgColor theme="9" tint="0.59999389629810485"/>
        </patternFill>
      </fill>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11"/>
        <color theme="1"/>
        <name val="Calibri"/>
        <family val="2"/>
        <scheme val="minor"/>
      </font>
      <numFmt numFmtId="1" formatCode="0"/>
      <fill>
        <patternFill patternType="solid">
          <fgColor indexed="64"/>
          <bgColor theme="9" tint="0.59999389629810485"/>
        </patternFill>
      </fill>
      <alignment horizontal="general" vertical="bottom" textRotation="0" wrapText="1" indent="0" justifyLastLine="0" shrinkToFit="0" readingOrder="0"/>
      <border diagonalUp="0" diagonalDown="0" outline="0">
        <left style="thin">
          <color auto="1"/>
        </left>
        <right/>
        <top style="thin">
          <color auto="1"/>
        </top>
        <bottom/>
      </border>
    </dxf>
    <dxf>
      <font>
        <b/>
        <i val="0"/>
        <strike val="0"/>
        <condense val="0"/>
        <extend val="0"/>
        <outline val="0"/>
        <shadow val="0"/>
        <u val="none"/>
        <vertAlign val="baseline"/>
        <sz val="11"/>
        <color theme="1"/>
        <name val="Calibri"/>
        <scheme val="minor"/>
      </font>
      <numFmt numFmtId="1" formatCode="0"/>
      <fill>
        <patternFill patternType="solid">
          <fgColor indexed="64"/>
          <bgColor theme="9" tint="0.59999389629810485"/>
        </patternFill>
      </fill>
      <alignment horizontal="general" vertical="bottom" textRotation="0" wrapText="1" indent="0" justifyLastLine="0" shrinkToFit="0" readingOrder="0"/>
      <border diagonalUp="0" diagonalDown="0">
        <left style="thin">
          <color auto="1"/>
        </left>
        <right/>
        <top style="thin">
          <color auto="1"/>
        </top>
        <bottom style="thin">
          <color auto="1"/>
        </bottom>
        <vertical/>
        <horizontal/>
      </border>
    </dxf>
    <dxf>
      <font>
        <b/>
        <i val="0"/>
        <strike val="0"/>
        <condense val="0"/>
        <extend val="0"/>
        <outline val="0"/>
        <shadow val="0"/>
        <u val="none"/>
        <vertAlign val="baseline"/>
        <sz val="11"/>
        <color theme="1"/>
        <name val="Calibri"/>
        <family val="2"/>
        <scheme val="minor"/>
      </font>
      <numFmt numFmtId="164" formatCode="#,##0\ [$CFA-340C]"/>
      <fill>
        <patternFill patternType="solid">
          <fgColor indexed="64"/>
          <bgColor theme="9" tint="0.59999389629810485"/>
        </patternFill>
      </fill>
      <alignment horizontal="general" vertical="bottom" textRotation="0" wrapText="1" indent="0" justifyLastLine="0" shrinkToFit="0" readingOrder="0"/>
      <border diagonalUp="0" diagonalDown="0" outline="0">
        <left style="thin">
          <color auto="1"/>
        </left>
        <right/>
        <top style="thin">
          <color auto="1"/>
        </top>
        <bottom style="thin">
          <color auto="1"/>
        </bottom>
      </border>
    </dxf>
    <dxf>
      <font>
        <b/>
      </font>
      <numFmt numFmtId="164" formatCode="#,##0\ [$CFA-340C]"/>
      <fill>
        <patternFill patternType="solid">
          <fgColor indexed="64"/>
          <bgColor theme="9" tint="0.59999389629810485"/>
        </patternFill>
      </fill>
      <alignment horizontal="general" vertical="bottom" textRotation="0" wrapText="1" indent="0" justifyLastLine="0" shrinkToFit="0" readingOrder="0"/>
      <border diagonalUp="0" diagonalDown="0">
        <left style="thin">
          <color auto="1"/>
        </left>
        <right/>
        <top style="thin">
          <color auto="1"/>
        </top>
        <bottom style="thin">
          <color auto="1"/>
        </bottom>
        <vertical/>
        <horizontal/>
      </border>
    </dxf>
    <dxf>
      <font>
        <b/>
        <i val="0"/>
        <strike val="0"/>
        <condense val="0"/>
        <extend val="0"/>
        <outline val="0"/>
        <shadow val="0"/>
        <u val="none"/>
        <vertAlign val="baseline"/>
        <sz val="11"/>
        <color theme="1"/>
        <name val="Calibri"/>
        <family val="2"/>
        <scheme val="minor"/>
      </font>
      <numFmt numFmtId="1" formatCode="0"/>
      <alignment horizontal="general" vertical="bottom" textRotation="0" wrapText="1" indent="0" justifyLastLine="0" shrinkToFit="0" readingOrder="0"/>
      <border diagonalUp="0" diagonalDown="0" outline="0">
        <left style="thin">
          <color auto="1"/>
        </left>
        <right style="thin">
          <color auto="1"/>
        </right>
        <top style="thin">
          <color auto="1"/>
        </top>
        <bottom style="thin">
          <color auto="1"/>
        </bottom>
      </border>
    </dxf>
    <dxf>
      <font>
        <b/>
      </font>
      <numFmt numFmtId="164" formatCode="#,##0\ [$CFA-340C]"/>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11"/>
        <color theme="1"/>
        <name val="Calibri"/>
        <family val="2"/>
        <scheme val="minor"/>
      </font>
      <numFmt numFmtId="1" formatCode="0"/>
      <alignment horizontal="general" vertical="bottom" textRotation="0" wrapText="1" indent="0" justifyLastLine="0" shrinkToFit="0" readingOrder="0"/>
      <border diagonalUp="0" diagonalDown="0" outline="0">
        <left style="thin">
          <color auto="1"/>
        </left>
        <right style="thin">
          <color auto="1"/>
        </right>
        <top style="thin">
          <color auto="1"/>
        </top>
        <bottom style="thin">
          <color auto="1"/>
        </bottom>
      </border>
    </dxf>
    <dxf>
      <font>
        <b/>
      </font>
      <numFmt numFmtId="164" formatCode="#,##0\ [$CFA-340C]"/>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11"/>
        <color theme="1"/>
        <name val="Calibri"/>
        <family val="2"/>
        <scheme val="minor"/>
      </font>
      <numFmt numFmtId="1" formatCode="0"/>
      <alignment horizontal="general" vertical="bottom" textRotation="0" wrapText="1" indent="0" justifyLastLine="0" shrinkToFit="0" readingOrder="0"/>
      <border diagonalUp="0" diagonalDown="0" outline="0">
        <left style="thin">
          <color auto="1"/>
        </left>
        <right style="thin">
          <color auto="1"/>
        </right>
        <top style="thin">
          <color auto="1"/>
        </top>
        <bottom style="thin">
          <color auto="1"/>
        </bottom>
      </border>
    </dxf>
    <dxf>
      <font>
        <b/>
      </font>
      <numFmt numFmtId="164" formatCode="#,##0\ [$CFA-340C]"/>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border diagonalUp="0" diagonalDown="0" outline="0">
        <left style="thin">
          <color auto="1"/>
        </left>
        <right style="thin">
          <color auto="1"/>
        </right>
        <top/>
        <bottom style="thin">
          <color auto="1"/>
        </bottom>
      </border>
    </dxf>
    <dxf>
      <font>
        <b/>
      </font>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border diagonalUp="0" diagonalDown="0" outline="0">
        <left style="thin">
          <color auto="1"/>
        </left>
        <right style="thin">
          <color auto="1"/>
        </right>
        <top/>
        <bottom style="thin">
          <color auto="1"/>
        </bottom>
      </border>
    </dxf>
    <dxf>
      <font>
        <b/>
      </font>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11"/>
        <color theme="1"/>
        <name val="Calibri"/>
        <family val="2"/>
        <scheme val="minor"/>
      </font>
      <numFmt numFmtId="19" formatCode="dd/mm/yyyy"/>
      <alignment horizontal="general" vertical="bottom" textRotation="0" wrapText="1" indent="0" justifyLastLine="0" shrinkToFit="0" readingOrder="0"/>
      <border diagonalUp="0" diagonalDown="0" outline="0">
        <left style="thin">
          <color auto="1"/>
        </left>
        <right style="thin">
          <color auto="1"/>
        </right>
        <top/>
        <bottom/>
      </border>
    </dxf>
    <dxf>
      <font>
        <b/>
      </font>
      <numFmt numFmtId="19" formatCode="dd/mm/yyyy"/>
      <alignment horizontal="general" vertical="bottom" textRotation="0" wrapText="1" indent="0" justifyLastLine="0" shrinkToFit="0" readingOrder="0"/>
      <border diagonalUp="0" diagonalDown="0">
        <left style="thin">
          <color auto="1"/>
        </left>
        <right style="thin">
          <color auto="1"/>
        </right>
        <top style="thin">
          <color auto="1"/>
        </top>
        <bottom/>
        <vertical/>
        <horizontal/>
      </border>
    </dxf>
    <dxf>
      <font>
        <b/>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border diagonalUp="0" diagonalDown="0" outline="0">
        <left/>
        <right style="thin">
          <color auto="1"/>
        </right>
        <top/>
        <bottom/>
      </border>
    </dxf>
    <dxf>
      <font>
        <b/>
      </font>
      <alignment wrapText="1"/>
      <border diagonalUp="0" diagonalDown="0">
        <left/>
        <right style="thin">
          <color auto="1"/>
        </right>
        <top style="thin">
          <color auto="1"/>
        </top>
        <bottom style="thin">
          <color auto="1"/>
        </bottom>
        <vertical/>
        <horizontal/>
      </border>
    </dxf>
    <dxf>
      <border outline="0">
        <top style="thin">
          <color auto="1"/>
        </top>
      </border>
    </dxf>
    <dxf>
      <font>
        <b/>
      </font>
    </dxf>
    <dxf>
      <border outline="0">
        <left style="thin">
          <color auto="1"/>
        </left>
        <right style="thin">
          <color auto="1"/>
        </right>
        <top style="thin">
          <color auto="1"/>
        </top>
        <bottom style="thin">
          <color auto="1"/>
        </bottom>
      </border>
    </dxf>
    <dxf>
      <font>
        <b/>
      </font>
      <alignment wrapText="1"/>
    </dxf>
    <dxf>
      <border outline="0">
        <bottom style="thin">
          <color auto="1"/>
        </bottom>
      </border>
    </dxf>
    <dxf>
      <font>
        <b/>
        <i val="0"/>
        <strike val="0"/>
        <condense val="0"/>
        <extend val="0"/>
        <outline val="0"/>
        <shadow val="0"/>
        <u val="none"/>
        <vertAlign val="baseline"/>
        <sz val="11"/>
        <color theme="0"/>
        <name val="Calibri"/>
        <scheme val="none"/>
      </font>
      <fill>
        <patternFill patternType="solid">
          <fgColor theme="3"/>
          <bgColor indexed="64"/>
        </patternFill>
      </fill>
      <alignment horizontal="center" vertical="bottom" textRotation="0" wrapText="1" indent="0" justifyLastLine="0" shrinkToFit="0" readingOrder="0"/>
      <border diagonalUp="0" diagonalDown="0">
        <left style="thin">
          <color auto="1"/>
        </left>
        <right style="thin">
          <color auto="1"/>
        </right>
        <top/>
        <bottom/>
      </border>
    </dxf>
    <dxf>
      <numFmt numFmtId="164" formatCode="#,##0\ [$CFA-340C]"/>
    </dxf>
    <dxf>
      <font>
        <color rgb="FFC00000"/>
      </font>
    </dxf>
    <dxf>
      <font>
        <color rgb="FFFF0000"/>
      </font>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 /><Relationship Id="rId3" Type="http://schemas.openxmlformats.org/officeDocument/2006/relationships/worksheet" Target="worksheets/sheet3.xml" /><Relationship Id="rId7" Type="http://schemas.openxmlformats.org/officeDocument/2006/relationships/theme" Target="theme/theme1.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pivotCacheDefinition" Target="pivotCache/pivotCacheDefinition1.xml" /><Relationship Id="rId5" Type="http://schemas.openxmlformats.org/officeDocument/2006/relationships/worksheet" Target="worksheets/sheet5.xml" /><Relationship Id="rId10" Type="http://schemas.openxmlformats.org/officeDocument/2006/relationships/calcChain" Target="calcChain.xml" /><Relationship Id="rId4" Type="http://schemas.openxmlformats.org/officeDocument/2006/relationships/worksheet" Target="worksheets/sheet4.xml" /><Relationship Id="rId9" Type="http://schemas.openxmlformats.org/officeDocument/2006/relationships/sharedStrings" Target="sharedStrings.xml" /></Relationships>
</file>

<file path=xl/charts/_rels/chart1.xml.rels><?xml version="1.0" encoding="UTF-8" standalone="yes"?>
<Relationships xmlns="http://schemas.openxmlformats.org/package/2006/relationships"><Relationship Id="rId2" Type="http://schemas.microsoft.com/office/2011/relationships/chartColorStyle" Target="colors1.xml" /><Relationship Id="rId1" Type="http://schemas.microsoft.com/office/2011/relationships/chartStyle" Target="style1.xml" /></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pieChart>
        <c:varyColors val="1"/>
        <c:ser>
          <c:idx val="0"/>
          <c:order val="0"/>
          <c:dPt>
            <c:idx val="0"/>
            <c:bubble3D val="0"/>
            <c:spPr>
              <a:solidFill>
                <a:schemeClr val="accent6"/>
              </a:solidFill>
              <a:ln w="19050">
                <a:solidFill>
                  <a:schemeClr val="lt1"/>
                </a:solidFill>
              </a:ln>
              <a:effectLst/>
            </c:spPr>
          </c:dPt>
          <c:dPt>
            <c:idx val="1"/>
            <c:bubble3D val="0"/>
            <c:spPr>
              <a:solidFill>
                <a:schemeClr val="accent5"/>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Recherche'!$B$10:$C$10</c:f>
              <c:strCache>
                <c:ptCount val="2"/>
                <c:pt idx="0">
                  <c:v>Dettes actuelle </c:v>
                </c:pt>
                <c:pt idx="1">
                  <c:v>créances actuelle</c:v>
                </c:pt>
              </c:strCache>
            </c:strRef>
          </c:cat>
          <c:val>
            <c:numRef>
              <c:f>'📊 Recherche'!$B$11:$C$11</c:f>
              <c:numCache>
                <c:formatCode>#\ ##0\ [$CFA-340C]</c:formatCode>
                <c:ptCount val="2"/>
                <c:pt idx="0">
                  <c:v>4700</c:v>
                </c:pt>
                <c:pt idx="1">
                  <c:v>21100</c:v>
                </c:pt>
              </c:numCache>
            </c:numRef>
          </c:val>
          <c:extLst>
            <c:ext xmlns:c16="http://schemas.microsoft.com/office/drawing/2014/chart" uri="{C3380CC4-5D6E-409C-BE32-E72D297353CC}">
              <c16:uniqueId val="{00000006-C54A-4345-96A5-DE880F57AEBF}"/>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dr:twoCellAnchor>
    <xdr:from>
      <xdr:col>1</xdr:col>
      <xdr:colOff>18288</xdr:colOff>
      <xdr:row>12</xdr:row>
      <xdr:rowOff>6096</xdr:rowOff>
    </xdr:from>
    <xdr:to>
      <xdr:col>3</xdr:col>
      <xdr:colOff>48768</xdr:colOff>
      <xdr:row>26</xdr:row>
      <xdr:rowOff>18288</xdr:rowOff>
    </xdr:to>
    <xdr:graphicFrame macro="">
      <xdr:nvGraphicFramePr>
        <xdr:cNvPr id="2" name="Graphique 1">
          <a:extLst>
            <a:ext uri="{FF2B5EF4-FFF2-40B4-BE49-F238E27FC236}">
              <a16:creationId xmlns:a16="http://schemas.microsoft.com/office/drawing/2014/main" id="{A68545CD-0DB6-9B20-C4CF-69CA7650F7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 /></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XLNext Device" refreshedDate="46232.496720138886" createdVersion="5" refreshedVersion="8" minRefreshableVersion="3" recordCount="198" xr:uid="{00000000-000A-0000-FFFF-FFFF00000000}">
  <cacheSource type="worksheet">
    <worksheetSource name="opérations"/>
  </cacheSource>
  <cacheFields count="10">
    <cacheField name="Noms " numFmtId="0">
      <sharedItems containsBlank="1" count="102">
        <s v="Salima"/>
        <s v="Oumar"/>
        <s v="Aminata "/>
        <s v="Issa"/>
        <s v="Fatim"/>
        <s v="Salif"/>
        <s v="Yacou"/>
        <s v="Chaka"/>
        <s v="Zeïna"/>
        <s v="Malik"/>
        <s v="Rokia "/>
        <s v="Kassim"/>
        <s v="Madiou"/>
        <s v="Toumani "/>
        <m/>
        <s v="Inconnu &quot;H&quot;" u="1"/>
        <s v="Dah" u="1"/>
        <s v="Homme sardine" u="1"/>
        <s v="yourai" u="1"/>
        <s v="Deux dames " u="1"/>
        <s v="Amed" u="1"/>
        <s v="Frère Makè " u="1"/>
        <s v="Inconnu " u="1"/>
        <s v="Tante aplha" u="1"/>
        <s v="Filakè boutiquier " u="1"/>
        <s v="Habit" u="1"/>
        <s v="femme Amidou " u="1"/>
        <s v="Dame de Filakè boutiquier " u="1"/>
        <s v="RBC" u="1"/>
        <s v="Badri" u="1"/>
        <s v="Filakè" u="1"/>
        <s v="kiatou" u="1"/>
        <s v="dougoutigui" u="1"/>
        <s v="Rasta salle" u="1"/>
        <s v="Draky ananas " u="1"/>
        <s v="Frère kally " u="1"/>
        <s v="Wahab de farine" u="1"/>
        <s v="Albinos Rougeo " u="1"/>
        <s v="Malade " u="1"/>
        <s v="Inconnu &quot;F&quot;" u="1"/>
        <s v="Fils Ib" u="1"/>
        <s v="Clts Néo " u="1"/>
        <s v="Rasta lait" u="1"/>
        <s v="Draky man tow" u="1"/>
        <s v="Kouroulamini " u="1"/>
        <s v="Blow riz" u="1"/>
        <s v="Clts corned" u="1"/>
        <s v="Karim" u="1"/>
        <s v="Filamouso Black " u="1"/>
        <s v="Bonbonchi" u="1"/>
        <s v="Ami leh" u="1"/>
        <s v="Mignaka lassi" u="1"/>
        <s v="Ancienne " u="1"/>
        <s v="Adama.M" u="1"/>
        <s v="Nigerien" u="1"/>
        <s v="Bocar " u="1"/>
        <s v="Mali boua" u="1"/>
        <s v="ivoirienne " u="1"/>
        <s v="Makè" u="1"/>
        <s v="fils Rougeo " u="1"/>
        <s v="Ami lassi soudeur " u="1"/>
        <s v="château " u="1"/>
        <s v="Clt Zam zam" u="1"/>
        <s v="lait chewing-gum " u="1"/>
        <s v="Lassi soudeur" u="1"/>
        <s v="Frère Bouba " u="1"/>
        <s v="tièmoko" u="1"/>
        <s v="Moïsikè" u="1"/>
        <s v="Blackberry " u="1"/>
        <s v="Moïsi nescafé " u="1"/>
        <s v="Amoye" u="1"/>
        <s v="Maliky" u="1"/>
        <s v="Samôgô" u="1"/>
        <s v="tante alpha" u="1"/>
        <s v="Filakè boutiq" u="1"/>
        <s v="tante alpha " u="1"/>
        <s v="Fila mousso" u="1"/>
        <s v="fivemes" u="1"/>
        <s v="nochikai" u="1"/>
        <s v="draqui" u="1"/>
        <s v="Blackberry" u="1"/>
        <s v="Malta " u="1"/>
        <s v="Farine demi-sacs" u="1"/>
        <s v="Albinos rougeo" u="1"/>
        <s v="Kandja " u="1"/>
        <s v="malade" u="1"/>
        <s v="ivoirien " u="1"/>
        <s v="clt corned" u="1"/>
        <s v="Makè " u="1"/>
        <s v="filamou Black " u="1"/>
        <s v="Petit Moïsi " u="1"/>
        <s v="Moïsi infidèle " u="1"/>
        <s v="Mixwell gros" u="1"/>
        <s v="Gos yeux " u="1"/>
        <s v="Rokia black" u="1"/>
        <s v="Phone pochette " u="1"/>
        <s v="Robinet rasta" u="1"/>
        <s v="Leh" u="1"/>
        <s v="Pochette Phone " u="1"/>
        <s v="client corned" u="1"/>
        <s v="étudiant " u="1"/>
        <s v="Infidèle " u="1"/>
      </sharedItems>
    </cacheField>
    <cacheField name="Date" numFmtId="14">
      <sharedItems containsNonDate="0" containsDate="1" containsString="0" containsBlank="1" minDate="2026-07-15T00:00:00" maxDate="2026-07-30T00:00:00"/>
    </cacheField>
    <cacheField name="Désignation" numFmtId="0">
      <sharedItems containsBlank="1"/>
    </cacheField>
    <cacheField name="Type" numFmtId="0">
      <sharedItems containsBlank="1"/>
    </cacheField>
    <cacheField name="Montant total" numFmtId="164">
      <sharedItems containsString="0" containsBlank="1" containsNumber="1" containsInteger="1" minValue="500" maxValue="24000"/>
    </cacheField>
    <cacheField name="Montant payé" numFmtId="164">
      <sharedItems containsString="0" containsBlank="1" containsNumber="1" containsInteger="1" minValue="500" maxValue="25000"/>
    </cacheField>
    <cacheField name="Payé partiel" numFmtId="164">
      <sharedItems containsString="0" containsBlank="1" containsNumber="1" containsInteger="1" minValue="-3000" maxValue="-500"/>
    </cacheField>
    <cacheField name="Reste" numFmtId="164">
      <sharedItems containsMixedTypes="1" containsNumber="1" containsInteger="1" minValue="-1000" maxValue="7500"/>
    </cacheField>
    <cacheField name="États " numFmtId="1">
      <sharedItems/>
    </cacheField>
    <cacheField name="Nbre de jours" numFmtId="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8">
  <r>
    <x v="0"/>
    <d v="2026-07-15T00:00:00"/>
    <s v="Thé 100f, sucre 400f, eau 50f"/>
    <s v="Créance"/>
    <n v="550"/>
    <n v="500"/>
    <m/>
    <n v="50"/>
    <s v=""/>
    <s v="14 jrs"/>
  </r>
  <r>
    <x v="1"/>
    <d v="2026-07-15T00:00:00"/>
    <s v="Farine 600f, levure 200f"/>
    <s v="Dette"/>
    <n v="800"/>
    <n v="1000"/>
    <m/>
    <n v="-200"/>
    <s v=""/>
    <s v="14 jrs"/>
  </r>
  <r>
    <x v="2"/>
    <d v="2026-07-16T00:00:00"/>
    <s v="lait Mixiwell gros 1500f, "/>
    <s v="Dette"/>
    <n v="1500"/>
    <n v="5000"/>
    <n v="-3000"/>
    <n v="-500"/>
    <s v=""/>
    <s v="13 jrs"/>
  </r>
  <r>
    <x v="3"/>
    <d v="2026-07-16T00:00:00"/>
    <s v="sacs de riz 21000f"/>
    <s v="Créance"/>
    <n v="21000"/>
    <n v="15000"/>
    <m/>
    <n v="6000"/>
    <s v="Urgents"/>
    <s v="13 jrs"/>
  </r>
  <r>
    <x v="0"/>
    <d v="2026-07-17T00:00:00"/>
    <s v="bonne-rouge 350f, vinto 500f"/>
    <s v="Dette"/>
    <n v="850"/>
    <n v="1000"/>
    <m/>
    <n v="-150"/>
    <s v=""/>
    <s v="12 jrs"/>
  </r>
  <r>
    <x v="4"/>
    <d v="2026-07-17T00:00:00"/>
    <s v="Mayonnaise 2250f"/>
    <s v="Créance"/>
    <n v="2250"/>
    <n v="5000"/>
    <n v="-3000"/>
    <n v="250"/>
    <s v=""/>
    <s v="12 jrs"/>
  </r>
  <r>
    <x v="1"/>
    <d v="2026-07-18T00:00:00"/>
    <s v="Huile 20 litre 24000f"/>
    <s v="Dette"/>
    <n v="24000"/>
    <n v="25000"/>
    <m/>
    <n v="-1000"/>
    <s v=""/>
    <s v="11 jrs"/>
  </r>
  <r>
    <x v="5"/>
    <d v="2026-07-18T00:00:00"/>
    <s v="Lipton paquet 1250"/>
    <s v="Dette"/>
    <n v="1250"/>
    <n v="1500"/>
    <m/>
    <n v="-250"/>
    <s v=""/>
    <s v="11 jrs"/>
  </r>
  <r>
    <x v="6"/>
    <d v="2026-07-19T00:00:00"/>
    <s v="Corned-beef 500f, huile 150"/>
    <s v="Dette"/>
    <n v="650"/>
    <n v="1000"/>
    <m/>
    <n v="-350"/>
    <s v=""/>
    <s v="10 jrs"/>
  </r>
  <r>
    <x v="7"/>
    <d v="2026-07-19T00:00:00"/>
    <s v="bouble seven 500f, malta 500f, jus pp 300f"/>
    <s v="Créance"/>
    <n v="800"/>
    <n v="500"/>
    <m/>
    <n v="300"/>
    <s v=""/>
    <s v="10 jrs"/>
  </r>
  <r>
    <x v="8"/>
    <d v="2026-07-20T00:00:00"/>
    <s v="Biscuit Perkt cartons 17500f"/>
    <s v="Créance"/>
    <n v="17500"/>
    <n v="15000"/>
    <m/>
    <n v="2500"/>
    <s v=""/>
    <s v="9 jrs"/>
  </r>
  <r>
    <x v="9"/>
    <d v="2026-07-20T00:00:00"/>
    <s v="Gaz buttane 750f"/>
    <s v="Dette"/>
    <n v="750"/>
    <n v="1000"/>
    <m/>
    <n v="-250"/>
    <s v=""/>
    <s v="9 jrs"/>
  </r>
  <r>
    <x v="1"/>
    <d v="2026-07-21T00:00:00"/>
    <s v="Diago 500f"/>
    <s v="Créance"/>
    <n v="500"/>
    <m/>
    <m/>
    <n v="500"/>
    <s v=""/>
    <s v="8 jrs"/>
  </r>
  <r>
    <x v="10"/>
    <d v="2026-07-21T00:00:00"/>
    <s v="Huile 05 litre 7500f"/>
    <s v="Créance"/>
    <n v="7500"/>
    <n v="5000"/>
    <m/>
    <n v="2500"/>
    <s v=""/>
    <s v="8 jrs"/>
  </r>
  <r>
    <x v="10"/>
    <d v="2026-07-22T00:00:00"/>
    <s v="spaghetti cartons 9000f"/>
    <s v="Dette"/>
    <n v="9000"/>
    <n v="10000"/>
    <m/>
    <n v="-1000"/>
    <s v=""/>
    <s v="7 jrs"/>
  </r>
  <r>
    <x v="11"/>
    <d v="2026-07-22T00:00:00"/>
    <s v="Couscous 1250f"/>
    <s v="Dette"/>
    <n v="1250"/>
    <n v="2000"/>
    <n v="-500"/>
    <n v="-250"/>
    <s v=""/>
    <s v="7 jrs"/>
  </r>
  <r>
    <x v="12"/>
    <d v="2026-07-23T00:00:00"/>
    <s v="beurre 1500f"/>
    <s v="Créance"/>
    <n v="1500"/>
    <m/>
    <m/>
    <n v="1500"/>
    <s v=""/>
    <s v="6 jrs"/>
  </r>
  <r>
    <x v="12"/>
    <d v="2026-07-24T00:00:00"/>
    <s v="Citron boîte 2250"/>
    <s v="Dette"/>
    <n v="2250"/>
    <n v="3000"/>
    <m/>
    <n v="-750"/>
    <s v=""/>
    <s v="5 jrs"/>
  </r>
  <r>
    <x v="13"/>
    <d v="2026-07-29T00:00:00"/>
    <s v="bicarbonate 7500"/>
    <s v="Créance"/>
    <n v="7500"/>
    <m/>
    <m/>
    <n v="7500"/>
    <s v="Urgents"/>
    <s v="0 jrs"/>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r>
    <x v="14"/>
    <m/>
    <m/>
    <m/>
    <m/>
    <m/>
    <m/>
    <s v=""/>
    <s v=""/>
    <s 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Tableau croisé dynamique1" cacheId="0" applyNumberFormats="0" applyBorderFormats="0" applyFontFormats="0" applyPatternFormats="0" applyAlignmentFormats="0" applyWidthHeightFormats="1" dataCaption="Valeurs" updatedVersion="8" minRefreshableVersion="3" useAutoFormatting="1" colGrandTotals="0" itemPrintTitles="1" createdVersion="5" indent="0" outline="1" outlineData="1" multipleFieldFilters="0" rowHeaderCaption="Noms des clients                               .">
  <location ref="B29:C35" firstHeaderRow="1" firstDataRow="1" firstDataCol="1"/>
  <pivotFields count="10">
    <pivotField axis="axisRow" showAll="0" measureFilter="1" sortType="descending" defaultSubtotal="0">
      <items count="102">
        <item x="2"/>
        <item x="7"/>
        <item x="4"/>
        <item x="3"/>
        <item x="11"/>
        <item x="9"/>
        <item x="1"/>
        <item x="10"/>
        <item x="5"/>
        <item x="0"/>
        <item x="6"/>
        <item x="8"/>
        <item x="14"/>
        <item x="12"/>
        <item m="1" x="22"/>
        <item m="1" x="16"/>
        <item m="1" x="17"/>
        <item m="1" x="18"/>
        <item m="1" x="19"/>
        <item m="1" x="20"/>
        <item m="1" x="21"/>
        <item m="1" x="73"/>
        <item m="1" x="74"/>
        <item m="1" x="25"/>
        <item m="1" x="26"/>
        <item m="1" x="75"/>
        <item m="1" x="76"/>
        <item m="1" x="28"/>
        <item m="1" x="29"/>
        <item m="1" x="30"/>
        <item m="1" x="66"/>
        <item m="1" x="31"/>
        <item m="1" x="97"/>
        <item m="1" x="32"/>
        <item m="1" x="98"/>
        <item m="1" x="90"/>
        <item m="1" x="99"/>
        <item m="1" x="58"/>
        <item m="1" x="77"/>
        <item m="1" x="33"/>
        <item m="1" x="78"/>
        <item m="1" x="79"/>
        <item m="1" x="35"/>
        <item m="1" x="100"/>
        <item m="1" x="71"/>
        <item m="1" x="80"/>
        <item m="1" x="69"/>
        <item m="1" x="101"/>
        <item m="1" x="81"/>
        <item m="1" x="72"/>
        <item m="1" x="92"/>
        <item m="1" x="82"/>
        <item m="1" x="64"/>
        <item m="1" x="83"/>
        <item m="1" x="84"/>
        <item m="1" x="91"/>
        <item m="1" x="85"/>
        <item m="1" x="93"/>
        <item m="1" x="40"/>
        <item m="1" x="41"/>
        <item m="1" x="94"/>
        <item m="1" x="95"/>
        <item m="1" x="96"/>
        <item m="1" x="42"/>
        <item m="1" x="43"/>
        <item m="1" x="86"/>
        <item m="1" x="44"/>
        <item m="1" x="45"/>
        <item m="1" x="87"/>
        <item m="1" x="47"/>
        <item m="1" x="70"/>
        <item m="1" x="88"/>
        <item m="1" x="89"/>
        <item m="1" x="49"/>
        <item m="1" x="15"/>
        <item m="1" x="23"/>
        <item m="1" x="24"/>
        <item m="1" x="27"/>
        <item m="1" x="67"/>
        <item m="1" x="34"/>
        <item m="1" x="68"/>
        <item m="1" x="36"/>
        <item m="1" x="37"/>
        <item m="1" x="38"/>
        <item m="1" x="39"/>
        <item m="1" x="57"/>
        <item m="1" x="46"/>
        <item m="1" x="48"/>
        <item m="1" x="50"/>
        <item m="1" x="51"/>
        <item m="1" x="52"/>
        <item m="1" x="53"/>
        <item m="1" x="54"/>
        <item m="1" x="55"/>
        <item m="1" x="56"/>
        <item m="1" x="59"/>
        <item m="1" x="60"/>
        <item m="1" x="61"/>
        <item m="1" x="62"/>
        <item m="1" x="63"/>
        <item m="1" x="65"/>
        <item x="13"/>
      </items>
      <autoSortScope>
        <pivotArea dataOnly="0" outline="0" fieldPosition="0">
          <references count="1">
            <reference field="4294967294" count="1" selected="0">
              <x v="0"/>
            </reference>
          </references>
        </pivotArea>
      </autoSortScope>
    </pivotField>
    <pivotField numFmtId="14" showAll="0" defaultSubtotal="0"/>
    <pivotField showAll="0" defaultSubtotal="0"/>
    <pivotField showAll="0" defaultSubtotal="0"/>
    <pivotField showAll="0" defaultSubtotal="0"/>
    <pivotField showAll="0" defaultSubtotal="0"/>
    <pivotField showAll="0" defaultSubtotal="0"/>
    <pivotField dataField="1" showAll="0" defaultSubtotal="0"/>
    <pivotField showAll="0" defaultSubtotal="0"/>
    <pivotField showAll="0" defaultSubtotal="0"/>
  </pivotFields>
  <rowFields count="1">
    <field x="0"/>
  </rowFields>
  <rowItems count="6">
    <i>
      <x v="101"/>
    </i>
    <i>
      <x v="3"/>
    </i>
    <i>
      <x v="11"/>
    </i>
    <i>
      <x v="7"/>
    </i>
    <i>
      <x v="13"/>
    </i>
    <i t="grand">
      <x/>
    </i>
  </rowItems>
  <colItems count="1">
    <i/>
  </colItems>
  <dataFields count="1">
    <dataField name="Montants                                                    ." fld="7" baseField="0" baseItem="0" numFmtId="164"/>
  </dataFields>
  <formats count="13">
    <format dxfId="52">
      <pivotArea type="all" dataOnly="0" outline="0" fieldPosition="0"/>
    </format>
    <format dxfId="51">
      <pivotArea outline="0" collapsedLevelsAreSubtotals="1" fieldPosition="0"/>
    </format>
    <format dxfId="50">
      <pivotArea field="0" type="button" dataOnly="0" labelOnly="1" outline="0" axis="axisRow" fieldPosition="0"/>
    </format>
    <format dxfId="49">
      <pivotArea dataOnly="0" labelOnly="1" outline="0" axis="axisValues" fieldPosition="0"/>
    </format>
    <format dxfId="48">
      <pivotArea dataOnly="0" labelOnly="1" fieldPosition="0">
        <references count="1">
          <reference field="0" count="5">
            <x v="1"/>
            <x v="2"/>
            <x v="3"/>
            <x v="7"/>
            <x v="11"/>
          </reference>
        </references>
      </pivotArea>
    </format>
    <format dxfId="47">
      <pivotArea type="all" dataOnly="0" outline="0" fieldPosition="0"/>
    </format>
    <format dxfId="46">
      <pivotArea outline="0" collapsedLevelsAreSubtotals="1" fieldPosition="0"/>
    </format>
    <format dxfId="45">
      <pivotArea field="0" type="button" dataOnly="0" labelOnly="1" outline="0" axis="axisRow" fieldPosition="0"/>
    </format>
    <format dxfId="44">
      <pivotArea dataOnly="0" labelOnly="1" outline="0" axis="axisValues" fieldPosition="0"/>
    </format>
    <format dxfId="43">
      <pivotArea dataOnly="0" labelOnly="1" fieldPosition="0">
        <references count="1">
          <reference field="0" count="5">
            <x v="1"/>
            <x v="2"/>
            <x v="3"/>
            <x v="7"/>
            <x v="11"/>
          </reference>
        </references>
      </pivotArea>
    </format>
    <format dxfId="42">
      <pivotArea grandRow="1" outline="0" collapsedLevelsAreSubtotals="1" fieldPosition="0"/>
    </format>
    <format dxfId="41">
      <pivotArea dataOnly="0" labelOnly="1" grandRow="1" outline="0" fieldPosition="0"/>
    </format>
    <format dxfId="40">
      <pivotArea outline="0" collapsedLevelsAreSubtotals="1" fieldPosition="0"/>
    </format>
  </formats>
  <pivotTableStyleInfo name="PivotStyleLight16" showRowHeaders="1" showColHeaders="1" showRowStripes="0" showColStripes="0" showLastColumn="1"/>
  <filters count="1">
    <filter fld="0"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pérations" displayName="opérations" ref="A1:J200" totalsRowCount="1" headerRowDxfId="39" dataDxfId="37" totalsRowDxfId="35" headerRowBorderDxfId="38" tableBorderDxfId="36" totalsRowBorderDxfId="34">
  <autoFilter ref="A1:J199" xr:uid="{00000000-0009-0000-0100-000001000000}"/>
  <tableColumns count="10">
    <tableColumn id="1" xr3:uid="{00000000-0010-0000-0000-000001000000}" name="Noms " dataDxfId="33" totalsRowDxfId="32"/>
    <tableColumn id="2" xr3:uid="{00000000-0010-0000-0000-000002000000}" name="Date" dataDxfId="31" totalsRowDxfId="30"/>
    <tableColumn id="3" xr3:uid="{00000000-0010-0000-0000-000003000000}" name="Désignation" dataDxfId="29" totalsRowDxfId="28"/>
    <tableColumn id="4" xr3:uid="{00000000-0010-0000-0000-000004000000}" name="Type" dataDxfId="27" totalsRowDxfId="26"/>
    <tableColumn id="5" xr3:uid="{00000000-0010-0000-0000-000005000000}" name="Montant total" dataDxfId="25" totalsRowDxfId="24"/>
    <tableColumn id="6" xr3:uid="{00000000-0010-0000-0000-000006000000}" name="Montant payé" dataDxfId="23" totalsRowDxfId="22"/>
    <tableColumn id="7" xr3:uid="{00000000-0010-0000-0000-000007000000}" name="Payé partiel" dataDxfId="21" totalsRowDxfId="20"/>
    <tableColumn id="8" xr3:uid="{00000000-0010-0000-0000-000008000000}" name="Reste" totalsRowFunction="sum" dataDxfId="19" totalsRowDxfId="18">
      <calculatedColumnFormula>IF(E2="","",E2-F2-G2)</calculatedColumnFormula>
    </tableColumn>
    <tableColumn id="10" xr3:uid="{00000000-0010-0000-0000-00000A000000}" name="États " dataDxfId="17" totalsRowDxfId="16">
      <calculatedColumnFormula>IF(H2="","",IF(H2&gt;=5000,"Urgents",""))</calculatedColumnFormula>
    </tableColumn>
    <tableColumn id="9" xr3:uid="{00000000-0010-0000-0000-000009000000}" name="Nbre de jours" dataDxfId="15" totalsRowDxfId="14">
      <calculatedColumnFormula>IF(opérations[[#This Row],[Reste]]="","",TODAY()-opérations[[#This Row],[Date]]&amp;" jrs")</calculatedColumnFormula>
    </tableColumn>
  </tableColumns>
  <tableStyleInfo name="TableStyleLight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listeclients" displayName="listeclients" ref="A1:A995" totalsRowShown="0" headerRowDxfId="13" headerRowBorderDxfId="12" tableBorderDxfId="11" totalsRowBorderDxfId="10">
  <autoFilter ref="A1:A995" xr:uid="{00000000-0009-0000-0100-000002000000}"/>
  <tableColumns count="1">
    <tableColumn id="1" xr3:uid="{00000000-0010-0000-0100-000001000000}" name="Nom du client" dataDxfId="9"/>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au3" displayName="Tableau3" ref="A2:D49" totalsRowShown="0" headerRowDxfId="8" headerRowBorderDxfId="7" tableBorderDxfId="6" totalsRowBorderDxfId="5">
  <autoFilter ref="A2:D49" xr:uid="{00000000-0009-0000-0100-000003000000}"/>
  <tableColumns count="4">
    <tableColumn id="1" xr3:uid="{00000000-0010-0000-0200-000001000000}" name="Dates " dataDxfId="4"/>
    <tableColumn id="2" xr3:uid="{00000000-0010-0000-0200-000002000000}" name="Total de Créance" dataDxfId="3">
      <calculatedColumnFormula>SUMIFS(opérations[Reste],opérations[Date],A3,opérations[Type],"Créance")</calculatedColumnFormula>
    </tableColumn>
    <tableColumn id="3" xr3:uid="{00000000-0010-0000-0200-000003000000}" name="Total de Dettes " dataDxfId="2">
      <calculatedColumnFormula>SUMIFS(opérations[Reste],opérations[Date],A3,opérations[Type],"Dette")</calculatedColumnFormula>
    </tableColumn>
    <tableColumn id="4" xr3:uid="{00000000-0010-0000-0200-000004000000}" name="Écart " dataDxfId="1">
      <calculatedColumnFormula>-Tableau3[[#This Row],[Total de Dettes ]]-Tableau3[[#This Row],[Total de Créance]]</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 /><Relationship Id="rId2" Type="http://schemas.openxmlformats.org/officeDocument/2006/relationships/printerSettings" Target="../printerSettings/printerSettings1.bin" /><Relationship Id="rId1" Type="http://schemas.openxmlformats.org/officeDocument/2006/relationships/pivotTable" Target="../pivotTables/pivotTable1.xml" /></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 /><Relationship Id="rId1" Type="http://schemas.openxmlformats.org/officeDocument/2006/relationships/printerSettings" Target="../printerSettings/printerSettings2.bin" /></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 /></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 /></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D37"/>
  <sheetViews>
    <sheetView showGridLines="0" showRowColHeaders="0" tabSelected="1" topLeftCell="B1" workbookViewId="0">
      <pane xSplit="3" topLeftCell="E1" activePane="topRight" state="frozen"/>
      <selection activeCell="B1" sqref="B1"/>
      <selection pane="topRight" activeCell="B95" sqref="B95"/>
    </sheetView>
  </sheetViews>
  <sheetFormatPr defaultColWidth="9.14453125" defaultRowHeight="15" x14ac:dyDescent="0.2"/>
  <cols>
    <col min="2" max="2" width="31.20703125" customWidth="1"/>
    <col min="3" max="3" width="35.109375" customWidth="1"/>
  </cols>
  <sheetData>
    <row r="1" spans="2:3" ht="18" x14ac:dyDescent="0.2">
      <c r="B1" s="72" t="s">
        <v>69</v>
      </c>
      <c r="C1" s="72"/>
    </row>
    <row r="2" spans="2:3" x14ac:dyDescent="0.2">
      <c r="B2" s="2" t="s">
        <v>0</v>
      </c>
      <c r="C2" s="33" t="s">
        <v>106</v>
      </c>
    </row>
    <row r="4" spans="2:3" x14ac:dyDescent="0.2">
      <c r="B4" s="3" t="s">
        <v>8</v>
      </c>
      <c r="C4" s="62">
        <f>IFERROR(SUMIFS('📑 Operations'!H:H,'📑 Operations'!A:A,$C$2,'📑 Operations'!D:D,"Créance"),0)</f>
        <v>7500</v>
      </c>
    </row>
    <row r="5" spans="2:3" x14ac:dyDescent="0.2">
      <c r="B5" s="4" t="s">
        <v>9</v>
      </c>
      <c r="C5" s="63">
        <f>-IFERROR(SUMIFS('📑 Operations'!H:H,'📑 Operations'!A:A,$C$2,'📑 Operations'!D:D,"Dette"),0)</f>
        <v>0</v>
      </c>
    </row>
    <row r="6" spans="2:3" x14ac:dyDescent="0.2">
      <c r="B6" s="10" t="s">
        <v>10</v>
      </c>
      <c r="C6" s="64">
        <f>C4-C5</f>
        <v>7500</v>
      </c>
    </row>
    <row r="7" spans="2:3" x14ac:dyDescent="0.2">
      <c r="B7" s="73" t="str">
        <f>IF(C6&gt;0,"Le client vous doit  "&amp; C6&amp;" CFA","Vous devez "&amp;C6&amp;" CFA  au client")</f>
        <v>Le client vous doit  7500 CFA</v>
      </c>
      <c r="C7" s="74"/>
    </row>
    <row r="9" spans="2:3" x14ac:dyDescent="0.2">
      <c r="B9" s="71" t="s">
        <v>13</v>
      </c>
      <c r="C9" s="71"/>
    </row>
    <row r="10" spans="2:3" x14ac:dyDescent="0.2">
      <c r="B10" s="1" t="s">
        <v>11</v>
      </c>
      <c r="C10" s="1" t="s">
        <v>12</v>
      </c>
    </row>
    <row r="11" spans="2:3" x14ac:dyDescent="0.2">
      <c r="B11" s="65">
        <f>-SUMIF('📑 Operations'!D:D,"Dette",'📑 Operations'!H:H)</f>
        <v>4700</v>
      </c>
      <c r="C11" s="66">
        <f>SUMIF('📑 Operations'!D:D,"Créance",'📑 Operations'!H:H)</f>
        <v>21100</v>
      </c>
    </row>
    <row r="12" spans="2:3" x14ac:dyDescent="0.2">
      <c r="B12" s="75" t="str">
        <f>IF(B11&gt;C11,"Solde net à votre faveur " &amp;B11-C11 &amp; " CFA","Solde net en faveur des clients " &amp; B11-C11&amp;" CFA")</f>
        <v>Solde net en faveur des clients -16400 CFA</v>
      </c>
      <c r="C12" s="76"/>
    </row>
    <row r="27" spans="2:4" x14ac:dyDescent="0.2">
      <c r="B27" s="11"/>
      <c r="C27" s="11"/>
    </row>
    <row r="28" spans="2:4" x14ac:dyDescent="0.2">
      <c r="B28" s="77" t="s">
        <v>74</v>
      </c>
      <c r="C28" s="77"/>
    </row>
    <row r="29" spans="2:4" x14ac:dyDescent="0.2">
      <c r="B29" s="30" t="s">
        <v>72</v>
      </c>
      <c r="C29" s="31" t="s">
        <v>73</v>
      </c>
      <c r="D29" s="21"/>
    </row>
    <row r="30" spans="2:4" x14ac:dyDescent="0.2">
      <c r="B30" s="32" t="s">
        <v>106</v>
      </c>
      <c r="C30" s="67">
        <v>7500</v>
      </c>
      <c r="D30" s="21"/>
    </row>
    <row r="31" spans="2:4" x14ac:dyDescent="0.2">
      <c r="B31" s="32" t="s">
        <v>82</v>
      </c>
      <c r="C31" s="67">
        <v>6000</v>
      </c>
      <c r="D31" s="21"/>
    </row>
    <row r="32" spans="2:4" x14ac:dyDescent="0.2">
      <c r="B32" s="32" t="s">
        <v>93</v>
      </c>
      <c r="C32" s="67">
        <v>2500</v>
      </c>
      <c r="D32" s="21"/>
    </row>
    <row r="33" spans="2:4" x14ac:dyDescent="0.2">
      <c r="B33" s="32" t="s">
        <v>98</v>
      </c>
      <c r="C33" s="67">
        <v>1500</v>
      </c>
      <c r="D33" s="21"/>
    </row>
    <row r="34" spans="2:4" x14ac:dyDescent="0.2">
      <c r="B34" s="32" t="s">
        <v>103</v>
      </c>
      <c r="C34" s="67">
        <v>750</v>
      </c>
      <c r="D34" s="21"/>
    </row>
    <row r="35" spans="2:4" x14ac:dyDescent="0.2">
      <c r="B35" s="34" t="s">
        <v>71</v>
      </c>
      <c r="C35" s="68">
        <v>18250</v>
      </c>
      <c r="D35" s="21"/>
    </row>
    <row r="36" spans="2:4" x14ac:dyDescent="0.2">
      <c r="D36" s="21"/>
    </row>
    <row r="37" spans="2:4" x14ac:dyDescent="0.2">
      <c r="D37" s="21"/>
    </row>
  </sheetData>
  <mergeCells count="5">
    <mergeCell ref="B9:C9"/>
    <mergeCell ref="B1:C1"/>
    <mergeCell ref="B7:C7"/>
    <mergeCell ref="B12:C12"/>
    <mergeCell ref="B28:C28"/>
  </mergeCells>
  <pageMargins left="0.75" right="0.75" top="1" bottom="1" header="0.5" footer="0.5"/>
  <pageSetup paperSize="9" orientation="portrait" r:id="rId2"/>
  <drawing r:id="rId3"/>
  <extLst>
    <ext xmlns:x14="http://schemas.microsoft.com/office/spreadsheetml/2009/9/main" uri="{CCE6A557-97BC-4b89-ADB6-D9C93CAAB3DF}">
      <x14:dataValidations xmlns:xm="http://schemas.microsoft.com/office/excel/2006/main" count="1">
        <x14:dataValidation type="list" xr:uid="{00000000-0002-0000-0000-000000000000}">
          <x14:formula1>
            <xm:f>'👥️️ Clients'!$A$2:$A$996</xm:f>
          </x14:formula1>
          <xm:sqref>C2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00"/>
  <sheetViews>
    <sheetView workbookViewId="0">
      <selection activeCell="A56" sqref="A56"/>
    </sheetView>
  </sheetViews>
  <sheetFormatPr defaultColWidth="9.14453125" defaultRowHeight="15" x14ac:dyDescent="0.2"/>
  <cols>
    <col min="1" max="1" width="14.2578125" bestFit="1" customWidth="1"/>
    <col min="2" max="2" width="13.1796875" style="15" customWidth="1"/>
    <col min="3" max="3" width="18.0234375" style="14" customWidth="1"/>
    <col min="4" max="4" width="11.43359375" bestFit="1" customWidth="1"/>
    <col min="5" max="6" width="16.0078125" bestFit="1" customWidth="1"/>
    <col min="7" max="7" width="13.98828125" bestFit="1" customWidth="1"/>
    <col min="8" max="8" width="11.703125" bestFit="1" customWidth="1"/>
    <col min="9" max="9" width="11.43359375" customWidth="1"/>
    <col min="10" max="10" width="16.41015625" customWidth="1"/>
  </cols>
  <sheetData>
    <row r="1" spans="1:10" x14ac:dyDescent="0.2">
      <c r="A1" s="5" t="s">
        <v>76</v>
      </c>
      <c r="B1" s="16" t="s">
        <v>1</v>
      </c>
      <c r="C1" s="6" t="s">
        <v>2</v>
      </c>
      <c r="D1" s="6" t="s">
        <v>3</v>
      </c>
      <c r="E1" s="6" t="s">
        <v>4</v>
      </c>
      <c r="F1" s="6" t="s">
        <v>5</v>
      </c>
      <c r="G1" s="6" t="s">
        <v>6</v>
      </c>
      <c r="H1" s="7" t="s">
        <v>7</v>
      </c>
      <c r="I1" s="7" t="s">
        <v>16</v>
      </c>
      <c r="J1" s="8" t="s">
        <v>14</v>
      </c>
    </row>
    <row r="2" spans="1:10" ht="27.75" x14ac:dyDescent="0.2">
      <c r="A2" s="47" t="s">
        <v>77</v>
      </c>
      <c r="B2" s="48">
        <v>46218</v>
      </c>
      <c r="C2" s="49" t="s">
        <v>78</v>
      </c>
      <c r="D2" s="49" t="s">
        <v>15</v>
      </c>
      <c r="E2" s="59">
        <v>550</v>
      </c>
      <c r="F2" s="59">
        <v>500</v>
      </c>
      <c r="G2" s="59"/>
      <c r="H2" s="60">
        <f t="shared" ref="H2" si="0">IF(E2="","",E2-F2-G2)</f>
        <v>50</v>
      </c>
      <c r="I2" s="43" t="str">
        <f t="shared" ref="I2:I20" si="1">IF(H2="","",IF(H2&gt;=5000,"Urgents",""))</f>
        <v/>
      </c>
      <c r="J2" s="12" t="str">
        <f ca="1">IF(opérations[[#This Row],[Reste]]="","",TODAY()-opérations[[#This Row],[Date]]&amp;" jrs")</f>
        <v>14 jrs</v>
      </c>
    </row>
    <row r="3" spans="1:10" ht="27.75" x14ac:dyDescent="0.2">
      <c r="A3" s="47" t="s">
        <v>22</v>
      </c>
      <c r="B3" s="48">
        <v>46218</v>
      </c>
      <c r="C3" s="49" t="s">
        <v>79</v>
      </c>
      <c r="D3" s="49" t="s">
        <v>23</v>
      </c>
      <c r="E3" s="59">
        <v>800</v>
      </c>
      <c r="F3" s="59">
        <v>1000</v>
      </c>
      <c r="G3" s="59"/>
      <c r="H3" s="60">
        <f t="shared" ref="H3:H14" si="2">IF(E3="","",E3-F3-G3)</f>
        <v>-200</v>
      </c>
      <c r="I3" s="43" t="str">
        <f t="shared" si="1"/>
        <v/>
      </c>
      <c r="J3" s="12" t="str">
        <f ca="1">IF(opérations[[#This Row],[Reste]]="","",TODAY()-opérations[[#This Row],[Date]]&amp;" jrs")</f>
        <v>14 jrs</v>
      </c>
    </row>
    <row r="4" spans="1:10" ht="27.75" x14ac:dyDescent="0.2">
      <c r="A4" s="47" t="s">
        <v>80</v>
      </c>
      <c r="B4" s="48">
        <v>46219</v>
      </c>
      <c r="C4" s="49" t="s">
        <v>81</v>
      </c>
      <c r="D4" s="49" t="s">
        <v>23</v>
      </c>
      <c r="E4" s="59">
        <v>1500</v>
      </c>
      <c r="F4" s="59">
        <v>5000</v>
      </c>
      <c r="G4" s="59">
        <v>-3000</v>
      </c>
      <c r="H4" s="60">
        <f t="shared" si="2"/>
        <v>-500</v>
      </c>
      <c r="I4" s="43" t="str">
        <f t="shared" si="1"/>
        <v/>
      </c>
      <c r="J4" s="12" t="str">
        <f ca="1">IF(opérations[[#This Row],[Reste]]="","",TODAY()-opérations[[#This Row],[Date]]&amp;" jrs")</f>
        <v>13 jrs</v>
      </c>
    </row>
    <row r="5" spans="1:10" x14ac:dyDescent="0.2">
      <c r="A5" s="47" t="s">
        <v>82</v>
      </c>
      <c r="B5" s="48">
        <v>46219</v>
      </c>
      <c r="C5" s="49" t="s">
        <v>83</v>
      </c>
      <c r="D5" s="49" t="s">
        <v>15</v>
      </c>
      <c r="E5" s="59">
        <v>21000</v>
      </c>
      <c r="F5" s="59">
        <v>15000</v>
      </c>
      <c r="G5" s="59"/>
      <c r="H5" s="60">
        <f t="shared" si="2"/>
        <v>6000</v>
      </c>
      <c r="I5" s="43" t="str">
        <f t="shared" si="1"/>
        <v>Urgents</v>
      </c>
      <c r="J5" s="12" t="str">
        <f ca="1">IF(opérations[[#This Row],[Reste]]="","",TODAY()-opérations[[#This Row],[Date]]&amp;" jrs")</f>
        <v>13 jrs</v>
      </c>
    </row>
    <row r="6" spans="1:10" ht="27.75" x14ac:dyDescent="0.2">
      <c r="A6" s="47" t="s">
        <v>77</v>
      </c>
      <c r="B6" s="48">
        <v>46220</v>
      </c>
      <c r="C6" s="49" t="s">
        <v>84</v>
      </c>
      <c r="D6" s="49" t="s">
        <v>23</v>
      </c>
      <c r="E6" s="59">
        <v>850</v>
      </c>
      <c r="F6" s="59">
        <v>1000</v>
      </c>
      <c r="G6" s="59"/>
      <c r="H6" s="60">
        <f t="shared" si="2"/>
        <v>-150</v>
      </c>
      <c r="I6" s="43" t="str">
        <f t="shared" si="1"/>
        <v/>
      </c>
      <c r="J6" s="12" t="str">
        <f ca="1">IF(opérations[[#This Row],[Reste]]="","",TODAY()-opérations[[#This Row],[Date]]&amp;" jrs")</f>
        <v>12 jrs</v>
      </c>
    </row>
    <row r="7" spans="1:10" x14ac:dyDescent="0.2">
      <c r="A7" s="47" t="s">
        <v>85</v>
      </c>
      <c r="B7" s="48">
        <v>46220</v>
      </c>
      <c r="C7" s="49" t="s">
        <v>86</v>
      </c>
      <c r="D7" s="49" t="s">
        <v>15</v>
      </c>
      <c r="E7" s="59">
        <v>2250</v>
      </c>
      <c r="F7" s="59">
        <v>5000</v>
      </c>
      <c r="G7" s="59">
        <v>-3000</v>
      </c>
      <c r="H7" s="60">
        <f t="shared" si="2"/>
        <v>250</v>
      </c>
      <c r="I7" s="43" t="str">
        <f t="shared" si="1"/>
        <v/>
      </c>
      <c r="J7" s="12" t="str">
        <f ca="1">IF(opérations[[#This Row],[Reste]]="","",TODAY()-opérations[[#This Row],[Date]]&amp;" jrs")</f>
        <v>12 jrs</v>
      </c>
    </row>
    <row r="8" spans="1:10" x14ac:dyDescent="0.2">
      <c r="A8" s="47" t="s">
        <v>22</v>
      </c>
      <c r="B8" s="48">
        <v>46221</v>
      </c>
      <c r="C8" s="49" t="s">
        <v>87</v>
      </c>
      <c r="D8" s="49" t="s">
        <v>23</v>
      </c>
      <c r="E8" s="59">
        <v>24000</v>
      </c>
      <c r="F8" s="59">
        <v>25000</v>
      </c>
      <c r="G8" s="59"/>
      <c r="H8" s="60">
        <f t="shared" si="2"/>
        <v>-1000</v>
      </c>
      <c r="I8" s="43" t="str">
        <f t="shared" si="1"/>
        <v/>
      </c>
      <c r="J8" s="12" t="str">
        <f ca="1">IF(opérations[[#This Row],[Reste]]="","",TODAY()-opérations[[#This Row],[Date]]&amp;" jrs")</f>
        <v>11 jrs</v>
      </c>
    </row>
    <row r="9" spans="1:10" x14ac:dyDescent="0.2">
      <c r="A9" s="47" t="s">
        <v>88</v>
      </c>
      <c r="B9" s="48">
        <v>46221</v>
      </c>
      <c r="C9" s="49" t="s">
        <v>89</v>
      </c>
      <c r="D9" s="49" t="s">
        <v>23</v>
      </c>
      <c r="E9" s="59">
        <v>1250</v>
      </c>
      <c r="F9" s="59">
        <v>1500</v>
      </c>
      <c r="G9" s="59"/>
      <c r="H9" s="60">
        <f t="shared" si="2"/>
        <v>-250</v>
      </c>
      <c r="I9" s="43" t="str">
        <f t="shared" si="1"/>
        <v/>
      </c>
      <c r="J9" s="12" t="str">
        <f ca="1">IF(opérations[[#This Row],[Reste]]="","",TODAY()-opérations[[#This Row],[Date]]&amp;" jrs")</f>
        <v>11 jrs</v>
      </c>
    </row>
    <row r="10" spans="1:10" ht="27.75" x14ac:dyDescent="0.2">
      <c r="A10" s="47" t="s">
        <v>75</v>
      </c>
      <c r="B10" s="48">
        <v>46222</v>
      </c>
      <c r="C10" s="49" t="s">
        <v>90</v>
      </c>
      <c r="D10" s="49" t="s">
        <v>23</v>
      </c>
      <c r="E10" s="59">
        <v>650</v>
      </c>
      <c r="F10" s="59">
        <v>1000</v>
      </c>
      <c r="G10" s="59"/>
      <c r="H10" s="60">
        <f t="shared" si="2"/>
        <v>-350</v>
      </c>
      <c r="I10" s="43" t="str">
        <f t="shared" si="1"/>
        <v/>
      </c>
      <c r="J10" s="12" t="str">
        <f ca="1">IF(opérations[[#This Row],[Reste]]="","",TODAY()-opérations[[#This Row],[Date]]&amp;" jrs")</f>
        <v>10 jrs</v>
      </c>
    </row>
    <row r="11" spans="1:10" ht="41.25" x14ac:dyDescent="0.2">
      <c r="A11" s="47" t="s">
        <v>91</v>
      </c>
      <c r="B11" s="48">
        <v>46222</v>
      </c>
      <c r="C11" s="49" t="s">
        <v>92</v>
      </c>
      <c r="D11" s="49" t="s">
        <v>15</v>
      </c>
      <c r="E11" s="59">
        <v>800</v>
      </c>
      <c r="F11" s="59">
        <v>500</v>
      </c>
      <c r="G11" s="59"/>
      <c r="H11" s="60">
        <f t="shared" si="2"/>
        <v>300</v>
      </c>
      <c r="I11" s="43" t="str">
        <f t="shared" si="1"/>
        <v/>
      </c>
      <c r="J11" s="12" t="str">
        <f ca="1">IF(opérations[[#This Row],[Reste]]="","",TODAY()-opérations[[#This Row],[Date]]&amp;" jrs")</f>
        <v>10 jrs</v>
      </c>
    </row>
    <row r="12" spans="1:10" ht="27.75" x14ac:dyDescent="0.2">
      <c r="A12" s="47" t="s">
        <v>93</v>
      </c>
      <c r="B12" s="48">
        <v>46223</v>
      </c>
      <c r="C12" s="49" t="s">
        <v>94</v>
      </c>
      <c r="D12" s="49" t="s">
        <v>15</v>
      </c>
      <c r="E12" s="59">
        <v>17500</v>
      </c>
      <c r="F12" s="59">
        <v>15000</v>
      </c>
      <c r="G12" s="59"/>
      <c r="H12" s="60">
        <f t="shared" si="2"/>
        <v>2500</v>
      </c>
      <c r="I12" s="43" t="str">
        <f t="shared" si="1"/>
        <v/>
      </c>
      <c r="J12" s="12" t="str">
        <f ca="1">IF(opérations[[#This Row],[Reste]]="","",TODAY()-opérations[[#This Row],[Date]]&amp;" jrs")</f>
        <v>9 jrs</v>
      </c>
    </row>
    <row r="13" spans="1:10" x14ac:dyDescent="0.2">
      <c r="A13" s="47" t="s">
        <v>95</v>
      </c>
      <c r="B13" s="48">
        <v>46223</v>
      </c>
      <c r="C13" s="49" t="s">
        <v>96</v>
      </c>
      <c r="D13" s="49" t="s">
        <v>23</v>
      </c>
      <c r="E13" s="59">
        <v>750</v>
      </c>
      <c r="F13" s="59">
        <v>1000</v>
      </c>
      <c r="G13" s="59"/>
      <c r="H13" s="60">
        <f t="shared" si="2"/>
        <v>-250</v>
      </c>
      <c r="I13" s="43" t="str">
        <f t="shared" si="1"/>
        <v/>
      </c>
      <c r="J13" s="12" t="str">
        <f ca="1">IF(opérations[[#This Row],[Reste]]="","",TODAY()-opérations[[#This Row],[Date]]&amp;" jrs")</f>
        <v>9 jrs</v>
      </c>
    </row>
    <row r="14" spans="1:10" x14ac:dyDescent="0.2">
      <c r="A14" s="47" t="s">
        <v>22</v>
      </c>
      <c r="B14" s="48">
        <v>46224</v>
      </c>
      <c r="C14" s="49" t="s">
        <v>97</v>
      </c>
      <c r="D14" s="49" t="s">
        <v>15</v>
      </c>
      <c r="E14" s="59">
        <v>500</v>
      </c>
      <c r="F14" s="59"/>
      <c r="G14" s="59"/>
      <c r="H14" s="60">
        <f t="shared" si="2"/>
        <v>500</v>
      </c>
      <c r="I14" s="43" t="str">
        <f t="shared" si="1"/>
        <v/>
      </c>
      <c r="J14" s="13" t="str">
        <f ca="1">IF(opérations[[#This Row],[Reste]]="","",TODAY()-opérations[[#This Row],[Date]]&amp;" jrs")</f>
        <v>8 jrs</v>
      </c>
    </row>
    <row r="15" spans="1:10" x14ac:dyDescent="0.2">
      <c r="A15" s="51" t="s">
        <v>98</v>
      </c>
      <c r="B15" s="52">
        <v>46224</v>
      </c>
      <c r="C15" s="53" t="s">
        <v>99</v>
      </c>
      <c r="D15" s="53" t="s">
        <v>15</v>
      </c>
      <c r="E15" s="61">
        <v>7500</v>
      </c>
      <c r="F15" s="61">
        <v>5000</v>
      </c>
      <c r="G15" s="61"/>
      <c r="H15" s="60">
        <f t="shared" ref="H15:H20" si="3">IF(E15="","",E15-F15-G15)</f>
        <v>2500</v>
      </c>
      <c r="I15" s="43" t="str">
        <f t="shared" si="1"/>
        <v/>
      </c>
      <c r="J15" s="12" t="str">
        <f ca="1">IF(opérations[[#This Row],[Reste]]="","",TODAY()-opérations[[#This Row],[Date]]&amp;" jrs")</f>
        <v>8 jrs</v>
      </c>
    </row>
    <row r="16" spans="1:10" ht="27.75" x14ac:dyDescent="0.2">
      <c r="A16" s="47" t="s">
        <v>98</v>
      </c>
      <c r="B16" s="48">
        <v>46225</v>
      </c>
      <c r="C16" s="49" t="s">
        <v>100</v>
      </c>
      <c r="D16" s="49" t="s">
        <v>23</v>
      </c>
      <c r="E16" s="59">
        <v>9000</v>
      </c>
      <c r="F16" s="59">
        <v>10000</v>
      </c>
      <c r="G16" s="59"/>
      <c r="H16" s="60">
        <f t="shared" si="3"/>
        <v>-1000</v>
      </c>
      <c r="I16" s="43" t="str">
        <f t="shared" si="1"/>
        <v/>
      </c>
      <c r="J16" s="12" t="str">
        <f ca="1">IF(opérations[[#This Row],[Reste]]="","",TODAY()-opérations[[#This Row],[Date]]&amp;" jrs")</f>
        <v>7 jrs</v>
      </c>
    </row>
    <row r="17" spans="1:10" x14ac:dyDescent="0.2">
      <c r="A17" s="47" t="s">
        <v>101</v>
      </c>
      <c r="B17" s="48">
        <v>46225</v>
      </c>
      <c r="C17" s="49" t="s">
        <v>102</v>
      </c>
      <c r="D17" s="49" t="s">
        <v>23</v>
      </c>
      <c r="E17" s="59">
        <v>1250</v>
      </c>
      <c r="F17" s="59">
        <v>2000</v>
      </c>
      <c r="G17" s="59">
        <v>-500</v>
      </c>
      <c r="H17" s="60">
        <f t="shared" si="3"/>
        <v>-250</v>
      </c>
      <c r="I17" s="43" t="str">
        <f t="shared" si="1"/>
        <v/>
      </c>
      <c r="J17" s="12" t="str">
        <f ca="1">IF(opérations[[#This Row],[Reste]]="","",TODAY()-opérations[[#This Row],[Date]]&amp;" jrs")</f>
        <v>7 jrs</v>
      </c>
    </row>
    <row r="18" spans="1:10" x14ac:dyDescent="0.2">
      <c r="A18" s="47" t="s">
        <v>103</v>
      </c>
      <c r="B18" s="48">
        <v>46226</v>
      </c>
      <c r="C18" s="49" t="s">
        <v>104</v>
      </c>
      <c r="D18" s="49" t="s">
        <v>15</v>
      </c>
      <c r="E18" s="59">
        <v>1500</v>
      </c>
      <c r="F18" s="59"/>
      <c r="G18" s="59"/>
      <c r="H18" s="60">
        <f t="shared" si="3"/>
        <v>1500</v>
      </c>
      <c r="I18" s="43" t="str">
        <f t="shared" si="1"/>
        <v/>
      </c>
      <c r="J18" s="12" t="str">
        <f ca="1">IF(opérations[[#This Row],[Reste]]="","",TODAY()-opérations[[#This Row],[Date]]&amp;" jrs")</f>
        <v>6 jrs</v>
      </c>
    </row>
    <row r="19" spans="1:10" x14ac:dyDescent="0.2">
      <c r="A19" s="47" t="s">
        <v>103</v>
      </c>
      <c r="B19" s="48">
        <v>46227</v>
      </c>
      <c r="C19" s="49" t="s">
        <v>105</v>
      </c>
      <c r="D19" s="49" t="s">
        <v>23</v>
      </c>
      <c r="E19" s="59">
        <v>2250</v>
      </c>
      <c r="F19" s="59">
        <v>3000</v>
      </c>
      <c r="G19" s="59"/>
      <c r="H19" s="60">
        <f t="shared" si="3"/>
        <v>-750</v>
      </c>
      <c r="I19" s="43" t="str">
        <f t="shared" si="1"/>
        <v/>
      </c>
      <c r="J19" s="12" t="str">
        <f ca="1">IF(opérations[[#This Row],[Reste]]="","",TODAY()-opérations[[#This Row],[Date]]&amp;" jrs")</f>
        <v>5 jrs</v>
      </c>
    </row>
    <row r="20" spans="1:10" x14ac:dyDescent="0.2">
      <c r="A20" s="47" t="s">
        <v>106</v>
      </c>
      <c r="B20" s="48">
        <v>46232</v>
      </c>
      <c r="C20" s="49" t="s">
        <v>107</v>
      </c>
      <c r="D20" s="49" t="s">
        <v>15</v>
      </c>
      <c r="E20" s="59">
        <v>7500</v>
      </c>
      <c r="F20" s="59"/>
      <c r="G20" s="59"/>
      <c r="H20" s="60">
        <f t="shared" si="3"/>
        <v>7500</v>
      </c>
      <c r="I20" s="43" t="str">
        <f t="shared" si="1"/>
        <v>Urgents</v>
      </c>
      <c r="J20" s="13" t="str">
        <f ca="1">IF(opérations[[#This Row],[Reste]]="","",TODAY()-opérations[[#This Row],[Date]]&amp;" jrs")</f>
        <v>0 jrs</v>
      </c>
    </row>
    <row r="21" spans="1:10" x14ac:dyDescent="0.2">
      <c r="A21" s="47"/>
      <c r="B21" s="55"/>
      <c r="C21" s="49"/>
      <c r="D21" s="49"/>
      <c r="E21" s="59"/>
      <c r="F21" s="59"/>
      <c r="G21" s="59"/>
      <c r="H21" s="60" t="str">
        <f t="shared" ref="H21:H22" si="4">IF(E21="","",E21-F21-G21)</f>
        <v/>
      </c>
      <c r="I21" s="57" t="str">
        <f t="shared" ref="I21:I22" si="5">IF(H21="","",IF(H21&gt;=5000,"Urgents",""))</f>
        <v/>
      </c>
      <c r="J21" s="50" t="str">
        <f ca="1">IF(opérations[[#This Row],[Reste]]="","",TODAY()-opérations[[#This Row],[Date]]&amp;" jrs")</f>
        <v/>
      </c>
    </row>
    <row r="22" spans="1:10" x14ac:dyDescent="0.2">
      <c r="A22" s="51"/>
      <c r="B22" s="55"/>
      <c r="C22" s="53"/>
      <c r="D22" s="53"/>
      <c r="E22" s="61"/>
      <c r="F22" s="61"/>
      <c r="G22" s="61"/>
      <c r="H22" s="60" t="str">
        <f t="shared" si="4"/>
        <v/>
      </c>
      <c r="I22" s="58" t="str">
        <f t="shared" si="5"/>
        <v/>
      </c>
      <c r="J22" s="54" t="str">
        <f ca="1">IF(opérations[[#This Row],[Reste]]="","",TODAY()-opérations[[#This Row],[Date]]&amp;" jrs")</f>
        <v/>
      </c>
    </row>
    <row r="23" spans="1:10" x14ac:dyDescent="0.2">
      <c r="A23" s="47"/>
      <c r="B23" s="52"/>
      <c r="C23" s="49"/>
      <c r="D23" s="49"/>
      <c r="E23" s="59"/>
      <c r="F23" s="59"/>
      <c r="G23" s="59"/>
      <c r="H23" s="60" t="str">
        <f t="shared" ref="H23:H28" si="6">IF(E23="","",E23-F23-G23)</f>
        <v/>
      </c>
      <c r="I23" s="69" t="str">
        <f t="shared" ref="I23:I28" si="7">IF(H23="","",IF(H23&gt;=5000,"Urgents",""))</f>
        <v/>
      </c>
      <c r="J23" s="50" t="str">
        <f ca="1">IF(opérations[[#This Row],[Reste]]="","",TODAY()-opérations[[#This Row],[Date]]&amp;" jrs")</f>
        <v/>
      </c>
    </row>
    <row r="24" spans="1:10" x14ac:dyDescent="0.2">
      <c r="A24" s="47"/>
      <c r="B24" s="55"/>
      <c r="C24" s="49"/>
      <c r="D24" s="49"/>
      <c r="E24" s="59"/>
      <c r="F24" s="59"/>
      <c r="G24" s="59"/>
      <c r="H24" s="60" t="str">
        <f t="shared" si="6"/>
        <v/>
      </c>
      <c r="I24" s="69" t="str">
        <f t="shared" si="7"/>
        <v/>
      </c>
      <c r="J24" s="50" t="str">
        <f ca="1">IF(opérations[[#This Row],[Reste]]="","",TODAY()-opérations[[#This Row],[Date]]&amp;" jrs")</f>
        <v/>
      </c>
    </row>
    <row r="25" spans="1:10" x14ac:dyDescent="0.2">
      <c r="A25" s="47"/>
      <c r="B25" s="55"/>
      <c r="C25" s="49"/>
      <c r="D25" s="49"/>
      <c r="E25" s="59"/>
      <c r="F25" s="59"/>
      <c r="G25" s="59"/>
      <c r="H25" s="60" t="str">
        <f t="shared" si="6"/>
        <v/>
      </c>
      <c r="I25" s="69" t="str">
        <f t="shared" si="7"/>
        <v/>
      </c>
      <c r="J25" s="50" t="str">
        <f ca="1">IF(opérations[[#This Row],[Reste]]="","",TODAY()-opérations[[#This Row],[Date]]&amp;" jrs")</f>
        <v/>
      </c>
    </row>
    <row r="26" spans="1:10" x14ac:dyDescent="0.2">
      <c r="A26" s="47"/>
      <c r="B26" s="55"/>
      <c r="C26" s="49"/>
      <c r="D26" s="49"/>
      <c r="E26" s="59"/>
      <c r="F26" s="59"/>
      <c r="G26" s="59"/>
      <c r="H26" s="60" t="str">
        <f t="shared" si="6"/>
        <v/>
      </c>
      <c r="I26" s="69" t="str">
        <f t="shared" si="7"/>
        <v/>
      </c>
      <c r="J26" s="50" t="str">
        <f ca="1">IF(opérations[[#This Row],[Reste]]="","",TODAY()-opérations[[#This Row],[Date]]&amp;" jrs")</f>
        <v/>
      </c>
    </row>
    <row r="27" spans="1:10" x14ac:dyDescent="0.2">
      <c r="A27" s="47"/>
      <c r="B27" s="55"/>
      <c r="C27" s="49"/>
      <c r="D27" s="49"/>
      <c r="E27" s="59"/>
      <c r="F27" s="59"/>
      <c r="G27" s="59"/>
      <c r="H27" s="60" t="str">
        <f t="shared" si="6"/>
        <v/>
      </c>
      <c r="I27" s="69" t="str">
        <f t="shared" si="7"/>
        <v/>
      </c>
      <c r="J27" s="50" t="str">
        <f ca="1">IF(opérations[[#This Row],[Reste]]="","",TODAY()-opérations[[#This Row],[Date]]&amp;" jrs")</f>
        <v/>
      </c>
    </row>
    <row r="28" spans="1:10" x14ac:dyDescent="0.2">
      <c r="A28" s="51"/>
      <c r="B28" s="55"/>
      <c r="C28" s="53"/>
      <c r="D28" s="53"/>
      <c r="E28" s="61"/>
      <c r="F28" s="61"/>
      <c r="G28" s="61"/>
      <c r="H28" s="60" t="str">
        <f t="shared" si="6"/>
        <v/>
      </c>
      <c r="I28" s="70" t="str">
        <f t="shared" si="7"/>
        <v/>
      </c>
      <c r="J28" s="54" t="str">
        <f ca="1">IF(opérations[[#This Row],[Reste]]="","",TODAY()-opérations[[#This Row],[Date]]&amp;" jrs")</f>
        <v/>
      </c>
    </row>
    <row r="29" spans="1:10" x14ac:dyDescent="0.2">
      <c r="A29" s="47"/>
      <c r="B29" s="52"/>
      <c r="C29" s="49"/>
      <c r="D29" s="49"/>
      <c r="E29" s="59"/>
      <c r="F29" s="59"/>
      <c r="G29" s="59"/>
      <c r="H29" s="60" t="str">
        <f t="shared" ref="H29:H35" si="8">IF(E29="","",E29-F29-G29)</f>
        <v/>
      </c>
      <c r="I29" s="69" t="str">
        <f t="shared" ref="I29:I35" si="9">IF(H29="","",IF(H29&gt;=5000,"Urgents",""))</f>
        <v/>
      </c>
      <c r="J29" s="50" t="str">
        <f ca="1">IF(opérations[[#This Row],[Reste]]="","",TODAY()-opérations[[#This Row],[Date]]&amp;" jrs")</f>
        <v/>
      </c>
    </row>
    <row r="30" spans="1:10" x14ac:dyDescent="0.2">
      <c r="A30" s="47"/>
      <c r="B30" s="55"/>
      <c r="C30" s="49"/>
      <c r="D30" s="49"/>
      <c r="E30" s="59"/>
      <c r="F30" s="59"/>
      <c r="G30" s="59"/>
      <c r="H30" s="60" t="str">
        <f t="shared" si="8"/>
        <v/>
      </c>
      <c r="I30" s="69" t="str">
        <f t="shared" si="9"/>
        <v/>
      </c>
      <c r="J30" s="50" t="str">
        <f ca="1">IF(opérations[[#This Row],[Reste]]="","",TODAY()-opérations[[#This Row],[Date]]&amp;" jrs")</f>
        <v/>
      </c>
    </row>
    <row r="31" spans="1:10" x14ac:dyDescent="0.2">
      <c r="A31" s="47"/>
      <c r="B31" s="55"/>
      <c r="C31" s="49"/>
      <c r="D31" s="49"/>
      <c r="E31" s="59"/>
      <c r="F31" s="59"/>
      <c r="G31" s="59"/>
      <c r="H31" s="60" t="str">
        <f t="shared" si="8"/>
        <v/>
      </c>
      <c r="I31" s="69" t="str">
        <f t="shared" si="9"/>
        <v/>
      </c>
      <c r="J31" s="50" t="str">
        <f ca="1">IF(opérations[[#This Row],[Reste]]="","",TODAY()-opérations[[#This Row],[Date]]&amp;" jrs")</f>
        <v/>
      </c>
    </row>
    <row r="32" spans="1:10" x14ac:dyDescent="0.2">
      <c r="A32" s="47"/>
      <c r="B32" s="55"/>
      <c r="C32" s="49"/>
      <c r="D32" s="49"/>
      <c r="E32" s="59"/>
      <c r="F32" s="59"/>
      <c r="G32" s="59"/>
      <c r="H32" s="60" t="str">
        <f t="shared" si="8"/>
        <v/>
      </c>
      <c r="I32" s="69" t="str">
        <f t="shared" si="9"/>
        <v/>
      </c>
      <c r="J32" s="50" t="str">
        <f ca="1">IF(opérations[[#This Row],[Reste]]="","",TODAY()-opérations[[#This Row],[Date]]&amp;" jrs")</f>
        <v/>
      </c>
    </row>
    <row r="33" spans="1:10" x14ac:dyDescent="0.2">
      <c r="A33" s="47"/>
      <c r="B33" s="55"/>
      <c r="C33" s="49"/>
      <c r="D33" s="49"/>
      <c r="E33" s="59"/>
      <c r="F33" s="59"/>
      <c r="G33" s="59"/>
      <c r="H33" s="60" t="str">
        <f t="shared" si="8"/>
        <v/>
      </c>
      <c r="I33" s="69" t="str">
        <f t="shared" si="9"/>
        <v/>
      </c>
      <c r="J33" s="50" t="str">
        <f ca="1">IF(opérations[[#This Row],[Reste]]="","",TODAY()-opérations[[#This Row],[Date]]&amp;" jrs")</f>
        <v/>
      </c>
    </row>
    <row r="34" spans="1:10" x14ac:dyDescent="0.2">
      <c r="A34" s="47"/>
      <c r="B34" s="55"/>
      <c r="C34" s="49"/>
      <c r="D34" s="49"/>
      <c r="E34" s="59"/>
      <c r="F34" s="59"/>
      <c r="G34" s="59"/>
      <c r="H34" s="60" t="str">
        <f t="shared" si="8"/>
        <v/>
      </c>
      <c r="I34" s="69" t="str">
        <f t="shared" si="9"/>
        <v/>
      </c>
      <c r="J34" s="50" t="str">
        <f ca="1">IF(opérations[[#This Row],[Reste]]="","",TODAY()-opérations[[#This Row],[Date]]&amp;" jrs")</f>
        <v/>
      </c>
    </row>
    <row r="35" spans="1:10" x14ac:dyDescent="0.2">
      <c r="A35" s="51"/>
      <c r="B35" s="55"/>
      <c r="C35" s="53"/>
      <c r="D35" s="53"/>
      <c r="E35" s="61"/>
      <c r="F35" s="61"/>
      <c r="G35" s="61"/>
      <c r="H35" s="60" t="str">
        <f t="shared" si="8"/>
        <v/>
      </c>
      <c r="I35" s="70" t="str">
        <f t="shared" si="9"/>
        <v/>
      </c>
      <c r="J35" s="54" t="str">
        <f ca="1">IF(opérations[[#This Row],[Reste]]="","",TODAY()-opérations[[#This Row],[Date]]&amp;" jrs")</f>
        <v/>
      </c>
    </row>
    <row r="36" spans="1:10" x14ac:dyDescent="0.2">
      <c r="A36" s="47"/>
      <c r="B36" s="52"/>
      <c r="C36" s="49"/>
      <c r="D36" s="49"/>
      <c r="E36" s="59"/>
      <c r="F36" s="59"/>
      <c r="G36" s="59"/>
      <c r="H36" s="60" t="str">
        <f t="shared" ref="H36:H67" si="10">IF(E36="","",E36-F36-G36)</f>
        <v/>
      </c>
      <c r="I36" s="69" t="str">
        <f t="shared" ref="I36:I67" si="11">IF(H36="","",IF(H36&gt;=5000,"Urgents",""))</f>
        <v/>
      </c>
      <c r="J36" s="50" t="str">
        <f ca="1">IF(opérations[[#This Row],[Reste]]="","",TODAY()-opérations[[#This Row],[Date]]&amp;" jrs")</f>
        <v/>
      </c>
    </row>
    <row r="37" spans="1:10" x14ac:dyDescent="0.2">
      <c r="A37" s="47"/>
      <c r="B37" s="55"/>
      <c r="C37" s="49"/>
      <c r="D37" s="49"/>
      <c r="E37" s="59"/>
      <c r="F37" s="59"/>
      <c r="G37" s="59"/>
      <c r="H37" s="60" t="str">
        <f t="shared" si="10"/>
        <v/>
      </c>
      <c r="I37" s="69" t="str">
        <f t="shared" si="11"/>
        <v/>
      </c>
      <c r="J37" s="50" t="str">
        <f ca="1">IF(opérations[[#This Row],[Reste]]="","",TODAY()-opérations[[#This Row],[Date]]&amp;" jrs")</f>
        <v/>
      </c>
    </row>
    <row r="38" spans="1:10" x14ac:dyDescent="0.2">
      <c r="A38" s="47"/>
      <c r="B38" s="55"/>
      <c r="C38" s="49"/>
      <c r="D38" s="49"/>
      <c r="E38" s="59"/>
      <c r="F38" s="59"/>
      <c r="G38" s="59"/>
      <c r="H38" s="60" t="str">
        <f t="shared" si="10"/>
        <v/>
      </c>
      <c r="I38" s="69" t="str">
        <f t="shared" si="11"/>
        <v/>
      </c>
      <c r="J38" s="50" t="str">
        <f ca="1">IF(opérations[[#This Row],[Reste]]="","",TODAY()-opérations[[#This Row],[Date]]&amp;" jrs")</f>
        <v/>
      </c>
    </row>
    <row r="39" spans="1:10" x14ac:dyDescent="0.2">
      <c r="A39" s="47"/>
      <c r="B39" s="55"/>
      <c r="C39" s="49"/>
      <c r="D39" s="49"/>
      <c r="E39" s="59"/>
      <c r="F39" s="59"/>
      <c r="G39" s="59"/>
      <c r="H39" s="60" t="str">
        <f t="shared" si="10"/>
        <v/>
      </c>
      <c r="I39" s="69" t="str">
        <f t="shared" si="11"/>
        <v/>
      </c>
      <c r="J39" s="50" t="str">
        <f ca="1">IF(opérations[[#This Row],[Reste]]="","",TODAY()-opérations[[#This Row],[Date]]&amp;" jrs")</f>
        <v/>
      </c>
    </row>
    <row r="40" spans="1:10" x14ac:dyDescent="0.2">
      <c r="A40" s="47"/>
      <c r="B40" s="55"/>
      <c r="C40" s="49"/>
      <c r="D40" s="49"/>
      <c r="E40" s="59"/>
      <c r="F40" s="59"/>
      <c r="G40" s="59"/>
      <c r="H40" s="60" t="str">
        <f t="shared" si="10"/>
        <v/>
      </c>
      <c r="I40" s="69" t="str">
        <f t="shared" si="11"/>
        <v/>
      </c>
      <c r="J40" s="50" t="str">
        <f ca="1">IF(opérations[[#This Row],[Reste]]="","",TODAY()-opérations[[#This Row],[Date]]&amp;" jrs")</f>
        <v/>
      </c>
    </row>
    <row r="41" spans="1:10" x14ac:dyDescent="0.2">
      <c r="A41" s="47"/>
      <c r="B41" s="55"/>
      <c r="C41" s="49"/>
      <c r="D41" s="49"/>
      <c r="E41" s="59"/>
      <c r="F41" s="59"/>
      <c r="G41" s="59"/>
      <c r="H41" s="60" t="str">
        <f t="shared" si="10"/>
        <v/>
      </c>
      <c r="I41" s="69" t="str">
        <f t="shared" si="11"/>
        <v/>
      </c>
      <c r="J41" s="50" t="str">
        <f ca="1">IF(opérations[[#This Row],[Reste]]="","",TODAY()-opérations[[#This Row],[Date]]&amp;" jrs")</f>
        <v/>
      </c>
    </row>
    <row r="42" spans="1:10" x14ac:dyDescent="0.2">
      <c r="A42" s="47"/>
      <c r="B42" s="55"/>
      <c r="C42" s="49"/>
      <c r="D42" s="49"/>
      <c r="E42" s="59"/>
      <c r="F42" s="59"/>
      <c r="G42" s="59"/>
      <c r="H42" s="60" t="str">
        <f t="shared" si="10"/>
        <v/>
      </c>
      <c r="I42" s="69" t="str">
        <f t="shared" si="11"/>
        <v/>
      </c>
      <c r="J42" s="50" t="str">
        <f ca="1">IF(opérations[[#This Row],[Reste]]="","",TODAY()-opérations[[#This Row],[Date]]&amp;" jrs")</f>
        <v/>
      </c>
    </row>
    <row r="43" spans="1:10" x14ac:dyDescent="0.2">
      <c r="A43" s="47"/>
      <c r="B43" s="55"/>
      <c r="C43" s="49"/>
      <c r="D43" s="49"/>
      <c r="E43" s="59"/>
      <c r="F43" s="59"/>
      <c r="G43" s="59"/>
      <c r="H43" s="60" t="str">
        <f t="shared" si="10"/>
        <v/>
      </c>
      <c r="I43" s="69" t="str">
        <f t="shared" si="11"/>
        <v/>
      </c>
      <c r="J43" s="50" t="str">
        <f ca="1">IF(opérations[[#This Row],[Reste]]="","",TODAY()-opérations[[#This Row],[Date]]&amp;" jrs")</f>
        <v/>
      </c>
    </row>
    <row r="44" spans="1:10" x14ac:dyDescent="0.2">
      <c r="A44" s="47"/>
      <c r="B44" s="55"/>
      <c r="C44" s="49"/>
      <c r="D44" s="49"/>
      <c r="E44" s="59"/>
      <c r="F44" s="59"/>
      <c r="G44" s="59"/>
      <c r="H44" s="60" t="str">
        <f t="shared" si="10"/>
        <v/>
      </c>
      <c r="I44" s="69" t="str">
        <f t="shared" si="11"/>
        <v/>
      </c>
      <c r="J44" s="50" t="str">
        <f ca="1">IF(opérations[[#This Row],[Reste]]="","",TODAY()-opérations[[#This Row],[Date]]&amp;" jrs")</f>
        <v/>
      </c>
    </row>
    <row r="45" spans="1:10" x14ac:dyDescent="0.2">
      <c r="A45" s="47"/>
      <c r="B45" s="55"/>
      <c r="C45" s="49"/>
      <c r="D45" s="49"/>
      <c r="E45" s="59"/>
      <c r="F45" s="59"/>
      <c r="G45" s="59"/>
      <c r="H45" s="60" t="str">
        <f t="shared" si="10"/>
        <v/>
      </c>
      <c r="I45" s="69" t="str">
        <f t="shared" si="11"/>
        <v/>
      </c>
      <c r="J45" s="50" t="str">
        <f ca="1">IF(opérations[[#This Row],[Reste]]="","",TODAY()-opérations[[#This Row],[Date]]&amp;" jrs")</f>
        <v/>
      </c>
    </row>
    <row r="46" spans="1:10" x14ac:dyDescent="0.2">
      <c r="A46" s="47"/>
      <c r="B46" s="55"/>
      <c r="C46" s="49"/>
      <c r="D46" s="49"/>
      <c r="E46" s="59"/>
      <c r="F46" s="59"/>
      <c r="G46" s="59"/>
      <c r="H46" s="60" t="str">
        <f t="shared" si="10"/>
        <v/>
      </c>
      <c r="I46" s="69" t="str">
        <f t="shared" si="11"/>
        <v/>
      </c>
      <c r="J46" s="50" t="str">
        <f ca="1">IF(opérations[[#This Row],[Reste]]="","",TODAY()-opérations[[#This Row],[Date]]&amp;" jrs")</f>
        <v/>
      </c>
    </row>
    <row r="47" spans="1:10" x14ac:dyDescent="0.2">
      <c r="A47" s="47"/>
      <c r="B47" s="55"/>
      <c r="C47" s="49"/>
      <c r="D47" s="49"/>
      <c r="E47" s="59"/>
      <c r="F47" s="59"/>
      <c r="G47" s="59"/>
      <c r="H47" s="60" t="str">
        <f t="shared" si="10"/>
        <v/>
      </c>
      <c r="I47" s="69" t="str">
        <f t="shared" si="11"/>
        <v/>
      </c>
      <c r="J47" s="50" t="str">
        <f ca="1">IF(opérations[[#This Row],[Reste]]="","",TODAY()-opérations[[#This Row],[Date]]&amp;" jrs")</f>
        <v/>
      </c>
    </row>
    <row r="48" spans="1:10" x14ac:dyDescent="0.2">
      <c r="A48" s="47"/>
      <c r="B48" s="55"/>
      <c r="C48" s="49"/>
      <c r="D48" s="49"/>
      <c r="E48" s="59"/>
      <c r="F48" s="59"/>
      <c r="G48" s="59"/>
      <c r="H48" s="60" t="str">
        <f t="shared" si="10"/>
        <v/>
      </c>
      <c r="I48" s="69" t="str">
        <f t="shared" si="11"/>
        <v/>
      </c>
      <c r="J48" s="50" t="str">
        <f ca="1">IF(opérations[[#This Row],[Reste]]="","",TODAY()-opérations[[#This Row],[Date]]&amp;" jrs")</f>
        <v/>
      </c>
    </row>
    <row r="49" spans="1:10" x14ac:dyDescent="0.2">
      <c r="A49" s="47"/>
      <c r="B49" s="55"/>
      <c r="C49" s="49"/>
      <c r="D49" s="49"/>
      <c r="E49" s="59"/>
      <c r="F49" s="59"/>
      <c r="G49" s="59"/>
      <c r="H49" s="60" t="str">
        <f t="shared" si="10"/>
        <v/>
      </c>
      <c r="I49" s="69" t="str">
        <f t="shared" si="11"/>
        <v/>
      </c>
      <c r="J49" s="50" t="str">
        <f ca="1">IF(opérations[[#This Row],[Reste]]="","",TODAY()-opérations[[#This Row],[Date]]&amp;" jrs")</f>
        <v/>
      </c>
    </row>
    <row r="50" spans="1:10" x14ac:dyDescent="0.2">
      <c r="A50" s="47"/>
      <c r="B50" s="55"/>
      <c r="C50" s="49"/>
      <c r="D50" s="49"/>
      <c r="E50" s="59"/>
      <c r="F50" s="59"/>
      <c r="G50" s="59"/>
      <c r="H50" s="60" t="str">
        <f t="shared" si="10"/>
        <v/>
      </c>
      <c r="I50" s="69" t="str">
        <f t="shared" si="11"/>
        <v/>
      </c>
      <c r="J50" s="50" t="str">
        <f ca="1">IF(opérations[[#This Row],[Reste]]="","",TODAY()-opérations[[#This Row],[Date]]&amp;" jrs")</f>
        <v/>
      </c>
    </row>
    <row r="51" spans="1:10" x14ac:dyDescent="0.2">
      <c r="A51" s="47"/>
      <c r="B51" s="55"/>
      <c r="C51" s="49"/>
      <c r="D51" s="49"/>
      <c r="E51" s="59"/>
      <c r="F51" s="59"/>
      <c r="G51" s="59"/>
      <c r="H51" s="60" t="str">
        <f t="shared" si="10"/>
        <v/>
      </c>
      <c r="I51" s="69" t="str">
        <f t="shared" si="11"/>
        <v/>
      </c>
      <c r="J51" s="50" t="str">
        <f ca="1">IF(opérations[[#This Row],[Reste]]="","",TODAY()-opérations[[#This Row],[Date]]&amp;" jrs")</f>
        <v/>
      </c>
    </row>
    <row r="52" spans="1:10" x14ac:dyDescent="0.2">
      <c r="A52" s="47"/>
      <c r="B52" s="55"/>
      <c r="C52" s="49"/>
      <c r="D52" s="49"/>
      <c r="E52" s="59"/>
      <c r="F52" s="59"/>
      <c r="G52" s="59"/>
      <c r="H52" s="60" t="str">
        <f t="shared" si="10"/>
        <v/>
      </c>
      <c r="I52" s="69" t="str">
        <f t="shared" si="11"/>
        <v/>
      </c>
      <c r="J52" s="50" t="str">
        <f ca="1">IF(opérations[[#This Row],[Reste]]="","",TODAY()-opérations[[#This Row],[Date]]&amp;" jrs")</f>
        <v/>
      </c>
    </row>
    <row r="53" spans="1:10" x14ac:dyDescent="0.2">
      <c r="A53" s="47"/>
      <c r="B53" s="55"/>
      <c r="C53" s="49"/>
      <c r="D53" s="49"/>
      <c r="E53" s="59"/>
      <c r="F53" s="59"/>
      <c r="G53" s="59"/>
      <c r="H53" s="60" t="str">
        <f t="shared" si="10"/>
        <v/>
      </c>
      <c r="I53" s="69" t="str">
        <f t="shared" si="11"/>
        <v/>
      </c>
      <c r="J53" s="50" t="str">
        <f ca="1">IF(opérations[[#This Row],[Reste]]="","",TODAY()-opérations[[#This Row],[Date]]&amp;" jrs")</f>
        <v/>
      </c>
    </row>
    <row r="54" spans="1:10" x14ac:dyDescent="0.2">
      <c r="A54" s="47"/>
      <c r="B54" s="55"/>
      <c r="C54" s="49"/>
      <c r="D54" s="49"/>
      <c r="E54" s="59"/>
      <c r="F54" s="59"/>
      <c r="G54" s="59"/>
      <c r="H54" s="60" t="str">
        <f t="shared" si="10"/>
        <v/>
      </c>
      <c r="I54" s="69" t="str">
        <f t="shared" si="11"/>
        <v/>
      </c>
      <c r="J54" s="50" t="str">
        <f ca="1">IF(opérations[[#This Row],[Reste]]="","",TODAY()-opérations[[#This Row],[Date]]&amp;" jrs")</f>
        <v/>
      </c>
    </row>
    <row r="55" spans="1:10" x14ac:dyDescent="0.2">
      <c r="A55" s="47"/>
      <c r="B55" s="55"/>
      <c r="C55" s="49"/>
      <c r="D55" s="49"/>
      <c r="E55" s="59"/>
      <c r="F55" s="59"/>
      <c r="G55" s="59"/>
      <c r="H55" s="60" t="str">
        <f t="shared" si="10"/>
        <v/>
      </c>
      <c r="I55" s="69" t="str">
        <f t="shared" si="11"/>
        <v/>
      </c>
      <c r="J55" s="50" t="str">
        <f ca="1">IF(opérations[[#This Row],[Reste]]="","",TODAY()-opérations[[#This Row],[Date]]&amp;" jrs")</f>
        <v/>
      </c>
    </row>
    <row r="56" spans="1:10" x14ac:dyDescent="0.2">
      <c r="A56" s="47"/>
      <c r="B56" s="55"/>
      <c r="C56" s="49"/>
      <c r="D56" s="49"/>
      <c r="E56" s="59"/>
      <c r="F56" s="59"/>
      <c r="G56" s="59"/>
      <c r="H56" s="60" t="str">
        <f t="shared" si="10"/>
        <v/>
      </c>
      <c r="I56" s="69" t="str">
        <f t="shared" si="11"/>
        <v/>
      </c>
      <c r="J56" s="50" t="str">
        <f ca="1">IF(opérations[[#This Row],[Reste]]="","",TODAY()-opérations[[#This Row],[Date]]&amp;" jrs")</f>
        <v/>
      </c>
    </row>
    <row r="57" spans="1:10" x14ac:dyDescent="0.2">
      <c r="A57" s="47"/>
      <c r="B57" s="55"/>
      <c r="C57" s="49"/>
      <c r="D57" s="49"/>
      <c r="E57" s="59"/>
      <c r="F57" s="59"/>
      <c r="G57" s="59"/>
      <c r="H57" s="60" t="str">
        <f t="shared" si="10"/>
        <v/>
      </c>
      <c r="I57" s="69" t="str">
        <f t="shared" si="11"/>
        <v/>
      </c>
      <c r="J57" s="50" t="str">
        <f ca="1">IF(opérations[[#This Row],[Reste]]="","",TODAY()-opérations[[#This Row],[Date]]&amp;" jrs")</f>
        <v/>
      </c>
    </row>
    <row r="58" spans="1:10" x14ac:dyDescent="0.2">
      <c r="A58" s="47"/>
      <c r="B58" s="55"/>
      <c r="C58" s="49"/>
      <c r="D58" s="49"/>
      <c r="E58" s="59"/>
      <c r="F58" s="59"/>
      <c r="G58" s="59"/>
      <c r="H58" s="60" t="str">
        <f t="shared" si="10"/>
        <v/>
      </c>
      <c r="I58" s="69" t="str">
        <f t="shared" si="11"/>
        <v/>
      </c>
      <c r="J58" s="50" t="str">
        <f ca="1">IF(opérations[[#This Row],[Reste]]="","",TODAY()-opérations[[#This Row],[Date]]&amp;" jrs")</f>
        <v/>
      </c>
    </row>
    <row r="59" spans="1:10" x14ac:dyDescent="0.2">
      <c r="A59" s="47"/>
      <c r="B59" s="55"/>
      <c r="C59" s="49"/>
      <c r="D59" s="49"/>
      <c r="E59" s="59"/>
      <c r="F59" s="59"/>
      <c r="G59" s="59"/>
      <c r="H59" s="60" t="str">
        <f t="shared" si="10"/>
        <v/>
      </c>
      <c r="I59" s="69" t="str">
        <f t="shared" si="11"/>
        <v/>
      </c>
      <c r="J59" s="50" t="str">
        <f ca="1">IF(opérations[[#This Row],[Reste]]="","",TODAY()-opérations[[#This Row],[Date]]&amp;" jrs")</f>
        <v/>
      </c>
    </row>
    <row r="60" spans="1:10" x14ac:dyDescent="0.2">
      <c r="A60" s="47"/>
      <c r="B60" s="55"/>
      <c r="C60" s="49"/>
      <c r="D60" s="49"/>
      <c r="E60" s="59"/>
      <c r="F60" s="59"/>
      <c r="G60" s="59"/>
      <c r="H60" s="60" t="str">
        <f t="shared" si="10"/>
        <v/>
      </c>
      <c r="I60" s="69" t="str">
        <f t="shared" si="11"/>
        <v/>
      </c>
      <c r="J60" s="50" t="str">
        <f ca="1">IF(opérations[[#This Row],[Reste]]="","",TODAY()-opérations[[#This Row],[Date]]&amp;" jrs")</f>
        <v/>
      </c>
    </row>
    <row r="61" spans="1:10" x14ac:dyDescent="0.2">
      <c r="A61" s="47"/>
      <c r="B61" s="55"/>
      <c r="C61" s="49"/>
      <c r="D61" s="49"/>
      <c r="E61" s="59"/>
      <c r="F61" s="59"/>
      <c r="G61" s="59"/>
      <c r="H61" s="60" t="str">
        <f t="shared" si="10"/>
        <v/>
      </c>
      <c r="I61" s="69" t="str">
        <f t="shared" si="11"/>
        <v/>
      </c>
      <c r="J61" s="50" t="str">
        <f ca="1">IF(opérations[[#This Row],[Reste]]="","",TODAY()-opérations[[#This Row],[Date]]&amp;" jrs")</f>
        <v/>
      </c>
    </row>
    <row r="62" spans="1:10" x14ac:dyDescent="0.2">
      <c r="A62" s="47"/>
      <c r="B62" s="55"/>
      <c r="C62" s="49"/>
      <c r="D62" s="49"/>
      <c r="E62" s="59"/>
      <c r="F62" s="59"/>
      <c r="G62" s="59"/>
      <c r="H62" s="60" t="str">
        <f t="shared" si="10"/>
        <v/>
      </c>
      <c r="I62" s="69" t="str">
        <f t="shared" si="11"/>
        <v/>
      </c>
      <c r="J62" s="50" t="str">
        <f ca="1">IF(opérations[[#This Row],[Reste]]="","",TODAY()-opérations[[#This Row],[Date]]&amp;" jrs")</f>
        <v/>
      </c>
    </row>
    <row r="63" spans="1:10" x14ac:dyDescent="0.2">
      <c r="A63" s="47"/>
      <c r="B63" s="55"/>
      <c r="C63" s="49"/>
      <c r="D63" s="49"/>
      <c r="E63" s="59"/>
      <c r="F63" s="59"/>
      <c r="G63" s="59"/>
      <c r="H63" s="60" t="str">
        <f t="shared" si="10"/>
        <v/>
      </c>
      <c r="I63" s="69" t="str">
        <f t="shared" si="11"/>
        <v/>
      </c>
      <c r="J63" s="50" t="str">
        <f ca="1">IF(opérations[[#This Row],[Reste]]="","",TODAY()-opérations[[#This Row],[Date]]&amp;" jrs")</f>
        <v/>
      </c>
    </row>
    <row r="64" spans="1:10" x14ac:dyDescent="0.2">
      <c r="A64" s="47"/>
      <c r="B64" s="55"/>
      <c r="C64" s="49"/>
      <c r="D64" s="49"/>
      <c r="E64" s="59"/>
      <c r="F64" s="59"/>
      <c r="G64" s="59"/>
      <c r="H64" s="60" t="str">
        <f t="shared" si="10"/>
        <v/>
      </c>
      <c r="I64" s="69" t="str">
        <f t="shared" si="11"/>
        <v/>
      </c>
      <c r="J64" s="50" t="str">
        <f ca="1">IF(opérations[[#This Row],[Reste]]="","",TODAY()-opérations[[#This Row],[Date]]&amp;" jrs")</f>
        <v/>
      </c>
    </row>
    <row r="65" spans="1:10" x14ac:dyDescent="0.2">
      <c r="A65" s="47"/>
      <c r="B65" s="55"/>
      <c r="C65" s="49"/>
      <c r="D65" s="49"/>
      <c r="E65" s="59"/>
      <c r="F65" s="59"/>
      <c r="G65" s="59"/>
      <c r="H65" s="60" t="str">
        <f t="shared" si="10"/>
        <v/>
      </c>
      <c r="I65" s="69" t="str">
        <f t="shared" si="11"/>
        <v/>
      </c>
      <c r="J65" s="50" t="str">
        <f ca="1">IF(opérations[[#This Row],[Reste]]="","",TODAY()-opérations[[#This Row],[Date]]&amp;" jrs")</f>
        <v/>
      </c>
    </row>
    <row r="66" spans="1:10" x14ac:dyDescent="0.2">
      <c r="A66" s="47"/>
      <c r="B66" s="55"/>
      <c r="C66" s="49"/>
      <c r="D66" s="49"/>
      <c r="E66" s="59"/>
      <c r="F66" s="59"/>
      <c r="G66" s="59"/>
      <c r="H66" s="60" t="str">
        <f t="shared" si="10"/>
        <v/>
      </c>
      <c r="I66" s="69" t="str">
        <f t="shared" si="11"/>
        <v/>
      </c>
      <c r="J66" s="50" t="str">
        <f ca="1">IF(opérations[[#This Row],[Reste]]="","",TODAY()-opérations[[#This Row],[Date]]&amp;" jrs")</f>
        <v/>
      </c>
    </row>
    <row r="67" spans="1:10" x14ac:dyDescent="0.2">
      <c r="A67" s="47"/>
      <c r="B67" s="55"/>
      <c r="C67" s="49"/>
      <c r="D67" s="49"/>
      <c r="E67" s="59"/>
      <c r="F67" s="59"/>
      <c r="G67" s="59"/>
      <c r="H67" s="60" t="str">
        <f t="shared" si="10"/>
        <v/>
      </c>
      <c r="I67" s="69" t="str">
        <f t="shared" si="11"/>
        <v/>
      </c>
      <c r="J67" s="50" t="str">
        <f ca="1">IF(opérations[[#This Row],[Reste]]="","",TODAY()-opérations[[#This Row],[Date]]&amp;" jrs")</f>
        <v/>
      </c>
    </row>
    <row r="68" spans="1:10" x14ac:dyDescent="0.2">
      <c r="A68" s="47"/>
      <c r="B68" s="55"/>
      <c r="C68" s="49"/>
      <c r="D68" s="49"/>
      <c r="E68" s="59"/>
      <c r="F68" s="59"/>
      <c r="G68" s="59"/>
      <c r="H68" s="60" t="str">
        <f t="shared" ref="H68:H99" si="12">IF(E68="","",E68-F68-G68)</f>
        <v/>
      </c>
      <c r="I68" s="69" t="str">
        <f t="shared" ref="I68:I99" si="13">IF(H68="","",IF(H68&gt;=5000,"Urgents",""))</f>
        <v/>
      </c>
      <c r="J68" s="50" t="str">
        <f ca="1">IF(opérations[[#This Row],[Reste]]="","",TODAY()-opérations[[#This Row],[Date]]&amp;" jrs")</f>
        <v/>
      </c>
    </row>
    <row r="69" spans="1:10" x14ac:dyDescent="0.2">
      <c r="A69" s="47"/>
      <c r="B69" s="55"/>
      <c r="C69" s="49"/>
      <c r="D69" s="49"/>
      <c r="E69" s="59"/>
      <c r="F69" s="59"/>
      <c r="G69" s="59"/>
      <c r="H69" s="60" t="str">
        <f t="shared" si="12"/>
        <v/>
      </c>
      <c r="I69" s="69" t="str">
        <f t="shared" si="13"/>
        <v/>
      </c>
      <c r="J69" s="50" t="str">
        <f ca="1">IF(opérations[[#This Row],[Reste]]="","",TODAY()-opérations[[#This Row],[Date]]&amp;" jrs")</f>
        <v/>
      </c>
    </row>
    <row r="70" spans="1:10" x14ac:dyDescent="0.2">
      <c r="A70" s="47"/>
      <c r="B70" s="55"/>
      <c r="C70" s="49"/>
      <c r="D70" s="49"/>
      <c r="E70" s="59"/>
      <c r="F70" s="59"/>
      <c r="G70" s="59"/>
      <c r="H70" s="60" t="str">
        <f t="shared" si="12"/>
        <v/>
      </c>
      <c r="I70" s="69" t="str">
        <f t="shared" si="13"/>
        <v/>
      </c>
      <c r="J70" s="50" t="str">
        <f ca="1">IF(opérations[[#This Row],[Reste]]="","",TODAY()-opérations[[#This Row],[Date]]&amp;" jrs")</f>
        <v/>
      </c>
    </row>
    <row r="71" spans="1:10" x14ac:dyDescent="0.2">
      <c r="A71" s="47"/>
      <c r="B71" s="55"/>
      <c r="C71" s="49"/>
      <c r="D71" s="49"/>
      <c r="E71" s="59"/>
      <c r="F71" s="59"/>
      <c r="G71" s="59"/>
      <c r="H71" s="60" t="str">
        <f t="shared" si="12"/>
        <v/>
      </c>
      <c r="I71" s="69" t="str">
        <f t="shared" si="13"/>
        <v/>
      </c>
      <c r="J71" s="50" t="str">
        <f ca="1">IF(opérations[[#This Row],[Reste]]="","",TODAY()-opérations[[#This Row],[Date]]&amp;" jrs")</f>
        <v/>
      </c>
    </row>
    <row r="72" spans="1:10" x14ac:dyDescent="0.2">
      <c r="A72" s="47"/>
      <c r="B72" s="55"/>
      <c r="C72" s="49"/>
      <c r="D72" s="49"/>
      <c r="E72" s="59"/>
      <c r="F72" s="59"/>
      <c r="G72" s="59"/>
      <c r="H72" s="60" t="str">
        <f t="shared" si="12"/>
        <v/>
      </c>
      <c r="I72" s="69" t="str">
        <f t="shared" si="13"/>
        <v/>
      </c>
      <c r="J72" s="50" t="str">
        <f ca="1">IF(opérations[[#This Row],[Reste]]="","",TODAY()-opérations[[#This Row],[Date]]&amp;" jrs")</f>
        <v/>
      </c>
    </row>
    <row r="73" spans="1:10" x14ac:dyDescent="0.2">
      <c r="A73" s="47"/>
      <c r="B73" s="55"/>
      <c r="C73" s="49"/>
      <c r="D73" s="49"/>
      <c r="E73" s="59"/>
      <c r="F73" s="59"/>
      <c r="G73" s="59"/>
      <c r="H73" s="60" t="str">
        <f t="shared" si="12"/>
        <v/>
      </c>
      <c r="I73" s="69" t="str">
        <f t="shared" si="13"/>
        <v/>
      </c>
      <c r="J73" s="50" t="str">
        <f ca="1">IF(opérations[[#This Row],[Reste]]="","",TODAY()-opérations[[#This Row],[Date]]&amp;" jrs")</f>
        <v/>
      </c>
    </row>
    <row r="74" spans="1:10" x14ac:dyDescent="0.2">
      <c r="A74" s="47"/>
      <c r="B74" s="55"/>
      <c r="C74" s="49"/>
      <c r="D74" s="49"/>
      <c r="E74" s="59"/>
      <c r="F74" s="59"/>
      <c r="G74" s="59"/>
      <c r="H74" s="60" t="str">
        <f t="shared" si="12"/>
        <v/>
      </c>
      <c r="I74" s="69" t="str">
        <f t="shared" si="13"/>
        <v/>
      </c>
      <c r="J74" s="50" t="str">
        <f ca="1">IF(opérations[[#This Row],[Reste]]="","",TODAY()-opérations[[#This Row],[Date]]&amp;" jrs")</f>
        <v/>
      </c>
    </row>
    <row r="75" spans="1:10" x14ac:dyDescent="0.2">
      <c r="A75" s="47"/>
      <c r="B75" s="55"/>
      <c r="C75" s="49"/>
      <c r="D75" s="49"/>
      <c r="E75" s="59"/>
      <c r="F75" s="59"/>
      <c r="G75" s="59"/>
      <c r="H75" s="60" t="str">
        <f t="shared" si="12"/>
        <v/>
      </c>
      <c r="I75" s="69" t="str">
        <f t="shared" si="13"/>
        <v/>
      </c>
      <c r="J75" s="50" t="str">
        <f ca="1">IF(opérations[[#This Row],[Reste]]="","",TODAY()-opérations[[#This Row],[Date]]&amp;" jrs")</f>
        <v/>
      </c>
    </row>
    <row r="76" spans="1:10" x14ac:dyDescent="0.2">
      <c r="A76" s="47"/>
      <c r="B76" s="55"/>
      <c r="C76" s="49"/>
      <c r="D76" s="49"/>
      <c r="E76" s="59"/>
      <c r="F76" s="59"/>
      <c r="G76" s="59"/>
      <c r="H76" s="60" t="str">
        <f t="shared" si="12"/>
        <v/>
      </c>
      <c r="I76" s="69" t="str">
        <f t="shared" si="13"/>
        <v/>
      </c>
      <c r="J76" s="50" t="str">
        <f ca="1">IF(opérations[[#This Row],[Reste]]="","",TODAY()-opérations[[#This Row],[Date]]&amp;" jrs")</f>
        <v/>
      </c>
    </row>
    <row r="77" spans="1:10" x14ac:dyDescent="0.2">
      <c r="A77" s="47"/>
      <c r="B77" s="55"/>
      <c r="C77" s="49"/>
      <c r="D77" s="49"/>
      <c r="E77" s="59"/>
      <c r="F77" s="59"/>
      <c r="G77" s="59"/>
      <c r="H77" s="60" t="str">
        <f t="shared" si="12"/>
        <v/>
      </c>
      <c r="I77" s="69" t="str">
        <f t="shared" si="13"/>
        <v/>
      </c>
      <c r="J77" s="50" t="str">
        <f ca="1">IF(opérations[[#This Row],[Reste]]="","",TODAY()-opérations[[#This Row],[Date]]&amp;" jrs")</f>
        <v/>
      </c>
    </row>
    <row r="78" spans="1:10" x14ac:dyDescent="0.2">
      <c r="A78" s="47"/>
      <c r="B78" s="55"/>
      <c r="C78" s="49"/>
      <c r="D78" s="49"/>
      <c r="E78" s="59"/>
      <c r="F78" s="59"/>
      <c r="G78" s="59"/>
      <c r="H78" s="60" t="str">
        <f t="shared" si="12"/>
        <v/>
      </c>
      <c r="I78" s="69" t="str">
        <f t="shared" si="13"/>
        <v/>
      </c>
      <c r="J78" s="50" t="str">
        <f ca="1">IF(opérations[[#This Row],[Reste]]="","",TODAY()-opérations[[#This Row],[Date]]&amp;" jrs")</f>
        <v/>
      </c>
    </row>
    <row r="79" spans="1:10" x14ac:dyDescent="0.2">
      <c r="A79" s="47"/>
      <c r="B79" s="55"/>
      <c r="C79" s="49"/>
      <c r="D79" s="49"/>
      <c r="E79" s="59"/>
      <c r="F79" s="59"/>
      <c r="G79" s="59"/>
      <c r="H79" s="60" t="str">
        <f t="shared" si="12"/>
        <v/>
      </c>
      <c r="I79" s="69" t="str">
        <f t="shared" si="13"/>
        <v/>
      </c>
      <c r="J79" s="50" t="str">
        <f ca="1">IF(opérations[[#This Row],[Reste]]="","",TODAY()-opérations[[#This Row],[Date]]&amp;" jrs")</f>
        <v/>
      </c>
    </row>
    <row r="80" spans="1:10" x14ac:dyDescent="0.2">
      <c r="A80" s="47"/>
      <c r="B80" s="55"/>
      <c r="C80" s="49"/>
      <c r="D80" s="49"/>
      <c r="E80" s="59"/>
      <c r="F80" s="59"/>
      <c r="G80" s="59"/>
      <c r="H80" s="60" t="str">
        <f t="shared" si="12"/>
        <v/>
      </c>
      <c r="I80" s="69" t="str">
        <f t="shared" si="13"/>
        <v/>
      </c>
      <c r="J80" s="50" t="str">
        <f ca="1">IF(opérations[[#This Row],[Reste]]="","",TODAY()-opérations[[#This Row],[Date]]&amp;" jrs")</f>
        <v/>
      </c>
    </row>
    <row r="81" spans="1:10" x14ac:dyDescent="0.2">
      <c r="A81" s="47"/>
      <c r="B81" s="55"/>
      <c r="C81" s="49"/>
      <c r="D81" s="49"/>
      <c r="E81" s="59"/>
      <c r="F81" s="59"/>
      <c r="G81" s="59"/>
      <c r="H81" s="60" t="str">
        <f t="shared" si="12"/>
        <v/>
      </c>
      <c r="I81" s="69" t="str">
        <f t="shared" si="13"/>
        <v/>
      </c>
      <c r="J81" s="50" t="str">
        <f ca="1">IF(opérations[[#This Row],[Reste]]="","",TODAY()-opérations[[#This Row],[Date]]&amp;" jrs")</f>
        <v/>
      </c>
    </row>
    <row r="82" spans="1:10" x14ac:dyDescent="0.2">
      <c r="A82" s="47"/>
      <c r="B82" s="55"/>
      <c r="C82" s="49"/>
      <c r="D82" s="49"/>
      <c r="E82" s="59"/>
      <c r="F82" s="59"/>
      <c r="G82" s="59"/>
      <c r="H82" s="60" t="str">
        <f t="shared" si="12"/>
        <v/>
      </c>
      <c r="I82" s="69" t="str">
        <f t="shared" si="13"/>
        <v/>
      </c>
      <c r="J82" s="50" t="str">
        <f ca="1">IF(opérations[[#This Row],[Reste]]="","",TODAY()-opérations[[#This Row],[Date]]&amp;" jrs")</f>
        <v/>
      </c>
    </row>
    <row r="83" spans="1:10" x14ac:dyDescent="0.2">
      <c r="A83" s="47"/>
      <c r="B83" s="55"/>
      <c r="C83" s="49"/>
      <c r="D83" s="49"/>
      <c r="E83" s="59"/>
      <c r="F83" s="59"/>
      <c r="G83" s="59"/>
      <c r="H83" s="60" t="str">
        <f t="shared" si="12"/>
        <v/>
      </c>
      <c r="I83" s="69" t="str">
        <f t="shared" si="13"/>
        <v/>
      </c>
      <c r="J83" s="50" t="str">
        <f ca="1">IF(opérations[[#This Row],[Reste]]="","",TODAY()-opérations[[#This Row],[Date]]&amp;" jrs")</f>
        <v/>
      </c>
    </row>
    <row r="84" spans="1:10" x14ac:dyDescent="0.2">
      <c r="A84" s="47"/>
      <c r="B84" s="55"/>
      <c r="C84" s="49"/>
      <c r="D84" s="49"/>
      <c r="E84" s="59"/>
      <c r="F84" s="59"/>
      <c r="G84" s="59"/>
      <c r="H84" s="60" t="str">
        <f t="shared" si="12"/>
        <v/>
      </c>
      <c r="I84" s="69" t="str">
        <f t="shared" si="13"/>
        <v/>
      </c>
      <c r="J84" s="50" t="str">
        <f ca="1">IF(opérations[[#This Row],[Reste]]="","",TODAY()-opérations[[#This Row],[Date]]&amp;" jrs")</f>
        <v/>
      </c>
    </row>
    <row r="85" spans="1:10" x14ac:dyDescent="0.2">
      <c r="A85" s="47"/>
      <c r="B85" s="55"/>
      <c r="C85" s="49"/>
      <c r="D85" s="49"/>
      <c r="E85" s="59"/>
      <c r="F85" s="59"/>
      <c r="G85" s="59"/>
      <c r="H85" s="60" t="str">
        <f t="shared" si="12"/>
        <v/>
      </c>
      <c r="I85" s="69" t="str">
        <f t="shared" si="13"/>
        <v/>
      </c>
      <c r="J85" s="50" t="str">
        <f ca="1">IF(opérations[[#This Row],[Reste]]="","",TODAY()-opérations[[#This Row],[Date]]&amp;" jrs")</f>
        <v/>
      </c>
    </row>
    <row r="86" spans="1:10" x14ac:dyDescent="0.2">
      <c r="A86" s="47"/>
      <c r="B86" s="55"/>
      <c r="C86" s="49"/>
      <c r="D86" s="49"/>
      <c r="E86" s="59"/>
      <c r="F86" s="59"/>
      <c r="G86" s="59"/>
      <c r="H86" s="60" t="str">
        <f t="shared" si="12"/>
        <v/>
      </c>
      <c r="I86" s="69" t="str">
        <f t="shared" si="13"/>
        <v/>
      </c>
      <c r="J86" s="50" t="str">
        <f ca="1">IF(opérations[[#This Row],[Reste]]="","",TODAY()-opérations[[#This Row],[Date]]&amp;" jrs")</f>
        <v/>
      </c>
    </row>
    <row r="87" spans="1:10" x14ac:dyDescent="0.2">
      <c r="A87" s="47"/>
      <c r="B87" s="55"/>
      <c r="C87" s="49"/>
      <c r="D87" s="49"/>
      <c r="E87" s="59"/>
      <c r="F87" s="59"/>
      <c r="G87" s="59"/>
      <c r="H87" s="60" t="str">
        <f t="shared" si="12"/>
        <v/>
      </c>
      <c r="I87" s="69" t="str">
        <f t="shared" si="13"/>
        <v/>
      </c>
      <c r="J87" s="50" t="str">
        <f ca="1">IF(opérations[[#This Row],[Reste]]="","",TODAY()-opérations[[#This Row],[Date]]&amp;" jrs")</f>
        <v/>
      </c>
    </row>
    <row r="88" spans="1:10" x14ac:dyDescent="0.2">
      <c r="A88" s="47"/>
      <c r="B88" s="55"/>
      <c r="C88" s="49"/>
      <c r="D88" s="49"/>
      <c r="E88" s="59"/>
      <c r="F88" s="59"/>
      <c r="G88" s="59"/>
      <c r="H88" s="60" t="str">
        <f t="shared" si="12"/>
        <v/>
      </c>
      <c r="I88" s="69" t="str">
        <f t="shared" si="13"/>
        <v/>
      </c>
      <c r="J88" s="50" t="str">
        <f ca="1">IF(opérations[[#This Row],[Reste]]="","",TODAY()-opérations[[#This Row],[Date]]&amp;" jrs")</f>
        <v/>
      </c>
    </row>
    <row r="89" spans="1:10" x14ac:dyDescent="0.2">
      <c r="A89" s="47"/>
      <c r="B89" s="55"/>
      <c r="C89" s="49"/>
      <c r="D89" s="49"/>
      <c r="E89" s="59"/>
      <c r="F89" s="59"/>
      <c r="G89" s="59"/>
      <c r="H89" s="60" t="str">
        <f t="shared" si="12"/>
        <v/>
      </c>
      <c r="I89" s="69" t="str">
        <f t="shared" si="13"/>
        <v/>
      </c>
      <c r="J89" s="50" t="str">
        <f ca="1">IF(opérations[[#This Row],[Reste]]="","",TODAY()-opérations[[#This Row],[Date]]&amp;" jrs")</f>
        <v/>
      </c>
    </row>
    <row r="90" spans="1:10" x14ac:dyDescent="0.2">
      <c r="A90" s="47"/>
      <c r="B90" s="55"/>
      <c r="C90" s="49"/>
      <c r="D90" s="49"/>
      <c r="E90" s="59"/>
      <c r="F90" s="59"/>
      <c r="G90" s="59"/>
      <c r="H90" s="60" t="str">
        <f t="shared" si="12"/>
        <v/>
      </c>
      <c r="I90" s="69" t="str">
        <f t="shared" si="13"/>
        <v/>
      </c>
      <c r="J90" s="50" t="str">
        <f ca="1">IF(opérations[[#This Row],[Reste]]="","",TODAY()-opérations[[#This Row],[Date]]&amp;" jrs")</f>
        <v/>
      </c>
    </row>
    <row r="91" spans="1:10" x14ac:dyDescent="0.2">
      <c r="A91" s="47"/>
      <c r="B91" s="55"/>
      <c r="C91" s="49"/>
      <c r="D91" s="49"/>
      <c r="E91" s="59"/>
      <c r="F91" s="59"/>
      <c r="G91" s="59"/>
      <c r="H91" s="60" t="str">
        <f t="shared" si="12"/>
        <v/>
      </c>
      <c r="I91" s="69" t="str">
        <f t="shared" si="13"/>
        <v/>
      </c>
      <c r="J91" s="50" t="str">
        <f ca="1">IF(opérations[[#This Row],[Reste]]="","",TODAY()-opérations[[#This Row],[Date]]&amp;" jrs")</f>
        <v/>
      </c>
    </row>
    <row r="92" spans="1:10" x14ac:dyDescent="0.2">
      <c r="A92" s="47"/>
      <c r="B92" s="55"/>
      <c r="C92" s="49"/>
      <c r="D92" s="49"/>
      <c r="E92" s="59"/>
      <c r="F92" s="59"/>
      <c r="G92" s="59"/>
      <c r="H92" s="60" t="str">
        <f t="shared" si="12"/>
        <v/>
      </c>
      <c r="I92" s="69" t="str">
        <f t="shared" si="13"/>
        <v/>
      </c>
      <c r="J92" s="50" t="str">
        <f ca="1">IF(opérations[[#This Row],[Reste]]="","",TODAY()-opérations[[#This Row],[Date]]&amp;" jrs")</f>
        <v/>
      </c>
    </row>
    <row r="93" spans="1:10" x14ac:dyDescent="0.2">
      <c r="A93" s="47"/>
      <c r="B93" s="55"/>
      <c r="C93" s="49"/>
      <c r="D93" s="49"/>
      <c r="E93" s="59"/>
      <c r="F93" s="59"/>
      <c r="G93" s="59"/>
      <c r="H93" s="60" t="str">
        <f t="shared" si="12"/>
        <v/>
      </c>
      <c r="I93" s="69" t="str">
        <f t="shared" si="13"/>
        <v/>
      </c>
      <c r="J93" s="50" t="str">
        <f ca="1">IF(opérations[[#This Row],[Reste]]="","",TODAY()-opérations[[#This Row],[Date]]&amp;" jrs")</f>
        <v/>
      </c>
    </row>
    <row r="94" spans="1:10" x14ac:dyDescent="0.2">
      <c r="A94" s="47"/>
      <c r="B94" s="55"/>
      <c r="C94" s="49"/>
      <c r="D94" s="49"/>
      <c r="E94" s="59"/>
      <c r="F94" s="59"/>
      <c r="G94" s="59"/>
      <c r="H94" s="60" t="str">
        <f t="shared" si="12"/>
        <v/>
      </c>
      <c r="I94" s="69" t="str">
        <f t="shared" si="13"/>
        <v/>
      </c>
      <c r="J94" s="50" t="str">
        <f ca="1">IF(opérations[[#This Row],[Reste]]="","",TODAY()-opérations[[#This Row],[Date]]&amp;" jrs")</f>
        <v/>
      </c>
    </row>
    <row r="95" spans="1:10" x14ac:dyDescent="0.2">
      <c r="A95" s="47"/>
      <c r="B95" s="55"/>
      <c r="C95" s="49"/>
      <c r="D95" s="49"/>
      <c r="E95" s="59"/>
      <c r="F95" s="59"/>
      <c r="G95" s="59"/>
      <c r="H95" s="60" t="str">
        <f t="shared" si="12"/>
        <v/>
      </c>
      <c r="I95" s="69" t="str">
        <f t="shared" si="13"/>
        <v/>
      </c>
      <c r="J95" s="50" t="str">
        <f ca="1">IF(opérations[[#This Row],[Reste]]="","",TODAY()-opérations[[#This Row],[Date]]&amp;" jrs")</f>
        <v/>
      </c>
    </row>
    <row r="96" spans="1:10" x14ac:dyDescent="0.2">
      <c r="A96" s="47"/>
      <c r="B96" s="55"/>
      <c r="C96" s="49"/>
      <c r="D96" s="49"/>
      <c r="E96" s="59"/>
      <c r="F96" s="59"/>
      <c r="G96" s="59"/>
      <c r="H96" s="60" t="str">
        <f t="shared" si="12"/>
        <v/>
      </c>
      <c r="I96" s="69" t="str">
        <f t="shared" si="13"/>
        <v/>
      </c>
      <c r="J96" s="50" t="str">
        <f ca="1">IF(opérations[[#This Row],[Reste]]="","",TODAY()-opérations[[#This Row],[Date]]&amp;" jrs")</f>
        <v/>
      </c>
    </row>
    <row r="97" spans="1:10" x14ac:dyDescent="0.2">
      <c r="A97" s="47"/>
      <c r="B97" s="55"/>
      <c r="C97" s="49"/>
      <c r="D97" s="49"/>
      <c r="E97" s="59"/>
      <c r="F97" s="59"/>
      <c r="G97" s="59"/>
      <c r="H97" s="60" t="str">
        <f t="shared" si="12"/>
        <v/>
      </c>
      <c r="I97" s="69" t="str">
        <f t="shared" si="13"/>
        <v/>
      </c>
      <c r="J97" s="50" t="str">
        <f ca="1">IF(opérations[[#This Row],[Reste]]="","",TODAY()-opérations[[#This Row],[Date]]&amp;" jrs")</f>
        <v/>
      </c>
    </row>
    <row r="98" spans="1:10" x14ac:dyDescent="0.2">
      <c r="A98" s="47"/>
      <c r="B98" s="55"/>
      <c r="C98" s="49"/>
      <c r="D98" s="49"/>
      <c r="E98" s="59"/>
      <c r="F98" s="59"/>
      <c r="G98" s="59"/>
      <c r="H98" s="60" t="str">
        <f t="shared" si="12"/>
        <v/>
      </c>
      <c r="I98" s="69" t="str">
        <f t="shared" si="13"/>
        <v/>
      </c>
      <c r="J98" s="50" t="str">
        <f ca="1">IF(opérations[[#This Row],[Reste]]="","",TODAY()-opérations[[#This Row],[Date]]&amp;" jrs")</f>
        <v/>
      </c>
    </row>
    <row r="99" spans="1:10" x14ac:dyDescent="0.2">
      <c r="A99" s="47"/>
      <c r="B99" s="55"/>
      <c r="C99" s="49"/>
      <c r="D99" s="49"/>
      <c r="E99" s="59"/>
      <c r="F99" s="59"/>
      <c r="G99" s="59"/>
      <c r="H99" s="60" t="str">
        <f t="shared" si="12"/>
        <v/>
      </c>
      <c r="I99" s="69" t="str">
        <f t="shared" si="13"/>
        <v/>
      </c>
      <c r="J99" s="50" t="str">
        <f ca="1">IF(opérations[[#This Row],[Reste]]="","",TODAY()-opérations[[#This Row],[Date]]&amp;" jrs")</f>
        <v/>
      </c>
    </row>
    <row r="100" spans="1:10" x14ac:dyDescent="0.2">
      <c r="A100" s="47"/>
      <c r="B100" s="55"/>
      <c r="C100" s="49"/>
      <c r="D100" s="49"/>
      <c r="E100" s="59"/>
      <c r="F100" s="59"/>
      <c r="G100" s="59"/>
      <c r="H100" s="60" t="str">
        <f t="shared" ref="H100:H131" si="14">IF(E100="","",E100-F100-G100)</f>
        <v/>
      </c>
      <c r="I100" s="69" t="str">
        <f t="shared" ref="I100:I131" si="15">IF(H100="","",IF(H100&gt;=5000,"Urgents",""))</f>
        <v/>
      </c>
      <c r="J100" s="50" t="str">
        <f ca="1">IF(opérations[[#This Row],[Reste]]="","",TODAY()-opérations[[#This Row],[Date]]&amp;" jrs")</f>
        <v/>
      </c>
    </row>
    <row r="101" spans="1:10" x14ac:dyDescent="0.2">
      <c r="A101" s="47"/>
      <c r="B101" s="55"/>
      <c r="C101" s="49"/>
      <c r="D101" s="49"/>
      <c r="E101" s="59"/>
      <c r="F101" s="59"/>
      <c r="G101" s="59"/>
      <c r="H101" s="60" t="str">
        <f t="shared" si="14"/>
        <v/>
      </c>
      <c r="I101" s="69" t="str">
        <f t="shared" si="15"/>
        <v/>
      </c>
      <c r="J101" s="50" t="str">
        <f ca="1">IF(opérations[[#This Row],[Reste]]="","",TODAY()-opérations[[#This Row],[Date]]&amp;" jrs")</f>
        <v/>
      </c>
    </row>
    <row r="102" spans="1:10" x14ac:dyDescent="0.2">
      <c r="A102" s="47"/>
      <c r="B102" s="55"/>
      <c r="C102" s="49"/>
      <c r="D102" s="49"/>
      <c r="E102" s="59"/>
      <c r="F102" s="59"/>
      <c r="G102" s="59"/>
      <c r="H102" s="60" t="str">
        <f t="shared" si="14"/>
        <v/>
      </c>
      <c r="I102" s="69" t="str">
        <f t="shared" si="15"/>
        <v/>
      </c>
      <c r="J102" s="50" t="str">
        <f ca="1">IF(opérations[[#This Row],[Reste]]="","",TODAY()-opérations[[#This Row],[Date]]&amp;" jrs")</f>
        <v/>
      </c>
    </row>
    <row r="103" spans="1:10" x14ac:dyDescent="0.2">
      <c r="A103" s="47"/>
      <c r="B103" s="55"/>
      <c r="C103" s="49"/>
      <c r="D103" s="49"/>
      <c r="E103" s="59"/>
      <c r="F103" s="59"/>
      <c r="G103" s="59"/>
      <c r="H103" s="60" t="str">
        <f t="shared" si="14"/>
        <v/>
      </c>
      <c r="I103" s="69" t="str">
        <f t="shared" si="15"/>
        <v/>
      </c>
      <c r="J103" s="50" t="str">
        <f ca="1">IF(opérations[[#This Row],[Reste]]="","",TODAY()-opérations[[#This Row],[Date]]&amp;" jrs")</f>
        <v/>
      </c>
    </row>
    <row r="104" spans="1:10" x14ac:dyDescent="0.2">
      <c r="A104" s="47"/>
      <c r="B104" s="55"/>
      <c r="C104" s="49"/>
      <c r="D104" s="49"/>
      <c r="E104" s="59"/>
      <c r="F104" s="59"/>
      <c r="G104" s="59"/>
      <c r="H104" s="60" t="str">
        <f t="shared" si="14"/>
        <v/>
      </c>
      <c r="I104" s="69" t="str">
        <f t="shared" si="15"/>
        <v/>
      </c>
      <c r="J104" s="50" t="str">
        <f ca="1">IF(opérations[[#This Row],[Reste]]="","",TODAY()-opérations[[#This Row],[Date]]&amp;" jrs")</f>
        <v/>
      </c>
    </row>
    <row r="105" spans="1:10" x14ac:dyDescent="0.2">
      <c r="A105" s="47"/>
      <c r="B105" s="55"/>
      <c r="C105" s="49"/>
      <c r="D105" s="49"/>
      <c r="E105" s="59"/>
      <c r="F105" s="59"/>
      <c r="G105" s="59"/>
      <c r="H105" s="60" t="str">
        <f t="shared" si="14"/>
        <v/>
      </c>
      <c r="I105" s="69" t="str">
        <f t="shared" si="15"/>
        <v/>
      </c>
      <c r="J105" s="50" t="str">
        <f ca="1">IF(opérations[[#This Row],[Reste]]="","",TODAY()-opérations[[#This Row],[Date]]&amp;" jrs")</f>
        <v/>
      </c>
    </row>
    <row r="106" spans="1:10" x14ac:dyDescent="0.2">
      <c r="A106" s="47"/>
      <c r="B106" s="55"/>
      <c r="C106" s="49"/>
      <c r="D106" s="49"/>
      <c r="E106" s="59"/>
      <c r="F106" s="59"/>
      <c r="G106" s="59"/>
      <c r="H106" s="60" t="str">
        <f t="shared" si="14"/>
        <v/>
      </c>
      <c r="I106" s="69" t="str">
        <f t="shared" si="15"/>
        <v/>
      </c>
      <c r="J106" s="50" t="str">
        <f ca="1">IF(opérations[[#This Row],[Reste]]="","",TODAY()-opérations[[#This Row],[Date]]&amp;" jrs")</f>
        <v/>
      </c>
    </row>
    <row r="107" spans="1:10" x14ac:dyDescent="0.2">
      <c r="A107" s="47"/>
      <c r="B107" s="55"/>
      <c r="C107" s="49"/>
      <c r="D107" s="49"/>
      <c r="E107" s="59"/>
      <c r="F107" s="59"/>
      <c r="G107" s="59"/>
      <c r="H107" s="60" t="str">
        <f t="shared" si="14"/>
        <v/>
      </c>
      <c r="I107" s="69" t="str">
        <f t="shared" si="15"/>
        <v/>
      </c>
      <c r="J107" s="50" t="str">
        <f ca="1">IF(opérations[[#This Row],[Reste]]="","",TODAY()-opérations[[#This Row],[Date]]&amp;" jrs")</f>
        <v/>
      </c>
    </row>
    <row r="108" spans="1:10" x14ac:dyDescent="0.2">
      <c r="A108" s="47"/>
      <c r="B108" s="55"/>
      <c r="C108" s="49"/>
      <c r="D108" s="49"/>
      <c r="E108" s="59"/>
      <c r="F108" s="59"/>
      <c r="G108" s="59"/>
      <c r="H108" s="60" t="str">
        <f t="shared" si="14"/>
        <v/>
      </c>
      <c r="I108" s="69" t="str">
        <f t="shared" si="15"/>
        <v/>
      </c>
      <c r="J108" s="50" t="str">
        <f ca="1">IF(opérations[[#This Row],[Reste]]="","",TODAY()-opérations[[#This Row],[Date]]&amp;" jrs")</f>
        <v/>
      </c>
    </row>
    <row r="109" spans="1:10" x14ac:dyDescent="0.2">
      <c r="A109" s="47"/>
      <c r="B109" s="55"/>
      <c r="C109" s="49"/>
      <c r="D109" s="49"/>
      <c r="E109" s="59"/>
      <c r="F109" s="59"/>
      <c r="G109" s="59"/>
      <c r="H109" s="60" t="str">
        <f t="shared" si="14"/>
        <v/>
      </c>
      <c r="I109" s="69" t="str">
        <f t="shared" si="15"/>
        <v/>
      </c>
      <c r="J109" s="50" t="str">
        <f ca="1">IF(opérations[[#This Row],[Reste]]="","",TODAY()-opérations[[#This Row],[Date]]&amp;" jrs")</f>
        <v/>
      </c>
    </row>
    <row r="110" spans="1:10" x14ac:dyDescent="0.2">
      <c r="A110" s="47"/>
      <c r="B110" s="55"/>
      <c r="C110" s="49"/>
      <c r="D110" s="49"/>
      <c r="E110" s="59"/>
      <c r="F110" s="59"/>
      <c r="G110" s="59"/>
      <c r="H110" s="60" t="str">
        <f t="shared" si="14"/>
        <v/>
      </c>
      <c r="I110" s="69" t="str">
        <f t="shared" si="15"/>
        <v/>
      </c>
      <c r="J110" s="50" t="str">
        <f ca="1">IF(opérations[[#This Row],[Reste]]="","",TODAY()-opérations[[#This Row],[Date]]&amp;" jrs")</f>
        <v/>
      </c>
    </row>
    <row r="111" spans="1:10" x14ac:dyDescent="0.2">
      <c r="A111" s="47"/>
      <c r="B111" s="55"/>
      <c r="C111" s="49"/>
      <c r="D111" s="49"/>
      <c r="E111" s="59"/>
      <c r="F111" s="59"/>
      <c r="G111" s="59"/>
      <c r="H111" s="60" t="str">
        <f t="shared" si="14"/>
        <v/>
      </c>
      <c r="I111" s="69" t="str">
        <f t="shared" si="15"/>
        <v/>
      </c>
      <c r="J111" s="50" t="str">
        <f ca="1">IF(opérations[[#This Row],[Reste]]="","",TODAY()-opérations[[#This Row],[Date]]&amp;" jrs")</f>
        <v/>
      </c>
    </row>
    <row r="112" spans="1:10" x14ac:dyDescent="0.2">
      <c r="A112" s="47"/>
      <c r="B112" s="55"/>
      <c r="C112" s="49"/>
      <c r="D112" s="49"/>
      <c r="E112" s="59"/>
      <c r="F112" s="59"/>
      <c r="G112" s="59"/>
      <c r="H112" s="60" t="str">
        <f t="shared" si="14"/>
        <v/>
      </c>
      <c r="I112" s="69" t="str">
        <f t="shared" si="15"/>
        <v/>
      </c>
      <c r="J112" s="50" t="str">
        <f ca="1">IF(opérations[[#This Row],[Reste]]="","",TODAY()-opérations[[#This Row],[Date]]&amp;" jrs")</f>
        <v/>
      </c>
    </row>
    <row r="113" spans="1:10" x14ac:dyDescent="0.2">
      <c r="A113" s="47"/>
      <c r="B113" s="55"/>
      <c r="C113" s="49"/>
      <c r="D113" s="49"/>
      <c r="E113" s="59"/>
      <c r="F113" s="59"/>
      <c r="G113" s="59"/>
      <c r="H113" s="60" t="str">
        <f t="shared" si="14"/>
        <v/>
      </c>
      <c r="I113" s="69" t="str">
        <f t="shared" si="15"/>
        <v/>
      </c>
      <c r="J113" s="50" t="str">
        <f ca="1">IF(opérations[[#This Row],[Reste]]="","",TODAY()-opérations[[#This Row],[Date]]&amp;" jrs")</f>
        <v/>
      </c>
    </row>
    <row r="114" spans="1:10" x14ac:dyDescent="0.2">
      <c r="A114" s="47"/>
      <c r="B114" s="55"/>
      <c r="C114" s="49"/>
      <c r="D114" s="49"/>
      <c r="E114" s="59"/>
      <c r="F114" s="59"/>
      <c r="G114" s="59"/>
      <c r="H114" s="60" t="str">
        <f t="shared" si="14"/>
        <v/>
      </c>
      <c r="I114" s="69" t="str">
        <f t="shared" si="15"/>
        <v/>
      </c>
      <c r="J114" s="50" t="str">
        <f ca="1">IF(opérations[[#This Row],[Reste]]="","",TODAY()-opérations[[#This Row],[Date]]&amp;" jrs")</f>
        <v/>
      </c>
    </row>
    <row r="115" spans="1:10" x14ac:dyDescent="0.2">
      <c r="A115" s="47"/>
      <c r="B115" s="55"/>
      <c r="C115" s="49"/>
      <c r="D115" s="49"/>
      <c r="E115" s="59"/>
      <c r="F115" s="59"/>
      <c r="G115" s="59"/>
      <c r="H115" s="60" t="str">
        <f t="shared" si="14"/>
        <v/>
      </c>
      <c r="I115" s="69" t="str">
        <f t="shared" si="15"/>
        <v/>
      </c>
      <c r="J115" s="50" t="str">
        <f ca="1">IF(opérations[[#This Row],[Reste]]="","",TODAY()-opérations[[#This Row],[Date]]&amp;" jrs")</f>
        <v/>
      </c>
    </row>
    <row r="116" spans="1:10" x14ac:dyDescent="0.2">
      <c r="A116" s="47"/>
      <c r="B116" s="55"/>
      <c r="C116" s="49"/>
      <c r="D116" s="49"/>
      <c r="E116" s="59"/>
      <c r="F116" s="59"/>
      <c r="G116" s="59"/>
      <c r="H116" s="60" t="str">
        <f t="shared" si="14"/>
        <v/>
      </c>
      <c r="I116" s="69" t="str">
        <f t="shared" si="15"/>
        <v/>
      </c>
      <c r="J116" s="50" t="str">
        <f ca="1">IF(opérations[[#This Row],[Reste]]="","",TODAY()-opérations[[#This Row],[Date]]&amp;" jrs")</f>
        <v/>
      </c>
    </row>
    <row r="117" spans="1:10" x14ac:dyDescent="0.2">
      <c r="A117" s="47"/>
      <c r="B117" s="55"/>
      <c r="C117" s="49"/>
      <c r="D117" s="49"/>
      <c r="E117" s="59"/>
      <c r="F117" s="59"/>
      <c r="G117" s="59"/>
      <c r="H117" s="60" t="str">
        <f t="shared" si="14"/>
        <v/>
      </c>
      <c r="I117" s="69" t="str">
        <f t="shared" si="15"/>
        <v/>
      </c>
      <c r="J117" s="50" t="str">
        <f ca="1">IF(opérations[[#This Row],[Reste]]="","",TODAY()-opérations[[#This Row],[Date]]&amp;" jrs")</f>
        <v/>
      </c>
    </row>
    <row r="118" spans="1:10" x14ac:dyDescent="0.2">
      <c r="A118" s="47"/>
      <c r="B118" s="55"/>
      <c r="C118" s="49"/>
      <c r="D118" s="49"/>
      <c r="E118" s="59"/>
      <c r="F118" s="59"/>
      <c r="G118" s="59"/>
      <c r="H118" s="60" t="str">
        <f t="shared" si="14"/>
        <v/>
      </c>
      <c r="I118" s="69" t="str">
        <f t="shared" si="15"/>
        <v/>
      </c>
      <c r="J118" s="50" t="str">
        <f ca="1">IF(opérations[[#This Row],[Reste]]="","",TODAY()-opérations[[#This Row],[Date]]&amp;" jrs")</f>
        <v/>
      </c>
    </row>
    <row r="119" spans="1:10" x14ac:dyDescent="0.2">
      <c r="A119" s="47"/>
      <c r="B119" s="55"/>
      <c r="C119" s="49"/>
      <c r="D119" s="49"/>
      <c r="E119" s="59"/>
      <c r="F119" s="59"/>
      <c r="G119" s="59"/>
      <c r="H119" s="60" t="str">
        <f t="shared" si="14"/>
        <v/>
      </c>
      <c r="I119" s="69" t="str">
        <f t="shared" si="15"/>
        <v/>
      </c>
      <c r="J119" s="50" t="str">
        <f ca="1">IF(opérations[[#This Row],[Reste]]="","",TODAY()-opérations[[#This Row],[Date]]&amp;" jrs")</f>
        <v/>
      </c>
    </row>
    <row r="120" spans="1:10" x14ac:dyDescent="0.2">
      <c r="A120" s="47"/>
      <c r="B120" s="55"/>
      <c r="C120" s="49"/>
      <c r="D120" s="49"/>
      <c r="E120" s="59"/>
      <c r="F120" s="59"/>
      <c r="G120" s="59"/>
      <c r="H120" s="60" t="str">
        <f t="shared" si="14"/>
        <v/>
      </c>
      <c r="I120" s="69" t="str">
        <f t="shared" si="15"/>
        <v/>
      </c>
      <c r="J120" s="50" t="str">
        <f ca="1">IF(opérations[[#This Row],[Reste]]="","",TODAY()-opérations[[#This Row],[Date]]&amp;" jrs")</f>
        <v/>
      </c>
    </row>
    <row r="121" spans="1:10" x14ac:dyDescent="0.2">
      <c r="A121" s="47"/>
      <c r="B121" s="55"/>
      <c r="C121" s="49"/>
      <c r="D121" s="49"/>
      <c r="E121" s="59"/>
      <c r="F121" s="59"/>
      <c r="G121" s="59"/>
      <c r="H121" s="60" t="str">
        <f t="shared" si="14"/>
        <v/>
      </c>
      <c r="I121" s="69" t="str">
        <f t="shared" si="15"/>
        <v/>
      </c>
      <c r="J121" s="50" t="str">
        <f ca="1">IF(opérations[[#This Row],[Reste]]="","",TODAY()-opérations[[#This Row],[Date]]&amp;" jrs")</f>
        <v/>
      </c>
    </row>
    <row r="122" spans="1:10" x14ac:dyDescent="0.2">
      <c r="A122" s="47"/>
      <c r="B122" s="55"/>
      <c r="C122" s="49"/>
      <c r="D122" s="49"/>
      <c r="E122" s="59"/>
      <c r="F122" s="59"/>
      <c r="G122" s="59"/>
      <c r="H122" s="60" t="str">
        <f t="shared" si="14"/>
        <v/>
      </c>
      <c r="I122" s="69" t="str">
        <f t="shared" si="15"/>
        <v/>
      </c>
      <c r="J122" s="50" t="str">
        <f ca="1">IF(opérations[[#This Row],[Reste]]="","",TODAY()-opérations[[#This Row],[Date]]&amp;" jrs")</f>
        <v/>
      </c>
    </row>
    <row r="123" spans="1:10" x14ac:dyDescent="0.2">
      <c r="A123" s="47"/>
      <c r="B123" s="55"/>
      <c r="C123" s="49"/>
      <c r="D123" s="49"/>
      <c r="E123" s="59"/>
      <c r="F123" s="59"/>
      <c r="G123" s="59"/>
      <c r="H123" s="60" t="str">
        <f t="shared" si="14"/>
        <v/>
      </c>
      <c r="I123" s="69" t="str">
        <f t="shared" si="15"/>
        <v/>
      </c>
      <c r="J123" s="50" t="str">
        <f ca="1">IF(opérations[[#This Row],[Reste]]="","",TODAY()-opérations[[#This Row],[Date]]&amp;" jrs")</f>
        <v/>
      </c>
    </row>
    <row r="124" spans="1:10" x14ac:dyDescent="0.2">
      <c r="A124" s="47"/>
      <c r="B124" s="55"/>
      <c r="C124" s="49"/>
      <c r="D124" s="49"/>
      <c r="E124" s="59"/>
      <c r="F124" s="59"/>
      <c r="G124" s="59"/>
      <c r="H124" s="60" t="str">
        <f t="shared" si="14"/>
        <v/>
      </c>
      <c r="I124" s="69" t="str">
        <f t="shared" si="15"/>
        <v/>
      </c>
      <c r="J124" s="50" t="str">
        <f ca="1">IF(opérations[[#This Row],[Reste]]="","",TODAY()-opérations[[#This Row],[Date]]&amp;" jrs")</f>
        <v/>
      </c>
    </row>
    <row r="125" spans="1:10" x14ac:dyDescent="0.2">
      <c r="A125" s="47"/>
      <c r="B125" s="55"/>
      <c r="C125" s="49"/>
      <c r="D125" s="49"/>
      <c r="E125" s="59"/>
      <c r="F125" s="59"/>
      <c r="G125" s="59"/>
      <c r="H125" s="60" t="str">
        <f t="shared" si="14"/>
        <v/>
      </c>
      <c r="I125" s="69" t="str">
        <f t="shared" si="15"/>
        <v/>
      </c>
      <c r="J125" s="50" t="str">
        <f ca="1">IF(opérations[[#This Row],[Reste]]="","",TODAY()-opérations[[#This Row],[Date]]&amp;" jrs")</f>
        <v/>
      </c>
    </row>
    <row r="126" spans="1:10" x14ac:dyDescent="0.2">
      <c r="A126" s="47"/>
      <c r="B126" s="55"/>
      <c r="C126" s="49"/>
      <c r="D126" s="49"/>
      <c r="E126" s="59"/>
      <c r="F126" s="59"/>
      <c r="G126" s="59"/>
      <c r="H126" s="60" t="str">
        <f t="shared" si="14"/>
        <v/>
      </c>
      <c r="I126" s="69" t="str">
        <f t="shared" si="15"/>
        <v/>
      </c>
      <c r="J126" s="50" t="str">
        <f ca="1">IF(opérations[[#This Row],[Reste]]="","",TODAY()-opérations[[#This Row],[Date]]&amp;" jrs")</f>
        <v/>
      </c>
    </row>
    <row r="127" spans="1:10" x14ac:dyDescent="0.2">
      <c r="A127" s="47"/>
      <c r="B127" s="55"/>
      <c r="C127" s="49"/>
      <c r="D127" s="49"/>
      <c r="E127" s="59"/>
      <c r="F127" s="59"/>
      <c r="G127" s="59"/>
      <c r="H127" s="60" t="str">
        <f t="shared" si="14"/>
        <v/>
      </c>
      <c r="I127" s="69" t="str">
        <f t="shared" si="15"/>
        <v/>
      </c>
      <c r="J127" s="50" t="str">
        <f ca="1">IF(opérations[[#This Row],[Reste]]="","",TODAY()-opérations[[#This Row],[Date]]&amp;" jrs")</f>
        <v/>
      </c>
    </row>
    <row r="128" spans="1:10" x14ac:dyDescent="0.2">
      <c r="A128" s="47"/>
      <c r="B128" s="55"/>
      <c r="C128" s="49"/>
      <c r="D128" s="49"/>
      <c r="E128" s="59"/>
      <c r="F128" s="59"/>
      <c r="G128" s="59"/>
      <c r="H128" s="60" t="str">
        <f t="shared" si="14"/>
        <v/>
      </c>
      <c r="I128" s="69" t="str">
        <f t="shared" si="15"/>
        <v/>
      </c>
      <c r="J128" s="50" t="str">
        <f ca="1">IF(opérations[[#This Row],[Reste]]="","",TODAY()-opérations[[#This Row],[Date]]&amp;" jrs")</f>
        <v/>
      </c>
    </row>
    <row r="129" spans="1:10" x14ac:dyDescent="0.2">
      <c r="A129" s="47"/>
      <c r="B129" s="55"/>
      <c r="C129" s="49"/>
      <c r="D129" s="49"/>
      <c r="E129" s="59"/>
      <c r="F129" s="59"/>
      <c r="G129" s="59"/>
      <c r="H129" s="60" t="str">
        <f t="shared" si="14"/>
        <v/>
      </c>
      <c r="I129" s="69" t="str">
        <f t="shared" si="15"/>
        <v/>
      </c>
      <c r="J129" s="50" t="str">
        <f ca="1">IF(opérations[[#This Row],[Reste]]="","",TODAY()-opérations[[#This Row],[Date]]&amp;" jrs")</f>
        <v/>
      </c>
    </row>
    <row r="130" spans="1:10" x14ac:dyDescent="0.2">
      <c r="A130" s="47"/>
      <c r="B130" s="55"/>
      <c r="C130" s="49"/>
      <c r="D130" s="49"/>
      <c r="E130" s="59"/>
      <c r="F130" s="59"/>
      <c r="G130" s="59"/>
      <c r="H130" s="60" t="str">
        <f t="shared" si="14"/>
        <v/>
      </c>
      <c r="I130" s="69" t="str">
        <f t="shared" si="15"/>
        <v/>
      </c>
      <c r="J130" s="50" t="str">
        <f ca="1">IF(opérations[[#This Row],[Reste]]="","",TODAY()-opérations[[#This Row],[Date]]&amp;" jrs")</f>
        <v/>
      </c>
    </row>
    <row r="131" spans="1:10" x14ac:dyDescent="0.2">
      <c r="A131" s="47"/>
      <c r="B131" s="55"/>
      <c r="C131" s="49"/>
      <c r="D131" s="49"/>
      <c r="E131" s="59"/>
      <c r="F131" s="59"/>
      <c r="G131" s="59"/>
      <c r="H131" s="60" t="str">
        <f t="shared" si="14"/>
        <v/>
      </c>
      <c r="I131" s="69" t="str">
        <f t="shared" si="15"/>
        <v/>
      </c>
      <c r="J131" s="50" t="str">
        <f ca="1">IF(opérations[[#This Row],[Reste]]="","",TODAY()-opérations[[#This Row],[Date]]&amp;" jrs")</f>
        <v/>
      </c>
    </row>
    <row r="132" spans="1:10" x14ac:dyDescent="0.2">
      <c r="A132" s="47"/>
      <c r="B132" s="55"/>
      <c r="C132" s="49"/>
      <c r="D132" s="49"/>
      <c r="E132" s="59"/>
      <c r="F132" s="59"/>
      <c r="G132" s="59"/>
      <c r="H132" s="60" t="str">
        <f t="shared" ref="H132:H163" si="16">IF(E132="","",E132-F132-G132)</f>
        <v/>
      </c>
      <c r="I132" s="69" t="str">
        <f t="shared" ref="I132:I163" si="17">IF(H132="","",IF(H132&gt;=5000,"Urgents",""))</f>
        <v/>
      </c>
      <c r="J132" s="50" t="str">
        <f ca="1">IF(opérations[[#This Row],[Reste]]="","",TODAY()-opérations[[#This Row],[Date]]&amp;" jrs")</f>
        <v/>
      </c>
    </row>
    <row r="133" spans="1:10" x14ac:dyDescent="0.2">
      <c r="A133" s="47"/>
      <c r="B133" s="55"/>
      <c r="C133" s="49"/>
      <c r="D133" s="49"/>
      <c r="E133" s="59"/>
      <c r="F133" s="59"/>
      <c r="G133" s="59"/>
      <c r="H133" s="60" t="str">
        <f t="shared" si="16"/>
        <v/>
      </c>
      <c r="I133" s="69" t="str">
        <f t="shared" si="17"/>
        <v/>
      </c>
      <c r="J133" s="50" t="str">
        <f ca="1">IF(opérations[[#This Row],[Reste]]="","",TODAY()-opérations[[#This Row],[Date]]&amp;" jrs")</f>
        <v/>
      </c>
    </row>
    <row r="134" spans="1:10" x14ac:dyDescent="0.2">
      <c r="A134" s="47"/>
      <c r="B134" s="55"/>
      <c r="C134" s="49"/>
      <c r="D134" s="49"/>
      <c r="E134" s="59"/>
      <c r="F134" s="59"/>
      <c r="G134" s="59"/>
      <c r="H134" s="60" t="str">
        <f t="shared" si="16"/>
        <v/>
      </c>
      <c r="I134" s="69" t="str">
        <f t="shared" si="17"/>
        <v/>
      </c>
      <c r="J134" s="50" t="str">
        <f ca="1">IF(opérations[[#This Row],[Reste]]="","",TODAY()-opérations[[#This Row],[Date]]&amp;" jrs")</f>
        <v/>
      </c>
    </row>
    <row r="135" spans="1:10" x14ac:dyDescent="0.2">
      <c r="A135" s="47"/>
      <c r="B135" s="55"/>
      <c r="C135" s="49"/>
      <c r="D135" s="49"/>
      <c r="E135" s="59"/>
      <c r="F135" s="59"/>
      <c r="G135" s="59"/>
      <c r="H135" s="60" t="str">
        <f t="shared" si="16"/>
        <v/>
      </c>
      <c r="I135" s="69" t="str">
        <f t="shared" si="17"/>
        <v/>
      </c>
      <c r="J135" s="50" t="str">
        <f ca="1">IF(opérations[[#This Row],[Reste]]="","",TODAY()-opérations[[#This Row],[Date]]&amp;" jrs")</f>
        <v/>
      </c>
    </row>
    <row r="136" spans="1:10" x14ac:dyDescent="0.2">
      <c r="A136" s="47"/>
      <c r="B136" s="55"/>
      <c r="C136" s="49"/>
      <c r="D136" s="49"/>
      <c r="E136" s="59"/>
      <c r="F136" s="59"/>
      <c r="G136" s="59"/>
      <c r="H136" s="60" t="str">
        <f t="shared" si="16"/>
        <v/>
      </c>
      <c r="I136" s="69" t="str">
        <f t="shared" si="17"/>
        <v/>
      </c>
      <c r="J136" s="50" t="str">
        <f ca="1">IF(opérations[[#This Row],[Reste]]="","",TODAY()-opérations[[#This Row],[Date]]&amp;" jrs")</f>
        <v/>
      </c>
    </row>
    <row r="137" spans="1:10" x14ac:dyDescent="0.2">
      <c r="A137" s="47"/>
      <c r="B137" s="55"/>
      <c r="C137" s="49"/>
      <c r="D137" s="49"/>
      <c r="E137" s="59"/>
      <c r="F137" s="59"/>
      <c r="G137" s="59"/>
      <c r="H137" s="60" t="str">
        <f t="shared" si="16"/>
        <v/>
      </c>
      <c r="I137" s="69" t="str">
        <f t="shared" si="17"/>
        <v/>
      </c>
      <c r="J137" s="50" t="str">
        <f ca="1">IF(opérations[[#This Row],[Reste]]="","",TODAY()-opérations[[#This Row],[Date]]&amp;" jrs")</f>
        <v/>
      </c>
    </row>
    <row r="138" spans="1:10" x14ac:dyDescent="0.2">
      <c r="A138" s="47"/>
      <c r="B138" s="55"/>
      <c r="C138" s="49"/>
      <c r="D138" s="49"/>
      <c r="E138" s="59"/>
      <c r="F138" s="59"/>
      <c r="G138" s="59"/>
      <c r="H138" s="60" t="str">
        <f t="shared" si="16"/>
        <v/>
      </c>
      <c r="I138" s="69" t="str">
        <f t="shared" si="17"/>
        <v/>
      </c>
      <c r="J138" s="50" t="str">
        <f ca="1">IF(opérations[[#This Row],[Reste]]="","",TODAY()-opérations[[#This Row],[Date]]&amp;" jrs")</f>
        <v/>
      </c>
    </row>
    <row r="139" spans="1:10" x14ac:dyDescent="0.2">
      <c r="A139" s="47"/>
      <c r="B139" s="55"/>
      <c r="C139" s="49"/>
      <c r="D139" s="49"/>
      <c r="E139" s="59"/>
      <c r="F139" s="59"/>
      <c r="G139" s="59"/>
      <c r="H139" s="60" t="str">
        <f t="shared" si="16"/>
        <v/>
      </c>
      <c r="I139" s="69" t="str">
        <f t="shared" si="17"/>
        <v/>
      </c>
      <c r="J139" s="50" t="str">
        <f ca="1">IF(opérations[[#This Row],[Reste]]="","",TODAY()-opérations[[#This Row],[Date]]&amp;" jrs")</f>
        <v/>
      </c>
    </row>
    <row r="140" spans="1:10" x14ac:dyDescent="0.2">
      <c r="A140" s="47"/>
      <c r="B140" s="55"/>
      <c r="C140" s="49"/>
      <c r="D140" s="49"/>
      <c r="E140" s="59"/>
      <c r="F140" s="59"/>
      <c r="G140" s="59"/>
      <c r="H140" s="60" t="str">
        <f t="shared" si="16"/>
        <v/>
      </c>
      <c r="I140" s="69" t="str">
        <f t="shared" si="17"/>
        <v/>
      </c>
      <c r="J140" s="50" t="str">
        <f ca="1">IF(opérations[[#This Row],[Reste]]="","",TODAY()-opérations[[#This Row],[Date]]&amp;" jrs")</f>
        <v/>
      </c>
    </row>
    <row r="141" spans="1:10" x14ac:dyDescent="0.2">
      <c r="A141" s="47"/>
      <c r="B141" s="55"/>
      <c r="C141" s="49"/>
      <c r="D141" s="49"/>
      <c r="E141" s="59"/>
      <c r="F141" s="59"/>
      <c r="G141" s="59"/>
      <c r="H141" s="60" t="str">
        <f t="shared" si="16"/>
        <v/>
      </c>
      <c r="I141" s="69" t="str">
        <f t="shared" si="17"/>
        <v/>
      </c>
      <c r="J141" s="50" t="str">
        <f ca="1">IF(opérations[[#This Row],[Reste]]="","",TODAY()-opérations[[#This Row],[Date]]&amp;" jrs")</f>
        <v/>
      </c>
    </row>
    <row r="142" spans="1:10" x14ac:dyDescent="0.2">
      <c r="A142" s="47"/>
      <c r="B142" s="55"/>
      <c r="C142" s="49"/>
      <c r="D142" s="49"/>
      <c r="E142" s="59"/>
      <c r="F142" s="59"/>
      <c r="G142" s="59"/>
      <c r="H142" s="60" t="str">
        <f t="shared" si="16"/>
        <v/>
      </c>
      <c r="I142" s="69" t="str">
        <f t="shared" si="17"/>
        <v/>
      </c>
      <c r="J142" s="50" t="str">
        <f ca="1">IF(opérations[[#This Row],[Reste]]="","",TODAY()-opérations[[#This Row],[Date]]&amp;" jrs")</f>
        <v/>
      </c>
    </row>
    <row r="143" spans="1:10" x14ac:dyDescent="0.2">
      <c r="A143" s="47"/>
      <c r="B143" s="55"/>
      <c r="C143" s="49"/>
      <c r="D143" s="49"/>
      <c r="E143" s="59"/>
      <c r="F143" s="59"/>
      <c r="G143" s="59"/>
      <c r="H143" s="60" t="str">
        <f t="shared" si="16"/>
        <v/>
      </c>
      <c r="I143" s="69" t="str">
        <f t="shared" si="17"/>
        <v/>
      </c>
      <c r="J143" s="50" t="str">
        <f ca="1">IF(opérations[[#This Row],[Reste]]="","",TODAY()-opérations[[#This Row],[Date]]&amp;" jrs")</f>
        <v/>
      </c>
    </row>
    <row r="144" spans="1:10" x14ac:dyDescent="0.2">
      <c r="A144" s="47"/>
      <c r="B144" s="55"/>
      <c r="C144" s="49"/>
      <c r="D144" s="49"/>
      <c r="E144" s="59"/>
      <c r="F144" s="59"/>
      <c r="G144" s="59"/>
      <c r="H144" s="60" t="str">
        <f t="shared" si="16"/>
        <v/>
      </c>
      <c r="I144" s="69" t="str">
        <f t="shared" si="17"/>
        <v/>
      </c>
      <c r="J144" s="50" t="str">
        <f ca="1">IF(opérations[[#This Row],[Reste]]="","",TODAY()-opérations[[#This Row],[Date]]&amp;" jrs")</f>
        <v/>
      </c>
    </row>
    <row r="145" spans="1:10" x14ac:dyDescent="0.2">
      <c r="A145" s="47"/>
      <c r="B145" s="55"/>
      <c r="C145" s="49"/>
      <c r="D145" s="49"/>
      <c r="E145" s="59"/>
      <c r="F145" s="59"/>
      <c r="G145" s="59"/>
      <c r="H145" s="60" t="str">
        <f t="shared" si="16"/>
        <v/>
      </c>
      <c r="I145" s="69" t="str">
        <f t="shared" si="17"/>
        <v/>
      </c>
      <c r="J145" s="50" t="str">
        <f ca="1">IF(opérations[[#This Row],[Reste]]="","",TODAY()-opérations[[#This Row],[Date]]&amp;" jrs")</f>
        <v/>
      </c>
    </row>
    <row r="146" spans="1:10" x14ac:dyDescent="0.2">
      <c r="A146" s="47"/>
      <c r="B146" s="55"/>
      <c r="C146" s="49"/>
      <c r="D146" s="49"/>
      <c r="E146" s="59"/>
      <c r="F146" s="59"/>
      <c r="G146" s="59"/>
      <c r="H146" s="60" t="str">
        <f t="shared" si="16"/>
        <v/>
      </c>
      <c r="I146" s="69" t="str">
        <f t="shared" si="17"/>
        <v/>
      </c>
      <c r="J146" s="50" t="str">
        <f ca="1">IF(opérations[[#This Row],[Reste]]="","",TODAY()-opérations[[#This Row],[Date]]&amp;" jrs")</f>
        <v/>
      </c>
    </row>
    <row r="147" spans="1:10" x14ac:dyDescent="0.2">
      <c r="A147" s="47"/>
      <c r="B147" s="55"/>
      <c r="C147" s="49"/>
      <c r="D147" s="49"/>
      <c r="E147" s="59"/>
      <c r="F147" s="59"/>
      <c r="G147" s="59"/>
      <c r="H147" s="60" t="str">
        <f t="shared" si="16"/>
        <v/>
      </c>
      <c r="I147" s="69" t="str">
        <f t="shared" si="17"/>
        <v/>
      </c>
      <c r="J147" s="50" t="str">
        <f ca="1">IF(opérations[[#This Row],[Reste]]="","",TODAY()-opérations[[#This Row],[Date]]&amp;" jrs")</f>
        <v/>
      </c>
    </row>
    <row r="148" spans="1:10" x14ac:dyDescent="0.2">
      <c r="A148" s="47"/>
      <c r="B148" s="55"/>
      <c r="C148" s="49"/>
      <c r="D148" s="49"/>
      <c r="E148" s="59"/>
      <c r="F148" s="59"/>
      <c r="G148" s="59"/>
      <c r="H148" s="60" t="str">
        <f t="shared" si="16"/>
        <v/>
      </c>
      <c r="I148" s="69" t="str">
        <f t="shared" si="17"/>
        <v/>
      </c>
      <c r="J148" s="50" t="str">
        <f ca="1">IF(opérations[[#This Row],[Reste]]="","",TODAY()-opérations[[#This Row],[Date]]&amp;" jrs")</f>
        <v/>
      </c>
    </row>
    <row r="149" spans="1:10" x14ac:dyDescent="0.2">
      <c r="A149" s="47"/>
      <c r="B149" s="55"/>
      <c r="C149" s="49"/>
      <c r="D149" s="49"/>
      <c r="E149" s="59"/>
      <c r="F149" s="59"/>
      <c r="G149" s="59"/>
      <c r="H149" s="60" t="str">
        <f t="shared" si="16"/>
        <v/>
      </c>
      <c r="I149" s="69" t="str">
        <f t="shared" si="17"/>
        <v/>
      </c>
      <c r="J149" s="50" t="str">
        <f ca="1">IF(opérations[[#This Row],[Reste]]="","",TODAY()-opérations[[#This Row],[Date]]&amp;" jrs")</f>
        <v/>
      </c>
    </row>
    <row r="150" spans="1:10" x14ac:dyDescent="0.2">
      <c r="A150" s="47"/>
      <c r="B150" s="55"/>
      <c r="C150" s="49"/>
      <c r="D150" s="49"/>
      <c r="E150" s="59"/>
      <c r="F150" s="59"/>
      <c r="G150" s="59"/>
      <c r="H150" s="60" t="str">
        <f t="shared" si="16"/>
        <v/>
      </c>
      <c r="I150" s="69" t="str">
        <f t="shared" si="17"/>
        <v/>
      </c>
      <c r="J150" s="50" t="str">
        <f ca="1">IF(opérations[[#This Row],[Reste]]="","",TODAY()-opérations[[#This Row],[Date]]&amp;" jrs")</f>
        <v/>
      </c>
    </row>
    <row r="151" spans="1:10" x14ac:dyDescent="0.2">
      <c r="A151" s="47"/>
      <c r="B151" s="55"/>
      <c r="C151" s="49"/>
      <c r="D151" s="49"/>
      <c r="E151" s="59"/>
      <c r="F151" s="59"/>
      <c r="G151" s="59"/>
      <c r="H151" s="60" t="str">
        <f t="shared" si="16"/>
        <v/>
      </c>
      <c r="I151" s="69" t="str">
        <f t="shared" si="17"/>
        <v/>
      </c>
      <c r="J151" s="50" t="str">
        <f ca="1">IF(opérations[[#This Row],[Reste]]="","",TODAY()-opérations[[#This Row],[Date]]&amp;" jrs")</f>
        <v/>
      </c>
    </row>
    <row r="152" spans="1:10" x14ac:dyDescent="0.2">
      <c r="A152" s="47"/>
      <c r="B152" s="55"/>
      <c r="C152" s="49"/>
      <c r="D152" s="49"/>
      <c r="E152" s="59"/>
      <c r="F152" s="59"/>
      <c r="G152" s="59"/>
      <c r="H152" s="60" t="str">
        <f t="shared" si="16"/>
        <v/>
      </c>
      <c r="I152" s="69" t="str">
        <f t="shared" si="17"/>
        <v/>
      </c>
      <c r="J152" s="50" t="str">
        <f ca="1">IF(opérations[[#This Row],[Reste]]="","",TODAY()-opérations[[#This Row],[Date]]&amp;" jrs")</f>
        <v/>
      </c>
    </row>
    <row r="153" spans="1:10" x14ac:dyDescent="0.2">
      <c r="A153" s="47"/>
      <c r="B153" s="55"/>
      <c r="C153" s="49"/>
      <c r="D153" s="49"/>
      <c r="E153" s="59"/>
      <c r="F153" s="59"/>
      <c r="G153" s="59"/>
      <c r="H153" s="60" t="str">
        <f t="shared" si="16"/>
        <v/>
      </c>
      <c r="I153" s="69" t="str">
        <f t="shared" si="17"/>
        <v/>
      </c>
      <c r="J153" s="50" t="str">
        <f ca="1">IF(opérations[[#This Row],[Reste]]="","",TODAY()-opérations[[#This Row],[Date]]&amp;" jrs")</f>
        <v/>
      </c>
    </row>
    <row r="154" spans="1:10" x14ac:dyDescent="0.2">
      <c r="A154" s="47"/>
      <c r="B154" s="55"/>
      <c r="C154" s="49"/>
      <c r="D154" s="49"/>
      <c r="E154" s="59"/>
      <c r="F154" s="59"/>
      <c r="G154" s="59"/>
      <c r="H154" s="60" t="str">
        <f t="shared" si="16"/>
        <v/>
      </c>
      <c r="I154" s="69" t="str">
        <f t="shared" si="17"/>
        <v/>
      </c>
      <c r="J154" s="50" t="str">
        <f ca="1">IF(opérations[[#This Row],[Reste]]="","",TODAY()-opérations[[#This Row],[Date]]&amp;" jrs")</f>
        <v/>
      </c>
    </row>
    <row r="155" spans="1:10" x14ac:dyDescent="0.2">
      <c r="A155" s="47"/>
      <c r="B155" s="55"/>
      <c r="C155" s="49"/>
      <c r="D155" s="49"/>
      <c r="E155" s="59"/>
      <c r="F155" s="59"/>
      <c r="G155" s="59"/>
      <c r="H155" s="60" t="str">
        <f t="shared" si="16"/>
        <v/>
      </c>
      <c r="I155" s="69" t="str">
        <f t="shared" si="17"/>
        <v/>
      </c>
      <c r="J155" s="50" t="str">
        <f ca="1">IF(opérations[[#This Row],[Reste]]="","",TODAY()-opérations[[#This Row],[Date]]&amp;" jrs")</f>
        <v/>
      </c>
    </row>
    <row r="156" spans="1:10" x14ac:dyDescent="0.2">
      <c r="A156" s="47"/>
      <c r="B156" s="55"/>
      <c r="C156" s="49"/>
      <c r="D156" s="49"/>
      <c r="E156" s="59"/>
      <c r="F156" s="59"/>
      <c r="G156" s="59"/>
      <c r="H156" s="60" t="str">
        <f t="shared" si="16"/>
        <v/>
      </c>
      <c r="I156" s="69" t="str">
        <f t="shared" si="17"/>
        <v/>
      </c>
      <c r="J156" s="50" t="str">
        <f ca="1">IF(opérations[[#This Row],[Reste]]="","",TODAY()-opérations[[#This Row],[Date]]&amp;" jrs")</f>
        <v/>
      </c>
    </row>
    <row r="157" spans="1:10" x14ac:dyDescent="0.2">
      <c r="A157" s="47"/>
      <c r="B157" s="55"/>
      <c r="C157" s="49"/>
      <c r="D157" s="49"/>
      <c r="E157" s="59"/>
      <c r="F157" s="59"/>
      <c r="G157" s="59"/>
      <c r="H157" s="60" t="str">
        <f t="shared" si="16"/>
        <v/>
      </c>
      <c r="I157" s="69" t="str">
        <f t="shared" si="17"/>
        <v/>
      </c>
      <c r="J157" s="50" t="str">
        <f ca="1">IF(opérations[[#This Row],[Reste]]="","",TODAY()-opérations[[#This Row],[Date]]&amp;" jrs")</f>
        <v/>
      </c>
    </row>
    <row r="158" spans="1:10" x14ac:dyDescent="0.2">
      <c r="A158" s="47"/>
      <c r="B158" s="55"/>
      <c r="C158" s="49"/>
      <c r="D158" s="49"/>
      <c r="E158" s="59"/>
      <c r="F158" s="59"/>
      <c r="G158" s="59"/>
      <c r="H158" s="60" t="str">
        <f t="shared" si="16"/>
        <v/>
      </c>
      <c r="I158" s="69" t="str">
        <f t="shared" si="17"/>
        <v/>
      </c>
      <c r="J158" s="50" t="str">
        <f ca="1">IF(opérations[[#This Row],[Reste]]="","",TODAY()-opérations[[#This Row],[Date]]&amp;" jrs")</f>
        <v/>
      </c>
    </row>
    <row r="159" spans="1:10" x14ac:dyDescent="0.2">
      <c r="A159" s="47"/>
      <c r="B159" s="55"/>
      <c r="C159" s="49"/>
      <c r="D159" s="49"/>
      <c r="E159" s="59"/>
      <c r="F159" s="59"/>
      <c r="G159" s="59"/>
      <c r="H159" s="60" t="str">
        <f t="shared" si="16"/>
        <v/>
      </c>
      <c r="I159" s="69" t="str">
        <f t="shared" si="17"/>
        <v/>
      </c>
      <c r="J159" s="50" t="str">
        <f ca="1">IF(opérations[[#This Row],[Reste]]="","",TODAY()-opérations[[#This Row],[Date]]&amp;" jrs")</f>
        <v/>
      </c>
    </row>
    <row r="160" spans="1:10" x14ac:dyDescent="0.2">
      <c r="A160" s="47"/>
      <c r="B160" s="55"/>
      <c r="C160" s="49"/>
      <c r="D160" s="49"/>
      <c r="E160" s="59"/>
      <c r="F160" s="59"/>
      <c r="G160" s="59"/>
      <c r="H160" s="60" t="str">
        <f t="shared" si="16"/>
        <v/>
      </c>
      <c r="I160" s="69" t="str">
        <f t="shared" si="17"/>
        <v/>
      </c>
      <c r="J160" s="50" t="str">
        <f ca="1">IF(opérations[[#This Row],[Reste]]="","",TODAY()-opérations[[#This Row],[Date]]&amp;" jrs")</f>
        <v/>
      </c>
    </row>
    <row r="161" spans="1:10" x14ac:dyDescent="0.2">
      <c r="A161" s="47"/>
      <c r="B161" s="55"/>
      <c r="C161" s="49"/>
      <c r="D161" s="49"/>
      <c r="E161" s="59"/>
      <c r="F161" s="59"/>
      <c r="G161" s="59"/>
      <c r="H161" s="60" t="str">
        <f t="shared" si="16"/>
        <v/>
      </c>
      <c r="I161" s="69" t="str">
        <f t="shared" si="17"/>
        <v/>
      </c>
      <c r="J161" s="50" t="str">
        <f ca="1">IF(opérations[[#This Row],[Reste]]="","",TODAY()-opérations[[#This Row],[Date]]&amp;" jrs")</f>
        <v/>
      </c>
    </row>
    <row r="162" spans="1:10" x14ac:dyDescent="0.2">
      <c r="A162" s="47"/>
      <c r="B162" s="55"/>
      <c r="C162" s="49"/>
      <c r="D162" s="49"/>
      <c r="E162" s="59"/>
      <c r="F162" s="59"/>
      <c r="G162" s="59"/>
      <c r="H162" s="60" t="str">
        <f t="shared" si="16"/>
        <v/>
      </c>
      <c r="I162" s="69" t="str">
        <f t="shared" si="17"/>
        <v/>
      </c>
      <c r="J162" s="50" t="str">
        <f ca="1">IF(opérations[[#This Row],[Reste]]="","",TODAY()-opérations[[#This Row],[Date]]&amp;" jrs")</f>
        <v/>
      </c>
    </row>
    <row r="163" spans="1:10" x14ac:dyDescent="0.2">
      <c r="A163" s="47"/>
      <c r="B163" s="55"/>
      <c r="C163" s="49"/>
      <c r="D163" s="49"/>
      <c r="E163" s="59"/>
      <c r="F163" s="59"/>
      <c r="G163" s="59"/>
      <c r="H163" s="60" t="str">
        <f t="shared" si="16"/>
        <v/>
      </c>
      <c r="I163" s="69" t="str">
        <f t="shared" si="17"/>
        <v/>
      </c>
      <c r="J163" s="50" t="str">
        <f ca="1">IF(opérations[[#This Row],[Reste]]="","",TODAY()-opérations[[#This Row],[Date]]&amp;" jrs")</f>
        <v/>
      </c>
    </row>
    <row r="164" spans="1:10" x14ac:dyDescent="0.2">
      <c r="A164" s="47"/>
      <c r="B164" s="55"/>
      <c r="C164" s="49"/>
      <c r="D164" s="49"/>
      <c r="E164" s="59"/>
      <c r="F164" s="59"/>
      <c r="G164" s="59"/>
      <c r="H164" s="60" t="str">
        <f t="shared" ref="H164:H195" si="18">IF(E164="","",E164-F164-G164)</f>
        <v/>
      </c>
      <c r="I164" s="69" t="str">
        <f t="shared" ref="I164:I195" si="19">IF(H164="","",IF(H164&gt;=5000,"Urgents",""))</f>
        <v/>
      </c>
      <c r="J164" s="50" t="str">
        <f ca="1">IF(opérations[[#This Row],[Reste]]="","",TODAY()-opérations[[#This Row],[Date]]&amp;" jrs")</f>
        <v/>
      </c>
    </row>
    <row r="165" spans="1:10" x14ac:dyDescent="0.2">
      <c r="A165" s="47"/>
      <c r="B165" s="55"/>
      <c r="C165" s="49"/>
      <c r="D165" s="49"/>
      <c r="E165" s="59"/>
      <c r="F165" s="59"/>
      <c r="G165" s="59"/>
      <c r="H165" s="60" t="str">
        <f t="shared" si="18"/>
        <v/>
      </c>
      <c r="I165" s="69" t="str">
        <f t="shared" si="19"/>
        <v/>
      </c>
      <c r="J165" s="50" t="str">
        <f ca="1">IF(opérations[[#This Row],[Reste]]="","",TODAY()-opérations[[#This Row],[Date]]&amp;" jrs")</f>
        <v/>
      </c>
    </row>
    <row r="166" spans="1:10" x14ac:dyDescent="0.2">
      <c r="A166" s="47"/>
      <c r="B166" s="55"/>
      <c r="C166" s="49"/>
      <c r="D166" s="49"/>
      <c r="E166" s="59"/>
      <c r="F166" s="59"/>
      <c r="G166" s="59"/>
      <c r="H166" s="60" t="str">
        <f t="shared" si="18"/>
        <v/>
      </c>
      <c r="I166" s="69" t="str">
        <f t="shared" si="19"/>
        <v/>
      </c>
      <c r="J166" s="50" t="str">
        <f ca="1">IF(opérations[[#This Row],[Reste]]="","",TODAY()-opérations[[#This Row],[Date]]&amp;" jrs")</f>
        <v/>
      </c>
    </row>
    <row r="167" spans="1:10" x14ac:dyDescent="0.2">
      <c r="A167" s="47"/>
      <c r="B167" s="55"/>
      <c r="C167" s="49"/>
      <c r="D167" s="49"/>
      <c r="E167" s="59"/>
      <c r="F167" s="59"/>
      <c r="G167" s="59"/>
      <c r="H167" s="60" t="str">
        <f t="shared" si="18"/>
        <v/>
      </c>
      <c r="I167" s="69" t="str">
        <f t="shared" si="19"/>
        <v/>
      </c>
      <c r="J167" s="50" t="str">
        <f ca="1">IF(opérations[[#This Row],[Reste]]="","",TODAY()-opérations[[#This Row],[Date]]&amp;" jrs")</f>
        <v/>
      </c>
    </row>
    <row r="168" spans="1:10" x14ac:dyDescent="0.2">
      <c r="A168" s="47"/>
      <c r="B168" s="55"/>
      <c r="C168" s="49"/>
      <c r="D168" s="49"/>
      <c r="E168" s="59"/>
      <c r="F168" s="59"/>
      <c r="G168" s="59"/>
      <c r="H168" s="60" t="str">
        <f t="shared" si="18"/>
        <v/>
      </c>
      <c r="I168" s="69" t="str">
        <f t="shared" si="19"/>
        <v/>
      </c>
      <c r="J168" s="50" t="str">
        <f ca="1">IF(opérations[[#This Row],[Reste]]="","",TODAY()-opérations[[#This Row],[Date]]&amp;" jrs")</f>
        <v/>
      </c>
    </row>
    <row r="169" spans="1:10" x14ac:dyDescent="0.2">
      <c r="A169" s="47"/>
      <c r="B169" s="55"/>
      <c r="C169" s="49"/>
      <c r="D169" s="49"/>
      <c r="E169" s="59"/>
      <c r="F169" s="59"/>
      <c r="G169" s="59"/>
      <c r="H169" s="60" t="str">
        <f t="shared" si="18"/>
        <v/>
      </c>
      <c r="I169" s="69" t="str">
        <f t="shared" si="19"/>
        <v/>
      </c>
      <c r="J169" s="50" t="str">
        <f ca="1">IF(opérations[[#This Row],[Reste]]="","",TODAY()-opérations[[#This Row],[Date]]&amp;" jrs")</f>
        <v/>
      </c>
    </row>
    <row r="170" spans="1:10" x14ac:dyDescent="0.2">
      <c r="A170" s="47"/>
      <c r="B170" s="55"/>
      <c r="C170" s="49"/>
      <c r="D170" s="49"/>
      <c r="E170" s="59"/>
      <c r="F170" s="59"/>
      <c r="G170" s="59"/>
      <c r="H170" s="60" t="str">
        <f t="shared" si="18"/>
        <v/>
      </c>
      <c r="I170" s="69" t="str">
        <f t="shared" si="19"/>
        <v/>
      </c>
      <c r="J170" s="50" t="str">
        <f ca="1">IF(opérations[[#This Row],[Reste]]="","",TODAY()-opérations[[#This Row],[Date]]&amp;" jrs")</f>
        <v/>
      </c>
    </row>
    <row r="171" spans="1:10" x14ac:dyDescent="0.2">
      <c r="A171" s="47"/>
      <c r="B171" s="55"/>
      <c r="C171" s="49"/>
      <c r="D171" s="49"/>
      <c r="E171" s="59"/>
      <c r="F171" s="59"/>
      <c r="G171" s="59"/>
      <c r="H171" s="60" t="str">
        <f t="shared" si="18"/>
        <v/>
      </c>
      <c r="I171" s="69" t="str">
        <f t="shared" si="19"/>
        <v/>
      </c>
      <c r="J171" s="50" t="str">
        <f ca="1">IF(opérations[[#This Row],[Reste]]="","",TODAY()-opérations[[#This Row],[Date]]&amp;" jrs")</f>
        <v/>
      </c>
    </row>
    <row r="172" spans="1:10" x14ac:dyDescent="0.2">
      <c r="A172" s="47"/>
      <c r="B172" s="55"/>
      <c r="C172" s="49"/>
      <c r="D172" s="49"/>
      <c r="E172" s="59"/>
      <c r="F172" s="59"/>
      <c r="G172" s="59"/>
      <c r="H172" s="60" t="str">
        <f t="shared" si="18"/>
        <v/>
      </c>
      <c r="I172" s="69" t="str">
        <f t="shared" si="19"/>
        <v/>
      </c>
      <c r="J172" s="50" t="str">
        <f ca="1">IF(opérations[[#This Row],[Reste]]="","",TODAY()-opérations[[#This Row],[Date]]&amp;" jrs")</f>
        <v/>
      </c>
    </row>
    <row r="173" spans="1:10" x14ac:dyDescent="0.2">
      <c r="A173" s="47"/>
      <c r="B173" s="55"/>
      <c r="C173" s="49"/>
      <c r="D173" s="49"/>
      <c r="E173" s="59"/>
      <c r="F173" s="59"/>
      <c r="G173" s="59"/>
      <c r="H173" s="60" t="str">
        <f t="shared" si="18"/>
        <v/>
      </c>
      <c r="I173" s="69" t="str">
        <f t="shared" si="19"/>
        <v/>
      </c>
      <c r="J173" s="50" t="str">
        <f ca="1">IF(opérations[[#This Row],[Reste]]="","",TODAY()-opérations[[#This Row],[Date]]&amp;" jrs")</f>
        <v/>
      </c>
    </row>
    <row r="174" spans="1:10" x14ac:dyDescent="0.2">
      <c r="A174" s="47"/>
      <c r="B174" s="55"/>
      <c r="C174" s="49"/>
      <c r="D174" s="49"/>
      <c r="E174" s="59"/>
      <c r="F174" s="59"/>
      <c r="G174" s="59"/>
      <c r="H174" s="60" t="str">
        <f t="shared" si="18"/>
        <v/>
      </c>
      <c r="I174" s="69" t="str">
        <f t="shared" si="19"/>
        <v/>
      </c>
      <c r="J174" s="50" t="str">
        <f ca="1">IF(opérations[[#This Row],[Reste]]="","",TODAY()-opérations[[#This Row],[Date]]&amp;" jrs")</f>
        <v/>
      </c>
    </row>
    <row r="175" spans="1:10" x14ac:dyDescent="0.2">
      <c r="A175" s="47"/>
      <c r="B175" s="55"/>
      <c r="C175" s="49"/>
      <c r="D175" s="49"/>
      <c r="E175" s="59"/>
      <c r="F175" s="59"/>
      <c r="G175" s="59"/>
      <c r="H175" s="60" t="str">
        <f t="shared" si="18"/>
        <v/>
      </c>
      <c r="I175" s="69" t="str">
        <f t="shared" si="19"/>
        <v/>
      </c>
      <c r="J175" s="50" t="str">
        <f ca="1">IF(opérations[[#This Row],[Reste]]="","",TODAY()-opérations[[#This Row],[Date]]&amp;" jrs")</f>
        <v/>
      </c>
    </row>
    <row r="176" spans="1:10" x14ac:dyDescent="0.2">
      <c r="A176" s="47"/>
      <c r="B176" s="55"/>
      <c r="C176" s="49"/>
      <c r="D176" s="49"/>
      <c r="E176" s="59"/>
      <c r="F176" s="59"/>
      <c r="G176" s="59"/>
      <c r="H176" s="60" t="str">
        <f t="shared" si="18"/>
        <v/>
      </c>
      <c r="I176" s="69" t="str">
        <f t="shared" si="19"/>
        <v/>
      </c>
      <c r="J176" s="50" t="str">
        <f ca="1">IF(opérations[[#This Row],[Reste]]="","",TODAY()-opérations[[#This Row],[Date]]&amp;" jrs")</f>
        <v/>
      </c>
    </row>
    <row r="177" spans="1:10" x14ac:dyDescent="0.2">
      <c r="A177" s="47"/>
      <c r="B177" s="55"/>
      <c r="C177" s="49"/>
      <c r="D177" s="49"/>
      <c r="E177" s="59"/>
      <c r="F177" s="59"/>
      <c r="G177" s="59"/>
      <c r="H177" s="60" t="str">
        <f t="shared" si="18"/>
        <v/>
      </c>
      <c r="I177" s="69" t="str">
        <f t="shared" si="19"/>
        <v/>
      </c>
      <c r="J177" s="50" t="str">
        <f ca="1">IF(opérations[[#This Row],[Reste]]="","",TODAY()-opérations[[#This Row],[Date]]&amp;" jrs")</f>
        <v/>
      </c>
    </row>
    <row r="178" spans="1:10" x14ac:dyDescent="0.2">
      <c r="A178" s="47"/>
      <c r="B178" s="55"/>
      <c r="C178" s="49"/>
      <c r="D178" s="49"/>
      <c r="E178" s="59"/>
      <c r="F178" s="59"/>
      <c r="G178" s="59"/>
      <c r="H178" s="60" t="str">
        <f t="shared" si="18"/>
        <v/>
      </c>
      <c r="I178" s="69" t="str">
        <f t="shared" si="19"/>
        <v/>
      </c>
      <c r="J178" s="50" t="str">
        <f ca="1">IF(opérations[[#This Row],[Reste]]="","",TODAY()-opérations[[#This Row],[Date]]&amp;" jrs")</f>
        <v/>
      </c>
    </row>
    <row r="179" spans="1:10" x14ac:dyDescent="0.2">
      <c r="A179" s="47"/>
      <c r="B179" s="55"/>
      <c r="C179" s="49"/>
      <c r="D179" s="49"/>
      <c r="E179" s="59"/>
      <c r="F179" s="59"/>
      <c r="G179" s="59"/>
      <c r="H179" s="60" t="str">
        <f t="shared" si="18"/>
        <v/>
      </c>
      <c r="I179" s="69" t="str">
        <f t="shared" si="19"/>
        <v/>
      </c>
      <c r="J179" s="50" t="str">
        <f ca="1">IF(opérations[[#This Row],[Reste]]="","",TODAY()-opérations[[#This Row],[Date]]&amp;" jrs")</f>
        <v/>
      </c>
    </row>
    <row r="180" spans="1:10" x14ac:dyDescent="0.2">
      <c r="A180" s="47"/>
      <c r="B180" s="55"/>
      <c r="C180" s="49"/>
      <c r="D180" s="49"/>
      <c r="E180" s="59"/>
      <c r="F180" s="59"/>
      <c r="G180" s="59"/>
      <c r="H180" s="60" t="str">
        <f t="shared" si="18"/>
        <v/>
      </c>
      <c r="I180" s="69" t="str">
        <f t="shared" si="19"/>
        <v/>
      </c>
      <c r="J180" s="50" t="str">
        <f ca="1">IF(opérations[[#This Row],[Reste]]="","",TODAY()-opérations[[#This Row],[Date]]&amp;" jrs")</f>
        <v/>
      </c>
    </row>
    <row r="181" spans="1:10" x14ac:dyDescent="0.2">
      <c r="A181" s="47"/>
      <c r="B181" s="55"/>
      <c r="C181" s="49"/>
      <c r="D181" s="49"/>
      <c r="E181" s="59"/>
      <c r="F181" s="59"/>
      <c r="G181" s="59"/>
      <c r="H181" s="60" t="str">
        <f t="shared" si="18"/>
        <v/>
      </c>
      <c r="I181" s="69" t="str">
        <f t="shared" si="19"/>
        <v/>
      </c>
      <c r="J181" s="50" t="str">
        <f ca="1">IF(opérations[[#This Row],[Reste]]="","",TODAY()-opérations[[#This Row],[Date]]&amp;" jrs")</f>
        <v/>
      </c>
    </row>
    <row r="182" spans="1:10" x14ac:dyDescent="0.2">
      <c r="A182" s="47"/>
      <c r="B182" s="55"/>
      <c r="C182" s="49"/>
      <c r="D182" s="49"/>
      <c r="E182" s="59"/>
      <c r="F182" s="59"/>
      <c r="G182" s="59"/>
      <c r="H182" s="60" t="str">
        <f t="shared" si="18"/>
        <v/>
      </c>
      <c r="I182" s="69" t="str">
        <f t="shared" si="19"/>
        <v/>
      </c>
      <c r="J182" s="50" t="str">
        <f ca="1">IF(opérations[[#This Row],[Reste]]="","",TODAY()-opérations[[#This Row],[Date]]&amp;" jrs")</f>
        <v/>
      </c>
    </row>
    <row r="183" spans="1:10" x14ac:dyDescent="0.2">
      <c r="A183" s="47"/>
      <c r="B183" s="55"/>
      <c r="C183" s="49"/>
      <c r="D183" s="49"/>
      <c r="E183" s="59"/>
      <c r="F183" s="59"/>
      <c r="G183" s="59"/>
      <c r="H183" s="60" t="str">
        <f t="shared" si="18"/>
        <v/>
      </c>
      <c r="I183" s="69" t="str">
        <f t="shared" si="19"/>
        <v/>
      </c>
      <c r="J183" s="50" t="str">
        <f ca="1">IF(opérations[[#This Row],[Reste]]="","",TODAY()-opérations[[#This Row],[Date]]&amp;" jrs")</f>
        <v/>
      </c>
    </row>
    <row r="184" spans="1:10" x14ac:dyDescent="0.2">
      <c r="A184" s="47"/>
      <c r="B184" s="55"/>
      <c r="C184" s="49"/>
      <c r="D184" s="49"/>
      <c r="E184" s="59"/>
      <c r="F184" s="59"/>
      <c r="G184" s="59"/>
      <c r="H184" s="60" t="str">
        <f t="shared" si="18"/>
        <v/>
      </c>
      <c r="I184" s="69" t="str">
        <f t="shared" si="19"/>
        <v/>
      </c>
      <c r="J184" s="50" t="str">
        <f ca="1">IF(opérations[[#This Row],[Reste]]="","",TODAY()-opérations[[#This Row],[Date]]&amp;" jrs")</f>
        <v/>
      </c>
    </row>
    <row r="185" spans="1:10" x14ac:dyDescent="0.2">
      <c r="A185" s="47"/>
      <c r="B185" s="55"/>
      <c r="C185" s="49"/>
      <c r="D185" s="49"/>
      <c r="E185" s="59"/>
      <c r="F185" s="59"/>
      <c r="G185" s="59"/>
      <c r="H185" s="60" t="str">
        <f t="shared" si="18"/>
        <v/>
      </c>
      <c r="I185" s="69" t="str">
        <f t="shared" si="19"/>
        <v/>
      </c>
      <c r="J185" s="50" t="str">
        <f ca="1">IF(opérations[[#This Row],[Reste]]="","",TODAY()-opérations[[#This Row],[Date]]&amp;" jrs")</f>
        <v/>
      </c>
    </row>
    <row r="186" spans="1:10" x14ac:dyDescent="0.2">
      <c r="A186" s="47"/>
      <c r="B186" s="55"/>
      <c r="C186" s="49"/>
      <c r="D186" s="49"/>
      <c r="E186" s="59"/>
      <c r="F186" s="59"/>
      <c r="G186" s="59"/>
      <c r="H186" s="60" t="str">
        <f t="shared" si="18"/>
        <v/>
      </c>
      <c r="I186" s="69" t="str">
        <f t="shared" si="19"/>
        <v/>
      </c>
      <c r="J186" s="50" t="str">
        <f ca="1">IF(opérations[[#This Row],[Reste]]="","",TODAY()-opérations[[#This Row],[Date]]&amp;" jrs")</f>
        <v/>
      </c>
    </row>
    <row r="187" spans="1:10" x14ac:dyDescent="0.2">
      <c r="A187" s="47"/>
      <c r="B187" s="55"/>
      <c r="C187" s="49"/>
      <c r="D187" s="49"/>
      <c r="E187" s="59"/>
      <c r="F187" s="59"/>
      <c r="G187" s="59"/>
      <c r="H187" s="60" t="str">
        <f t="shared" si="18"/>
        <v/>
      </c>
      <c r="I187" s="69" t="str">
        <f t="shared" si="19"/>
        <v/>
      </c>
      <c r="J187" s="50" t="str">
        <f ca="1">IF(opérations[[#This Row],[Reste]]="","",TODAY()-opérations[[#This Row],[Date]]&amp;" jrs")</f>
        <v/>
      </c>
    </row>
    <row r="188" spans="1:10" x14ac:dyDescent="0.2">
      <c r="A188" s="47"/>
      <c r="B188" s="55"/>
      <c r="C188" s="49"/>
      <c r="D188" s="49"/>
      <c r="E188" s="59"/>
      <c r="F188" s="59"/>
      <c r="G188" s="59"/>
      <c r="H188" s="60" t="str">
        <f t="shared" si="18"/>
        <v/>
      </c>
      <c r="I188" s="69" t="str">
        <f t="shared" si="19"/>
        <v/>
      </c>
      <c r="J188" s="50" t="str">
        <f ca="1">IF(opérations[[#This Row],[Reste]]="","",TODAY()-opérations[[#This Row],[Date]]&amp;" jrs")</f>
        <v/>
      </c>
    </row>
    <row r="189" spans="1:10" x14ac:dyDescent="0.2">
      <c r="A189" s="47"/>
      <c r="B189" s="55"/>
      <c r="C189" s="49"/>
      <c r="D189" s="49"/>
      <c r="E189" s="59"/>
      <c r="F189" s="59"/>
      <c r="G189" s="59"/>
      <c r="H189" s="60" t="str">
        <f t="shared" si="18"/>
        <v/>
      </c>
      <c r="I189" s="69" t="str">
        <f t="shared" si="19"/>
        <v/>
      </c>
      <c r="J189" s="50" t="str">
        <f ca="1">IF(opérations[[#This Row],[Reste]]="","",TODAY()-opérations[[#This Row],[Date]]&amp;" jrs")</f>
        <v/>
      </c>
    </row>
    <row r="190" spans="1:10" x14ac:dyDescent="0.2">
      <c r="A190" s="47"/>
      <c r="B190" s="55"/>
      <c r="C190" s="49"/>
      <c r="D190" s="49"/>
      <c r="E190" s="59"/>
      <c r="F190" s="59"/>
      <c r="G190" s="59"/>
      <c r="H190" s="60" t="str">
        <f t="shared" si="18"/>
        <v/>
      </c>
      <c r="I190" s="69" t="str">
        <f t="shared" si="19"/>
        <v/>
      </c>
      <c r="J190" s="50" t="str">
        <f ca="1">IF(opérations[[#This Row],[Reste]]="","",TODAY()-opérations[[#This Row],[Date]]&amp;" jrs")</f>
        <v/>
      </c>
    </row>
    <row r="191" spans="1:10" x14ac:dyDescent="0.2">
      <c r="A191" s="47"/>
      <c r="B191" s="55"/>
      <c r="C191" s="49"/>
      <c r="D191" s="49"/>
      <c r="E191" s="59"/>
      <c r="F191" s="59"/>
      <c r="G191" s="59"/>
      <c r="H191" s="60" t="str">
        <f t="shared" si="18"/>
        <v/>
      </c>
      <c r="I191" s="69" t="str">
        <f t="shared" si="19"/>
        <v/>
      </c>
      <c r="J191" s="50" t="str">
        <f ca="1">IF(opérations[[#This Row],[Reste]]="","",TODAY()-opérations[[#This Row],[Date]]&amp;" jrs")</f>
        <v/>
      </c>
    </row>
    <row r="192" spans="1:10" x14ac:dyDescent="0.2">
      <c r="A192" s="47"/>
      <c r="B192" s="55"/>
      <c r="C192" s="49"/>
      <c r="D192" s="49"/>
      <c r="E192" s="59"/>
      <c r="F192" s="59"/>
      <c r="G192" s="59"/>
      <c r="H192" s="60" t="str">
        <f t="shared" si="18"/>
        <v/>
      </c>
      <c r="I192" s="69" t="str">
        <f t="shared" si="19"/>
        <v/>
      </c>
      <c r="J192" s="50" t="str">
        <f ca="1">IF(opérations[[#This Row],[Reste]]="","",TODAY()-opérations[[#This Row],[Date]]&amp;" jrs")</f>
        <v/>
      </c>
    </row>
    <row r="193" spans="1:10" x14ac:dyDescent="0.2">
      <c r="A193" s="47"/>
      <c r="B193" s="55"/>
      <c r="C193" s="49"/>
      <c r="D193" s="49"/>
      <c r="E193" s="59"/>
      <c r="F193" s="59"/>
      <c r="G193" s="59"/>
      <c r="H193" s="60" t="str">
        <f t="shared" si="18"/>
        <v/>
      </c>
      <c r="I193" s="69" t="str">
        <f t="shared" si="19"/>
        <v/>
      </c>
      <c r="J193" s="50" t="str">
        <f ca="1">IF(opérations[[#This Row],[Reste]]="","",TODAY()-opérations[[#This Row],[Date]]&amp;" jrs")</f>
        <v/>
      </c>
    </row>
    <row r="194" spans="1:10" x14ac:dyDescent="0.2">
      <c r="A194" s="47"/>
      <c r="B194" s="55"/>
      <c r="C194" s="49"/>
      <c r="D194" s="49"/>
      <c r="E194" s="59"/>
      <c r="F194" s="59"/>
      <c r="G194" s="59"/>
      <c r="H194" s="60" t="str">
        <f t="shared" si="18"/>
        <v/>
      </c>
      <c r="I194" s="69" t="str">
        <f t="shared" si="19"/>
        <v/>
      </c>
      <c r="J194" s="50" t="str">
        <f ca="1">IF(opérations[[#This Row],[Reste]]="","",TODAY()-opérations[[#This Row],[Date]]&amp;" jrs")</f>
        <v/>
      </c>
    </row>
    <row r="195" spans="1:10" x14ac:dyDescent="0.2">
      <c r="A195" s="47"/>
      <c r="B195" s="55"/>
      <c r="C195" s="49"/>
      <c r="D195" s="49"/>
      <c r="E195" s="59"/>
      <c r="F195" s="59"/>
      <c r="G195" s="59"/>
      <c r="H195" s="60" t="str">
        <f t="shared" si="18"/>
        <v/>
      </c>
      <c r="I195" s="69" t="str">
        <f t="shared" si="19"/>
        <v/>
      </c>
      <c r="J195" s="50" t="str">
        <f ca="1">IF(opérations[[#This Row],[Reste]]="","",TODAY()-opérations[[#This Row],[Date]]&amp;" jrs")</f>
        <v/>
      </c>
    </row>
    <row r="196" spans="1:10" x14ac:dyDescent="0.2">
      <c r="A196" s="47"/>
      <c r="B196" s="55"/>
      <c r="C196" s="49"/>
      <c r="D196" s="49"/>
      <c r="E196" s="59"/>
      <c r="F196" s="59"/>
      <c r="G196" s="59"/>
      <c r="H196" s="60" t="str">
        <f t="shared" ref="H196:H227" si="20">IF(E196="","",E196-F196-G196)</f>
        <v/>
      </c>
      <c r="I196" s="69" t="str">
        <f t="shared" ref="I196:I227" si="21">IF(H196="","",IF(H196&gt;=5000,"Urgents",""))</f>
        <v/>
      </c>
      <c r="J196" s="50" t="str">
        <f ca="1">IF(opérations[[#This Row],[Reste]]="","",TODAY()-opérations[[#This Row],[Date]]&amp;" jrs")</f>
        <v/>
      </c>
    </row>
    <row r="197" spans="1:10" x14ac:dyDescent="0.2">
      <c r="A197" s="47"/>
      <c r="B197" s="55"/>
      <c r="C197" s="49"/>
      <c r="D197" s="49"/>
      <c r="E197" s="59"/>
      <c r="F197" s="59"/>
      <c r="G197" s="59"/>
      <c r="H197" s="60" t="str">
        <f t="shared" si="20"/>
        <v/>
      </c>
      <c r="I197" s="69" t="str">
        <f t="shared" si="21"/>
        <v/>
      </c>
      <c r="J197" s="50" t="str">
        <f ca="1">IF(opérations[[#This Row],[Reste]]="","",TODAY()-opérations[[#This Row],[Date]]&amp;" jrs")</f>
        <v/>
      </c>
    </row>
    <row r="198" spans="1:10" x14ac:dyDescent="0.2">
      <c r="A198" s="47"/>
      <c r="B198" s="55"/>
      <c r="C198" s="49"/>
      <c r="D198" s="49"/>
      <c r="E198" s="59"/>
      <c r="F198" s="59"/>
      <c r="G198" s="59"/>
      <c r="H198" s="60" t="str">
        <f t="shared" si="20"/>
        <v/>
      </c>
      <c r="I198" s="69" t="str">
        <f t="shared" si="21"/>
        <v/>
      </c>
      <c r="J198" s="50" t="str">
        <f ca="1">IF(opérations[[#This Row],[Reste]]="","",TODAY()-opérations[[#This Row],[Date]]&amp;" jrs")</f>
        <v/>
      </c>
    </row>
    <row r="199" spans="1:10" x14ac:dyDescent="0.2">
      <c r="A199" s="51"/>
      <c r="B199" s="55"/>
      <c r="C199" s="53"/>
      <c r="D199" s="53"/>
      <c r="E199" s="61"/>
      <c r="F199" s="61"/>
      <c r="G199" s="61"/>
      <c r="H199" s="60" t="str">
        <f t="shared" si="20"/>
        <v/>
      </c>
      <c r="I199" s="70" t="str">
        <f t="shared" si="21"/>
        <v/>
      </c>
      <c r="J199" s="54" t="str">
        <f ca="1">IF(opérations[[#This Row],[Reste]]="","",TODAY()-opérations[[#This Row],[Date]]&amp;" jrs")</f>
        <v/>
      </c>
    </row>
    <row r="200" spans="1:10" x14ac:dyDescent="0.2">
      <c r="A200" s="41"/>
      <c r="B200" s="55"/>
      <c r="C200" s="42"/>
      <c r="D200" s="42"/>
      <c r="E200" s="56"/>
      <c r="F200" s="56"/>
      <c r="G200" s="56"/>
      <c r="H200" s="60">
        <f>SUBTOTAL(109,opérations[Reste])</f>
        <v>16400</v>
      </c>
      <c r="I200" s="58"/>
      <c r="J200" s="54"/>
    </row>
  </sheetData>
  <conditionalFormatting sqref="H2:H200">
    <cfRule type="cellIs" dxfId="0" priority="1" operator="lessThan">
      <formula>0</formula>
    </cfRule>
  </conditionalFormatting>
  <dataValidations count="1">
    <dataValidation type="list" sqref="D2:D199" xr:uid="{00000000-0002-0000-0100-000000000000}">
      <formula1>"Créance,Dette"</formula1>
    </dataValidation>
  </dataValidations>
  <pageMargins left="0.75" right="0.75" top="1" bottom="1" header="0.5" footer="0.5"/>
  <pageSetup paperSize="9" orientation="portrait"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1000000}">
          <x14:formula1>
            <xm:f>'👥️️ Clients'!$A$2:$A$995</xm:f>
          </x14:formula1>
          <xm:sqref>A2:A199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995"/>
  <sheetViews>
    <sheetView workbookViewId="0">
      <selection activeCell="A15" sqref="A15"/>
    </sheetView>
  </sheetViews>
  <sheetFormatPr defaultColWidth="9.14453125" defaultRowHeight="15" x14ac:dyDescent="0.2"/>
  <cols>
    <col min="1" max="1" width="29.99609375" style="9" customWidth="1"/>
  </cols>
  <sheetData>
    <row r="1" spans="1:1" ht="18.75" x14ac:dyDescent="0.25">
      <c r="A1" s="45" t="s">
        <v>0</v>
      </c>
    </row>
    <row r="2" spans="1:1" x14ac:dyDescent="0.2">
      <c r="A2" s="44" t="s">
        <v>77</v>
      </c>
    </row>
    <row r="3" spans="1:1" x14ac:dyDescent="0.2">
      <c r="A3" s="44" t="s">
        <v>22</v>
      </c>
    </row>
    <row r="4" spans="1:1" x14ac:dyDescent="0.2">
      <c r="A4" s="44" t="s">
        <v>80</v>
      </c>
    </row>
    <row r="5" spans="1:1" x14ac:dyDescent="0.2">
      <c r="A5" s="44" t="s">
        <v>82</v>
      </c>
    </row>
    <row r="6" spans="1:1" x14ac:dyDescent="0.2">
      <c r="A6" s="44" t="s">
        <v>85</v>
      </c>
    </row>
    <row r="7" spans="1:1" x14ac:dyDescent="0.2">
      <c r="A7" s="44" t="s">
        <v>88</v>
      </c>
    </row>
    <row r="8" spans="1:1" x14ac:dyDescent="0.2">
      <c r="A8" s="44" t="s">
        <v>75</v>
      </c>
    </row>
    <row r="9" spans="1:1" x14ac:dyDescent="0.2">
      <c r="A9" s="44" t="s">
        <v>91</v>
      </c>
    </row>
    <row r="10" spans="1:1" x14ac:dyDescent="0.2">
      <c r="A10" s="44" t="s">
        <v>93</v>
      </c>
    </row>
    <row r="11" spans="1:1" x14ac:dyDescent="0.2">
      <c r="A11" s="44" t="s">
        <v>95</v>
      </c>
    </row>
    <row r="12" spans="1:1" x14ac:dyDescent="0.2">
      <c r="A12" s="44" t="s">
        <v>98</v>
      </c>
    </row>
    <row r="13" spans="1:1" x14ac:dyDescent="0.2">
      <c r="A13" s="44" t="s">
        <v>101</v>
      </c>
    </row>
    <row r="14" spans="1:1" x14ac:dyDescent="0.2">
      <c r="A14" s="44" t="s">
        <v>103</v>
      </c>
    </row>
    <row r="15" spans="1:1" x14ac:dyDescent="0.2">
      <c r="A15" s="44" t="s">
        <v>106</v>
      </c>
    </row>
    <row r="16" spans="1:1" x14ac:dyDescent="0.2">
      <c r="A16" s="44"/>
    </row>
    <row r="17" spans="1:1" x14ac:dyDescent="0.2">
      <c r="A17" s="44"/>
    </row>
    <row r="18" spans="1:1" x14ac:dyDescent="0.2">
      <c r="A18" s="44"/>
    </row>
    <row r="19" spans="1:1" x14ac:dyDescent="0.2">
      <c r="A19" s="44"/>
    </row>
    <row r="20" spans="1:1" x14ac:dyDescent="0.2">
      <c r="A20" s="44"/>
    </row>
    <row r="21" spans="1:1" x14ac:dyDescent="0.2">
      <c r="A21" s="44"/>
    </row>
    <row r="22" spans="1:1" x14ac:dyDescent="0.2">
      <c r="A22" s="44"/>
    </row>
    <row r="23" spans="1:1" x14ac:dyDescent="0.2">
      <c r="A23" s="44"/>
    </row>
    <row r="24" spans="1:1" x14ac:dyDescent="0.2">
      <c r="A24" s="44"/>
    </row>
    <row r="25" spans="1:1" x14ac:dyDescent="0.2">
      <c r="A25" s="44"/>
    </row>
    <row r="26" spans="1:1" x14ac:dyDescent="0.2">
      <c r="A26" s="44"/>
    </row>
    <row r="27" spans="1:1" x14ac:dyDescent="0.2">
      <c r="A27" s="44"/>
    </row>
    <row r="28" spans="1:1" x14ac:dyDescent="0.2">
      <c r="A28" s="44"/>
    </row>
    <row r="29" spans="1:1" x14ac:dyDescent="0.2">
      <c r="A29" s="44"/>
    </row>
    <row r="30" spans="1:1" x14ac:dyDescent="0.2">
      <c r="A30" s="44"/>
    </row>
    <row r="31" spans="1:1" x14ac:dyDescent="0.2">
      <c r="A31" s="44"/>
    </row>
    <row r="32" spans="1:1" x14ac:dyDescent="0.2">
      <c r="A32" s="44"/>
    </row>
    <row r="33" spans="1:1" x14ac:dyDescent="0.2">
      <c r="A33" s="44"/>
    </row>
    <row r="34" spans="1:1" x14ac:dyDescent="0.2">
      <c r="A34" s="44"/>
    </row>
    <row r="35" spans="1:1" x14ac:dyDescent="0.2">
      <c r="A35" s="44"/>
    </row>
    <row r="36" spans="1:1" x14ac:dyDescent="0.2">
      <c r="A36" s="44"/>
    </row>
    <row r="37" spans="1:1" x14ac:dyDescent="0.2">
      <c r="A37" s="44"/>
    </row>
    <row r="38" spans="1:1" x14ac:dyDescent="0.2">
      <c r="A38" s="44"/>
    </row>
    <row r="39" spans="1:1" x14ac:dyDescent="0.2">
      <c r="A39" s="44"/>
    </row>
    <row r="40" spans="1:1" x14ac:dyDescent="0.2">
      <c r="A40" s="44"/>
    </row>
    <row r="41" spans="1:1" x14ac:dyDescent="0.2">
      <c r="A41" s="44"/>
    </row>
    <row r="42" spans="1:1" x14ac:dyDescent="0.2">
      <c r="A42" s="44"/>
    </row>
    <row r="43" spans="1:1" x14ac:dyDescent="0.2">
      <c r="A43" s="44"/>
    </row>
    <row r="44" spans="1:1" x14ac:dyDescent="0.2">
      <c r="A44" s="44"/>
    </row>
    <row r="45" spans="1:1" x14ac:dyDescent="0.2">
      <c r="A45" s="44"/>
    </row>
    <row r="46" spans="1:1" x14ac:dyDescent="0.2">
      <c r="A46" s="44"/>
    </row>
    <row r="47" spans="1:1" x14ac:dyDescent="0.2">
      <c r="A47" s="44"/>
    </row>
    <row r="48" spans="1:1" x14ac:dyDescent="0.2">
      <c r="A48" s="44"/>
    </row>
    <row r="49" spans="1:1" x14ac:dyDescent="0.2">
      <c r="A49" s="44"/>
    </row>
    <row r="50" spans="1:1" x14ac:dyDescent="0.2">
      <c r="A50" s="44"/>
    </row>
    <row r="51" spans="1:1" x14ac:dyDescent="0.2">
      <c r="A51" s="44"/>
    </row>
    <row r="52" spans="1:1" x14ac:dyDescent="0.2">
      <c r="A52" s="44"/>
    </row>
    <row r="53" spans="1:1" x14ac:dyDescent="0.2">
      <c r="A53" s="44"/>
    </row>
    <row r="54" spans="1:1" x14ac:dyDescent="0.2">
      <c r="A54" s="44"/>
    </row>
    <row r="55" spans="1:1" x14ac:dyDescent="0.2">
      <c r="A55" s="44"/>
    </row>
    <row r="56" spans="1:1" x14ac:dyDescent="0.2">
      <c r="A56" s="44"/>
    </row>
    <row r="57" spans="1:1" x14ac:dyDescent="0.2">
      <c r="A57" s="44"/>
    </row>
    <row r="58" spans="1:1" x14ac:dyDescent="0.2">
      <c r="A58" s="44"/>
    </row>
    <row r="59" spans="1:1" x14ac:dyDescent="0.2">
      <c r="A59" s="44"/>
    </row>
    <row r="60" spans="1:1" x14ac:dyDescent="0.2">
      <c r="A60" s="44"/>
    </row>
    <row r="61" spans="1:1" x14ac:dyDescent="0.2">
      <c r="A61" s="44"/>
    </row>
    <row r="62" spans="1:1" x14ac:dyDescent="0.2">
      <c r="A62" s="44"/>
    </row>
    <row r="63" spans="1:1" x14ac:dyDescent="0.2">
      <c r="A63" s="44"/>
    </row>
    <row r="64" spans="1:1" x14ac:dyDescent="0.2">
      <c r="A64" s="44"/>
    </row>
    <row r="65" spans="1:1" x14ac:dyDescent="0.2">
      <c r="A65" s="44"/>
    </row>
    <row r="66" spans="1:1" x14ac:dyDescent="0.2">
      <c r="A66" s="44"/>
    </row>
    <row r="67" spans="1:1" x14ac:dyDescent="0.2">
      <c r="A67" s="44"/>
    </row>
    <row r="68" spans="1:1" x14ac:dyDescent="0.2">
      <c r="A68" s="44"/>
    </row>
    <row r="69" spans="1:1" x14ac:dyDescent="0.2">
      <c r="A69" s="44"/>
    </row>
    <row r="70" spans="1:1" x14ac:dyDescent="0.2">
      <c r="A70" s="44"/>
    </row>
    <row r="71" spans="1:1" x14ac:dyDescent="0.2">
      <c r="A71" s="44"/>
    </row>
    <row r="72" spans="1:1" x14ac:dyDescent="0.2">
      <c r="A72" s="44"/>
    </row>
    <row r="73" spans="1:1" x14ac:dyDescent="0.2">
      <c r="A73" s="44"/>
    </row>
    <row r="74" spans="1:1" x14ac:dyDescent="0.2">
      <c r="A74" s="44"/>
    </row>
    <row r="75" spans="1:1" x14ac:dyDescent="0.2">
      <c r="A75" s="44"/>
    </row>
    <row r="76" spans="1:1" x14ac:dyDescent="0.2">
      <c r="A76" s="44"/>
    </row>
    <row r="77" spans="1:1" x14ac:dyDescent="0.2">
      <c r="A77" s="44"/>
    </row>
    <row r="78" spans="1:1" x14ac:dyDescent="0.2">
      <c r="A78" s="44"/>
    </row>
    <row r="79" spans="1:1" x14ac:dyDescent="0.2">
      <c r="A79" s="44"/>
    </row>
    <row r="80" spans="1:1" x14ac:dyDescent="0.2">
      <c r="A80" s="44"/>
    </row>
    <row r="81" spans="1:1" x14ac:dyDescent="0.2">
      <c r="A81" s="44"/>
    </row>
    <row r="82" spans="1:1" x14ac:dyDescent="0.2">
      <c r="A82" s="44"/>
    </row>
    <row r="83" spans="1:1" x14ac:dyDescent="0.2">
      <c r="A83" s="44"/>
    </row>
    <row r="84" spans="1:1" x14ac:dyDescent="0.2">
      <c r="A84" s="44"/>
    </row>
    <row r="85" spans="1:1" x14ac:dyDescent="0.2">
      <c r="A85" s="44"/>
    </row>
    <row r="86" spans="1:1" x14ac:dyDescent="0.2">
      <c r="A86" s="44"/>
    </row>
    <row r="87" spans="1:1" x14ac:dyDescent="0.2">
      <c r="A87" s="44"/>
    </row>
    <row r="88" spans="1:1" x14ac:dyDescent="0.2">
      <c r="A88" s="44"/>
    </row>
    <row r="89" spans="1:1" x14ac:dyDescent="0.2">
      <c r="A89" s="44"/>
    </row>
    <row r="90" spans="1:1" x14ac:dyDescent="0.2">
      <c r="A90" s="44"/>
    </row>
    <row r="91" spans="1:1" x14ac:dyDescent="0.2">
      <c r="A91" s="44"/>
    </row>
    <row r="92" spans="1:1" x14ac:dyDescent="0.2">
      <c r="A92" s="44"/>
    </row>
    <row r="93" spans="1:1" x14ac:dyDescent="0.2">
      <c r="A93" s="44"/>
    </row>
    <row r="94" spans="1:1" x14ac:dyDescent="0.2">
      <c r="A94" s="44"/>
    </row>
    <row r="95" spans="1:1" x14ac:dyDescent="0.2">
      <c r="A95" s="44"/>
    </row>
    <row r="96" spans="1:1" x14ac:dyDescent="0.2">
      <c r="A96" s="44"/>
    </row>
    <row r="97" spans="1:1" x14ac:dyDescent="0.2">
      <c r="A97" s="44"/>
    </row>
    <row r="98" spans="1:1" x14ac:dyDescent="0.2">
      <c r="A98" s="44"/>
    </row>
    <row r="99" spans="1:1" x14ac:dyDescent="0.2">
      <c r="A99" s="44"/>
    </row>
    <row r="100" spans="1:1" x14ac:dyDescent="0.2">
      <c r="A100" s="44"/>
    </row>
    <row r="101" spans="1:1" x14ac:dyDescent="0.2">
      <c r="A101" s="44"/>
    </row>
    <row r="102" spans="1:1" x14ac:dyDescent="0.2">
      <c r="A102" s="44"/>
    </row>
    <row r="103" spans="1:1" x14ac:dyDescent="0.2">
      <c r="A103" s="44"/>
    </row>
    <row r="104" spans="1:1" x14ac:dyDescent="0.2">
      <c r="A104" s="44"/>
    </row>
    <row r="105" spans="1:1" x14ac:dyDescent="0.2">
      <c r="A105" s="44"/>
    </row>
    <row r="106" spans="1:1" x14ac:dyDescent="0.2">
      <c r="A106" s="44"/>
    </row>
    <row r="107" spans="1:1" x14ac:dyDescent="0.2">
      <c r="A107" s="44"/>
    </row>
    <row r="108" spans="1:1" x14ac:dyDescent="0.2">
      <c r="A108" s="44"/>
    </row>
    <row r="109" spans="1:1" x14ac:dyDescent="0.2">
      <c r="A109" s="44"/>
    </row>
    <row r="110" spans="1:1" x14ac:dyDescent="0.2">
      <c r="A110" s="44"/>
    </row>
    <row r="111" spans="1:1" x14ac:dyDescent="0.2">
      <c r="A111" s="44"/>
    </row>
    <row r="112" spans="1:1" x14ac:dyDescent="0.2">
      <c r="A112" s="44"/>
    </row>
    <row r="113" spans="1:1" x14ac:dyDescent="0.2">
      <c r="A113" s="44"/>
    </row>
    <row r="114" spans="1:1" x14ac:dyDescent="0.2">
      <c r="A114" s="44"/>
    </row>
    <row r="115" spans="1:1" x14ac:dyDescent="0.2">
      <c r="A115" s="44"/>
    </row>
    <row r="116" spans="1:1" x14ac:dyDescent="0.2">
      <c r="A116" s="44"/>
    </row>
    <row r="117" spans="1:1" x14ac:dyDescent="0.2">
      <c r="A117" s="44"/>
    </row>
    <row r="118" spans="1:1" x14ac:dyDescent="0.2">
      <c r="A118" s="44"/>
    </row>
    <row r="119" spans="1:1" x14ac:dyDescent="0.2">
      <c r="A119" s="44"/>
    </row>
    <row r="120" spans="1:1" x14ac:dyDescent="0.2">
      <c r="A120" s="44"/>
    </row>
    <row r="121" spans="1:1" x14ac:dyDescent="0.2">
      <c r="A121" s="44"/>
    </row>
    <row r="122" spans="1:1" x14ac:dyDescent="0.2">
      <c r="A122" s="44"/>
    </row>
    <row r="123" spans="1:1" x14ac:dyDescent="0.2">
      <c r="A123" s="44"/>
    </row>
    <row r="124" spans="1:1" x14ac:dyDescent="0.2">
      <c r="A124" s="44"/>
    </row>
    <row r="125" spans="1:1" x14ac:dyDescent="0.2">
      <c r="A125" s="44"/>
    </row>
    <row r="126" spans="1:1" x14ac:dyDescent="0.2">
      <c r="A126" s="44"/>
    </row>
    <row r="127" spans="1:1" x14ac:dyDescent="0.2">
      <c r="A127" s="44"/>
    </row>
    <row r="128" spans="1:1" x14ac:dyDescent="0.2">
      <c r="A128" s="44"/>
    </row>
    <row r="129" spans="1:1" x14ac:dyDescent="0.2">
      <c r="A129" s="44"/>
    </row>
    <row r="130" spans="1:1" x14ac:dyDescent="0.2">
      <c r="A130" s="44"/>
    </row>
    <row r="131" spans="1:1" x14ac:dyDescent="0.2">
      <c r="A131" s="44"/>
    </row>
    <row r="132" spans="1:1" x14ac:dyDescent="0.2">
      <c r="A132" s="44"/>
    </row>
    <row r="133" spans="1:1" x14ac:dyDescent="0.2">
      <c r="A133" s="44"/>
    </row>
    <row r="134" spans="1:1" x14ac:dyDescent="0.2">
      <c r="A134" s="44"/>
    </row>
    <row r="135" spans="1:1" x14ac:dyDescent="0.2">
      <c r="A135" s="44"/>
    </row>
    <row r="136" spans="1:1" x14ac:dyDescent="0.2">
      <c r="A136" s="44"/>
    </row>
    <row r="137" spans="1:1" x14ac:dyDescent="0.2">
      <c r="A137" s="44"/>
    </row>
    <row r="138" spans="1:1" x14ac:dyDescent="0.2">
      <c r="A138" s="44"/>
    </row>
    <row r="139" spans="1:1" x14ac:dyDescent="0.2">
      <c r="A139" s="44"/>
    </row>
    <row r="140" spans="1:1" x14ac:dyDescent="0.2">
      <c r="A140" s="44"/>
    </row>
    <row r="141" spans="1:1" x14ac:dyDescent="0.2">
      <c r="A141" s="44"/>
    </row>
    <row r="142" spans="1:1" x14ac:dyDescent="0.2">
      <c r="A142" s="44"/>
    </row>
    <row r="143" spans="1:1" x14ac:dyDescent="0.2">
      <c r="A143" s="44"/>
    </row>
    <row r="144" spans="1:1" x14ac:dyDescent="0.2">
      <c r="A144" s="44"/>
    </row>
    <row r="145" spans="1:1" x14ac:dyDescent="0.2">
      <c r="A145" s="44"/>
    </row>
    <row r="146" spans="1:1" x14ac:dyDescent="0.2">
      <c r="A146" s="44"/>
    </row>
    <row r="147" spans="1:1" x14ac:dyDescent="0.2">
      <c r="A147" s="44"/>
    </row>
    <row r="148" spans="1:1" x14ac:dyDescent="0.2">
      <c r="A148" s="44"/>
    </row>
    <row r="149" spans="1:1" x14ac:dyDescent="0.2">
      <c r="A149" s="44"/>
    </row>
    <row r="150" spans="1:1" x14ac:dyDescent="0.2">
      <c r="A150" s="44"/>
    </row>
    <row r="151" spans="1:1" x14ac:dyDescent="0.2">
      <c r="A151" s="44"/>
    </row>
    <row r="152" spans="1:1" x14ac:dyDescent="0.2">
      <c r="A152" s="44"/>
    </row>
    <row r="153" spans="1:1" x14ac:dyDescent="0.2">
      <c r="A153" s="44"/>
    </row>
    <row r="154" spans="1:1" x14ac:dyDescent="0.2">
      <c r="A154" s="44"/>
    </row>
    <row r="155" spans="1:1" x14ac:dyDescent="0.2">
      <c r="A155" s="44"/>
    </row>
    <row r="156" spans="1:1" x14ac:dyDescent="0.2">
      <c r="A156" s="44"/>
    </row>
    <row r="157" spans="1:1" x14ac:dyDescent="0.2">
      <c r="A157" s="44"/>
    </row>
    <row r="158" spans="1:1" x14ac:dyDescent="0.2">
      <c r="A158" s="44"/>
    </row>
    <row r="159" spans="1:1" x14ac:dyDescent="0.2">
      <c r="A159" s="44"/>
    </row>
    <row r="160" spans="1:1" x14ac:dyDescent="0.2">
      <c r="A160" s="44"/>
    </row>
    <row r="161" spans="1:1" x14ac:dyDescent="0.2">
      <c r="A161" s="44"/>
    </row>
    <row r="162" spans="1:1" x14ac:dyDescent="0.2">
      <c r="A162" s="44"/>
    </row>
    <row r="163" spans="1:1" x14ac:dyDescent="0.2">
      <c r="A163" s="44"/>
    </row>
    <row r="164" spans="1:1" x14ac:dyDescent="0.2">
      <c r="A164" s="44"/>
    </row>
    <row r="165" spans="1:1" x14ac:dyDescent="0.2">
      <c r="A165" s="44"/>
    </row>
    <row r="166" spans="1:1" x14ac:dyDescent="0.2">
      <c r="A166" s="44"/>
    </row>
    <row r="167" spans="1:1" x14ac:dyDescent="0.2">
      <c r="A167" s="44"/>
    </row>
    <row r="168" spans="1:1" x14ac:dyDescent="0.2">
      <c r="A168" s="44"/>
    </row>
    <row r="169" spans="1:1" x14ac:dyDescent="0.2">
      <c r="A169" s="44"/>
    </row>
    <row r="170" spans="1:1" x14ac:dyDescent="0.2">
      <c r="A170" s="44"/>
    </row>
    <row r="171" spans="1:1" x14ac:dyDescent="0.2">
      <c r="A171" s="44"/>
    </row>
    <row r="172" spans="1:1" x14ac:dyDescent="0.2">
      <c r="A172" s="44"/>
    </row>
    <row r="173" spans="1:1" x14ac:dyDescent="0.2">
      <c r="A173" s="44"/>
    </row>
    <row r="174" spans="1:1" x14ac:dyDescent="0.2">
      <c r="A174" s="44"/>
    </row>
    <row r="175" spans="1:1" x14ac:dyDescent="0.2">
      <c r="A175" s="44"/>
    </row>
    <row r="176" spans="1:1" x14ac:dyDescent="0.2">
      <c r="A176" s="44"/>
    </row>
    <row r="177" spans="1:1" x14ac:dyDescent="0.2">
      <c r="A177" s="44"/>
    </row>
    <row r="178" spans="1:1" x14ac:dyDescent="0.2">
      <c r="A178" s="44"/>
    </row>
    <row r="179" spans="1:1" x14ac:dyDescent="0.2">
      <c r="A179" s="44"/>
    </row>
    <row r="180" spans="1:1" x14ac:dyDescent="0.2">
      <c r="A180" s="44"/>
    </row>
    <row r="181" spans="1:1" x14ac:dyDescent="0.2">
      <c r="A181" s="44"/>
    </row>
    <row r="182" spans="1:1" x14ac:dyDescent="0.2">
      <c r="A182" s="44"/>
    </row>
    <row r="183" spans="1:1" x14ac:dyDescent="0.2">
      <c r="A183" s="44"/>
    </row>
    <row r="184" spans="1:1" x14ac:dyDescent="0.2">
      <c r="A184" s="44"/>
    </row>
    <row r="185" spans="1:1" x14ac:dyDescent="0.2">
      <c r="A185" s="44"/>
    </row>
    <row r="186" spans="1:1" x14ac:dyDescent="0.2">
      <c r="A186" s="44"/>
    </row>
    <row r="187" spans="1:1" x14ac:dyDescent="0.2">
      <c r="A187" s="44"/>
    </row>
    <row r="188" spans="1:1" x14ac:dyDescent="0.2">
      <c r="A188" s="44"/>
    </row>
    <row r="189" spans="1:1" x14ac:dyDescent="0.2">
      <c r="A189" s="44"/>
    </row>
    <row r="190" spans="1:1" x14ac:dyDescent="0.2">
      <c r="A190" s="44"/>
    </row>
    <row r="191" spans="1:1" x14ac:dyDescent="0.2">
      <c r="A191" s="44"/>
    </row>
    <row r="192" spans="1:1" x14ac:dyDescent="0.2">
      <c r="A192" s="44"/>
    </row>
    <row r="193" spans="1:1" x14ac:dyDescent="0.2">
      <c r="A193" s="44"/>
    </row>
    <row r="194" spans="1:1" x14ac:dyDescent="0.2">
      <c r="A194" s="44"/>
    </row>
    <row r="195" spans="1:1" x14ac:dyDescent="0.2">
      <c r="A195" s="44"/>
    </row>
    <row r="196" spans="1:1" x14ac:dyDescent="0.2">
      <c r="A196" s="44"/>
    </row>
    <row r="197" spans="1:1" x14ac:dyDescent="0.2">
      <c r="A197" s="44"/>
    </row>
    <row r="198" spans="1:1" x14ac:dyDescent="0.2">
      <c r="A198" s="44"/>
    </row>
    <row r="199" spans="1:1" x14ac:dyDescent="0.2">
      <c r="A199" s="44"/>
    </row>
    <row r="200" spans="1:1" x14ac:dyDescent="0.2">
      <c r="A200" s="44"/>
    </row>
    <row r="201" spans="1:1" x14ac:dyDescent="0.2">
      <c r="A201" s="44"/>
    </row>
    <row r="202" spans="1:1" x14ac:dyDescent="0.2">
      <c r="A202" s="44"/>
    </row>
    <row r="203" spans="1:1" x14ac:dyDescent="0.2">
      <c r="A203" s="44"/>
    </row>
    <row r="204" spans="1:1" x14ac:dyDescent="0.2">
      <c r="A204" s="44"/>
    </row>
    <row r="205" spans="1:1" x14ac:dyDescent="0.2">
      <c r="A205" s="44"/>
    </row>
    <row r="206" spans="1:1" x14ac:dyDescent="0.2">
      <c r="A206" s="44"/>
    </row>
    <row r="207" spans="1:1" x14ac:dyDescent="0.2">
      <c r="A207" s="44"/>
    </row>
    <row r="208" spans="1:1" x14ac:dyDescent="0.2">
      <c r="A208" s="44"/>
    </row>
    <row r="209" spans="1:1" x14ac:dyDescent="0.2">
      <c r="A209" s="44"/>
    </row>
    <row r="210" spans="1:1" x14ac:dyDescent="0.2">
      <c r="A210" s="44"/>
    </row>
    <row r="211" spans="1:1" x14ac:dyDescent="0.2">
      <c r="A211" s="44"/>
    </row>
    <row r="212" spans="1:1" x14ac:dyDescent="0.2">
      <c r="A212" s="44"/>
    </row>
    <row r="213" spans="1:1" x14ac:dyDescent="0.2">
      <c r="A213" s="44"/>
    </row>
    <row r="214" spans="1:1" x14ac:dyDescent="0.2">
      <c r="A214" s="44"/>
    </row>
    <row r="215" spans="1:1" x14ac:dyDescent="0.2">
      <c r="A215" s="44"/>
    </row>
    <row r="216" spans="1:1" x14ac:dyDescent="0.2">
      <c r="A216" s="44"/>
    </row>
    <row r="217" spans="1:1" x14ac:dyDescent="0.2">
      <c r="A217" s="44"/>
    </row>
    <row r="218" spans="1:1" x14ac:dyDescent="0.2">
      <c r="A218" s="44"/>
    </row>
    <row r="219" spans="1:1" x14ac:dyDescent="0.2">
      <c r="A219" s="44"/>
    </row>
    <row r="220" spans="1:1" x14ac:dyDescent="0.2">
      <c r="A220" s="44"/>
    </row>
    <row r="221" spans="1:1" x14ac:dyDescent="0.2">
      <c r="A221" s="44"/>
    </row>
    <row r="222" spans="1:1" x14ac:dyDescent="0.2">
      <c r="A222" s="44"/>
    </row>
    <row r="223" spans="1:1" x14ac:dyDescent="0.2">
      <c r="A223" s="44"/>
    </row>
    <row r="224" spans="1:1" x14ac:dyDescent="0.2">
      <c r="A224" s="44"/>
    </row>
    <row r="225" spans="1:1" x14ac:dyDescent="0.2">
      <c r="A225" s="44"/>
    </row>
    <row r="226" spans="1:1" x14ac:dyDescent="0.2">
      <c r="A226" s="44"/>
    </row>
    <row r="227" spans="1:1" x14ac:dyDescent="0.2">
      <c r="A227" s="44"/>
    </row>
    <row r="228" spans="1:1" x14ac:dyDescent="0.2">
      <c r="A228" s="44"/>
    </row>
    <row r="229" spans="1:1" x14ac:dyDescent="0.2">
      <c r="A229" s="44"/>
    </row>
    <row r="230" spans="1:1" x14ac:dyDescent="0.2">
      <c r="A230" s="44"/>
    </row>
    <row r="231" spans="1:1" x14ac:dyDescent="0.2">
      <c r="A231" s="44"/>
    </row>
    <row r="232" spans="1:1" x14ac:dyDescent="0.2">
      <c r="A232" s="44"/>
    </row>
    <row r="233" spans="1:1" x14ac:dyDescent="0.2">
      <c r="A233" s="44"/>
    </row>
    <row r="234" spans="1:1" x14ac:dyDescent="0.2">
      <c r="A234" s="44"/>
    </row>
    <row r="235" spans="1:1" x14ac:dyDescent="0.2">
      <c r="A235" s="44"/>
    </row>
    <row r="236" spans="1:1" x14ac:dyDescent="0.2">
      <c r="A236" s="44"/>
    </row>
    <row r="237" spans="1:1" x14ac:dyDescent="0.2">
      <c r="A237" s="44"/>
    </row>
    <row r="238" spans="1:1" x14ac:dyDescent="0.2">
      <c r="A238" s="44"/>
    </row>
    <row r="239" spans="1:1" x14ac:dyDescent="0.2">
      <c r="A239" s="44"/>
    </row>
    <row r="240" spans="1:1" x14ac:dyDescent="0.2">
      <c r="A240" s="44"/>
    </row>
    <row r="241" spans="1:1" x14ac:dyDescent="0.2">
      <c r="A241" s="44"/>
    </row>
    <row r="242" spans="1:1" x14ac:dyDescent="0.2">
      <c r="A242" s="44"/>
    </row>
    <row r="243" spans="1:1" x14ac:dyDescent="0.2">
      <c r="A243" s="44"/>
    </row>
    <row r="244" spans="1:1" x14ac:dyDescent="0.2">
      <c r="A244" s="44"/>
    </row>
    <row r="245" spans="1:1" x14ac:dyDescent="0.2">
      <c r="A245" s="44"/>
    </row>
    <row r="246" spans="1:1" x14ac:dyDescent="0.2">
      <c r="A246" s="44"/>
    </row>
    <row r="247" spans="1:1" x14ac:dyDescent="0.2">
      <c r="A247" s="44"/>
    </row>
    <row r="248" spans="1:1" x14ac:dyDescent="0.2">
      <c r="A248" s="44"/>
    </row>
    <row r="249" spans="1:1" x14ac:dyDescent="0.2">
      <c r="A249" s="44"/>
    </row>
    <row r="250" spans="1:1" x14ac:dyDescent="0.2">
      <c r="A250" s="44"/>
    </row>
    <row r="251" spans="1:1" x14ac:dyDescent="0.2">
      <c r="A251" s="44"/>
    </row>
    <row r="252" spans="1:1" x14ac:dyDescent="0.2">
      <c r="A252" s="44"/>
    </row>
    <row r="253" spans="1:1" x14ac:dyDescent="0.2">
      <c r="A253" s="44"/>
    </row>
    <row r="254" spans="1:1" x14ac:dyDescent="0.2">
      <c r="A254" s="44"/>
    </row>
    <row r="255" spans="1:1" x14ac:dyDescent="0.2">
      <c r="A255" s="44"/>
    </row>
    <row r="256" spans="1:1" x14ac:dyDescent="0.2">
      <c r="A256" s="44"/>
    </row>
    <row r="257" spans="1:1" x14ac:dyDescent="0.2">
      <c r="A257" s="44"/>
    </row>
    <row r="258" spans="1:1" x14ac:dyDescent="0.2">
      <c r="A258" s="44"/>
    </row>
    <row r="259" spans="1:1" x14ac:dyDescent="0.2">
      <c r="A259" s="44"/>
    </row>
    <row r="260" spans="1:1" x14ac:dyDescent="0.2">
      <c r="A260" s="44"/>
    </row>
    <row r="261" spans="1:1" x14ac:dyDescent="0.2">
      <c r="A261" s="44"/>
    </row>
    <row r="262" spans="1:1" x14ac:dyDescent="0.2">
      <c r="A262" s="44"/>
    </row>
    <row r="263" spans="1:1" x14ac:dyDescent="0.2">
      <c r="A263" s="44"/>
    </row>
    <row r="264" spans="1:1" x14ac:dyDescent="0.2">
      <c r="A264" s="44"/>
    </row>
    <row r="265" spans="1:1" x14ac:dyDescent="0.2">
      <c r="A265" s="44"/>
    </row>
    <row r="266" spans="1:1" x14ac:dyDescent="0.2">
      <c r="A266" s="44"/>
    </row>
    <row r="267" spans="1:1" x14ac:dyDescent="0.2">
      <c r="A267" s="44"/>
    </row>
    <row r="268" spans="1:1" x14ac:dyDescent="0.2">
      <c r="A268" s="44"/>
    </row>
    <row r="269" spans="1:1" x14ac:dyDescent="0.2">
      <c r="A269" s="44"/>
    </row>
    <row r="270" spans="1:1" x14ac:dyDescent="0.2">
      <c r="A270" s="44"/>
    </row>
    <row r="271" spans="1:1" x14ac:dyDescent="0.2">
      <c r="A271" s="44"/>
    </row>
    <row r="272" spans="1:1" x14ac:dyDescent="0.2">
      <c r="A272" s="44"/>
    </row>
    <row r="273" spans="1:1" x14ac:dyDescent="0.2">
      <c r="A273" s="44"/>
    </row>
    <row r="274" spans="1:1" x14ac:dyDescent="0.2">
      <c r="A274" s="44"/>
    </row>
    <row r="275" spans="1:1" x14ac:dyDescent="0.2">
      <c r="A275" s="44"/>
    </row>
    <row r="276" spans="1:1" x14ac:dyDescent="0.2">
      <c r="A276" s="44"/>
    </row>
    <row r="277" spans="1:1" x14ac:dyDescent="0.2">
      <c r="A277" s="44"/>
    </row>
    <row r="278" spans="1:1" x14ac:dyDescent="0.2">
      <c r="A278" s="44"/>
    </row>
    <row r="279" spans="1:1" x14ac:dyDescent="0.2">
      <c r="A279" s="44"/>
    </row>
    <row r="280" spans="1:1" x14ac:dyDescent="0.2">
      <c r="A280" s="44"/>
    </row>
    <row r="281" spans="1:1" x14ac:dyDescent="0.2">
      <c r="A281" s="44"/>
    </row>
    <row r="282" spans="1:1" x14ac:dyDescent="0.2">
      <c r="A282" s="44"/>
    </row>
    <row r="283" spans="1:1" x14ac:dyDescent="0.2">
      <c r="A283" s="44"/>
    </row>
    <row r="284" spans="1:1" x14ac:dyDescent="0.2">
      <c r="A284" s="44"/>
    </row>
    <row r="285" spans="1:1" x14ac:dyDescent="0.2">
      <c r="A285" s="44"/>
    </row>
    <row r="286" spans="1:1" x14ac:dyDescent="0.2">
      <c r="A286" s="44"/>
    </row>
    <row r="287" spans="1:1" x14ac:dyDescent="0.2">
      <c r="A287" s="44"/>
    </row>
    <row r="288" spans="1:1" x14ac:dyDescent="0.2">
      <c r="A288" s="44"/>
    </row>
    <row r="289" spans="1:1" x14ac:dyDescent="0.2">
      <c r="A289" s="44"/>
    </row>
    <row r="290" spans="1:1" x14ac:dyDescent="0.2">
      <c r="A290" s="44"/>
    </row>
    <row r="291" spans="1:1" x14ac:dyDescent="0.2">
      <c r="A291" s="44"/>
    </row>
    <row r="292" spans="1:1" x14ac:dyDescent="0.2">
      <c r="A292" s="44"/>
    </row>
    <row r="293" spans="1:1" x14ac:dyDescent="0.2">
      <c r="A293" s="44"/>
    </row>
    <row r="294" spans="1:1" x14ac:dyDescent="0.2">
      <c r="A294" s="44"/>
    </row>
    <row r="295" spans="1:1" x14ac:dyDescent="0.2">
      <c r="A295" s="44"/>
    </row>
    <row r="296" spans="1:1" x14ac:dyDescent="0.2">
      <c r="A296" s="44"/>
    </row>
    <row r="297" spans="1:1" x14ac:dyDescent="0.2">
      <c r="A297" s="44"/>
    </row>
    <row r="298" spans="1:1" x14ac:dyDescent="0.2">
      <c r="A298" s="44"/>
    </row>
    <row r="299" spans="1:1" x14ac:dyDescent="0.2">
      <c r="A299" s="44"/>
    </row>
    <row r="300" spans="1:1" x14ac:dyDescent="0.2">
      <c r="A300" s="44"/>
    </row>
    <row r="301" spans="1:1" x14ac:dyDescent="0.2">
      <c r="A301" s="44"/>
    </row>
    <row r="302" spans="1:1" x14ac:dyDescent="0.2">
      <c r="A302" s="44"/>
    </row>
    <row r="303" spans="1:1" x14ac:dyDescent="0.2">
      <c r="A303" s="44"/>
    </row>
    <row r="304" spans="1:1" x14ac:dyDescent="0.2">
      <c r="A304" s="44"/>
    </row>
    <row r="305" spans="1:1" x14ac:dyDescent="0.2">
      <c r="A305" s="44"/>
    </row>
    <row r="306" spans="1:1" x14ac:dyDescent="0.2">
      <c r="A306" s="44"/>
    </row>
    <row r="307" spans="1:1" x14ac:dyDescent="0.2">
      <c r="A307" s="44"/>
    </row>
    <row r="308" spans="1:1" x14ac:dyDescent="0.2">
      <c r="A308" s="44"/>
    </row>
    <row r="309" spans="1:1" x14ac:dyDescent="0.2">
      <c r="A309" s="44"/>
    </row>
    <row r="310" spans="1:1" x14ac:dyDescent="0.2">
      <c r="A310" s="44"/>
    </row>
    <row r="311" spans="1:1" x14ac:dyDescent="0.2">
      <c r="A311" s="44"/>
    </row>
    <row r="312" spans="1:1" x14ac:dyDescent="0.2">
      <c r="A312" s="44"/>
    </row>
    <row r="313" spans="1:1" x14ac:dyDescent="0.2">
      <c r="A313" s="44"/>
    </row>
    <row r="314" spans="1:1" x14ac:dyDescent="0.2">
      <c r="A314" s="44"/>
    </row>
    <row r="315" spans="1:1" x14ac:dyDescent="0.2">
      <c r="A315" s="44"/>
    </row>
    <row r="316" spans="1:1" x14ac:dyDescent="0.2">
      <c r="A316" s="44"/>
    </row>
    <row r="317" spans="1:1" x14ac:dyDescent="0.2">
      <c r="A317" s="44"/>
    </row>
    <row r="318" spans="1:1" x14ac:dyDescent="0.2">
      <c r="A318" s="44"/>
    </row>
    <row r="319" spans="1:1" x14ac:dyDescent="0.2">
      <c r="A319" s="44"/>
    </row>
    <row r="320" spans="1:1" x14ac:dyDescent="0.2">
      <c r="A320" s="44"/>
    </row>
    <row r="321" spans="1:1" x14ac:dyDescent="0.2">
      <c r="A321" s="44"/>
    </row>
    <row r="322" spans="1:1" x14ac:dyDescent="0.2">
      <c r="A322" s="44"/>
    </row>
    <row r="323" spans="1:1" x14ac:dyDescent="0.2">
      <c r="A323" s="44"/>
    </row>
    <row r="324" spans="1:1" x14ac:dyDescent="0.2">
      <c r="A324" s="44"/>
    </row>
    <row r="325" spans="1:1" x14ac:dyDescent="0.2">
      <c r="A325" s="44"/>
    </row>
    <row r="326" spans="1:1" x14ac:dyDescent="0.2">
      <c r="A326" s="44"/>
    </row>
    <row r="327" spans="1:1" x14ac:dyDescent="0.2">
      <c r="A327" s="44"/>
    </row>
    <row r="328" spans="1:1" x14ac:dyDescent="0.2">
      <c r="A328" s="44"/>
    </row>
    <row r="329" spans="1:1" x14ac:dyDescent="0.2">
      <c r="A329" s="44"/>
    </row>
    <row r="330" spans="1:1" x14ac:dyDescent="0.2">
      <c r="A330" s="44"/>
    </row>
    <row r="331" spans="1:1" x14ac:dyDescent="0.2">
      <c r="A331" s="44"/>
    </row>
    <row r="332" spans="1:1" x14ac:dyDescent="0.2">
      <c r="A332" s="44"/>
    </row>
    <row r="333" spans="1:1" x14ac:dyDescent="0.2">
      <c r="A333" s="44"/>
    </row>
    <row r="334" spans="1:1" x14ac:dyDescent="0.2">
      <c r="A334" s="44"/>
    </row>
    <row r="335" spans="1:1" x14ac:dyDescent="0.2">
      <c r="A335" s="44"/>
    </row>
    <row r="336" spans="1:1" x14ac:dyDescent="0.2">
      <c r="A336" s="44"/>
    </row>
    <row r="337" spans="1:1" x14ac:dyDescent="0.2">
      <c r="A337" s="44"/>
    </row>
    <row r="338" spans="1:1" x14ac:dyDescent="0.2">
      <c r="A338" s="44"/>
    </row>
    <row r="339" spans="1:1" x14ac:dyDescent="0.2">
      <c r="A339" s="44"/>
    </row>
    <row r="340" spans="1:1" x14ac:dyDescent="0.2">
      <c r="A340" s="44"/>
    </row>
    <row r="341" spans="1:1" x14ac:dyDescent="0.2">
      <c r="A341" s="44"/>
    </row>
    <row r="342" spans="1:1" x14ac:dyDescent="0.2">
      <c r="A342" s="44"/>
    </row>
    <row r="343" spans="1:1" x14ac:dyDescent="0.2">
      <c r="A343" s="44"/>
    </row>
    <row r="344" spans="1:1" x14ac:dyDescent="0.2">
      <c r="A344" s="44"/>
    </row>
    <row r="345" spans="1:1" x14ac:dyDescent="0.2">
      <c r="A345" s="44"/>
    </row>
    <row r="346" spans="1:1" x14ac:dyDescent="0.2">
      <c r="A346" s="44"/>
    </row>
    <row r="347" spans="1:1" x14ac:dyDescent="0.2">
      <c r="A347" s="44"/>
    </row>
    <row r="348" spans="1:1" x14ac:dyDescent="0.2">
      <c r="A348" s="44"/>
    </row>
    <row r="349" spans="1:1" x14ac:dyDescent="0.2">
      <c r="A349" s="44"/>
    </row>
    <row r="350" spans="1:1" x14ac:dyDescent="0.2">
      <c r="A350" s="44"/>
    </row>
    <row r="351" spans="1:1" x14ac:dyDescent="0.2">
      <c r="A351" s="44"/>
    </row>
    <row r="352" spans="1:1" x14ac:dyDescent="0.2">
      <c r="A352" s="44"/>
    </row>
    <row r="353" spans="1:1" x14ac:dyDescent="0.2">
      <c r="A353" s="44"/>
    </row>
    <row r="354" spans="1:1" x14ac:dyDescent="0.2">
      <c r="A354" s="44"/>
    </row>
    <row r="355" spans="1:1" x14ac:dyDescent="0.2">
      <c r="A355" s="44"/>
    </row>
    <row r="356" spans="1:1" x14ac:dyDescent="0.2">
      <c r="A356" s="44"/>
    </row>
    <row r="357" spans="1:1" x14ac:dyDescent="0.2">
      <c r="A357" s="44"/>
    </row>
    <row r="358" spans="1:1" x14ac:dyDescent="0.2">
      <c r="A358" s="44"/>
    </row>
    <row r="359" spans="1:1" x14ac:dyDescent="0.2">
      <c r="A359" s="44"/>
    </row>
    <row r="360" spans="1:1" x14ac:dyDescent="0.2">
      <c r="A360" s="44"/>
    </row>
    <row r="361" spans="1:1" x14ac:dyDescent="0.2">
      <c r="A361" s="44"/>
    </row>
    <row r="362" spans="1:1" x14ac:dyDescent="0.2">
      <c r="A362" s="44"/>
    </row>
    <row r="363" spans="1:1" x14ac:dyDescent="0.2">
      <c r="A363" s="44"/>
    </row>
    <row r="364" spans="1:1" x14ac:dyDescent="0.2">
      <c r="A364" s="44"/>
    </row>
    <row r="365" spans="1:1" x14ac:dyDescent="0.2">
      <c r="A365" s="44"/>
    </row>
    <row r="366" spans="1:1" x14ac:dyDescent="0.2">
      <c r="A366" s="44"/>
    </row>
    <row r="367" spans="1:1" x14ac:dyDescent="0.2">
      <c r="A367" s="44"/>
    </row>
    <row r="368" spans="1:1" x14ac:dyDescent="0.2">
      <c r="A368" s="44"/>
    </row>
    <row r="369" spans="1:1" x14ac:dyDescent="0.2">
      <c r="A369" s="44"/>
    </row>
    <row r="370" spans="1:1" x14ac:dyDescent="0.2">
      <c r="A370" s="44"/>
    </row>
    <row r="371" spans="1:1" x14ac:dyDescent="0.2">
      <c r="A371" s="44"/>
    </row>
    <row r="372" spans="1:1" x14ac:dyDescent="0.2">
      <c r="A372" s="44"/>
    </row>
    <row r="373" spans="1:1" x14ac:dyDescent="0.2">
      <c r="A373" s="44"/>
    </row>
    <row r="374" spans="1:1" x14ac:dyDescent="0.2">
      <c r="A374" s="44"/>
    </row>
    <row r="375" spans="1:1" x14ac:dyDescent="0.2">
      <c r="A375" s="44"/>
    </row>
    <row r="376" spans="1:1" x14ac:dyDescent="0.2">
      <c r="A376" s="44"/>
    </row>
    <row r="377" spans="1:1" x14ac:dyDescent="0.2">
      <c r="A377" s="44"/>
    </row>
    <row r="378" spans="1:1" x14ac:dyDescent="0.2">
      <c r="A378" s="44"/>
    </row>
    <row r="379" spans="1:1" x14ac:dyDescent="0.2">
      <c r="A379" s="44"/>
    </row>
    <row r="380" spans="1:1" x14ac:dyDescent="0.2">
      <c r="A380" s="44"/>
    </row>
    <row r="381" spans="1:1" x14ac:dyDescent="0.2">
      <c r="A381" s="44"/>
    </row>
    <row r="382" spans="1:1" x14ac:dyDescent="0.2">
      <c r="A382" s="44"/>
    </row>
    <row r="383" spans="1:1" x14ac:dyDescent="0.2">
      <c r="A383" s="44"/>
    </row>
    <row r="384" spans="1:1" x14ac:dyDescent="0.2">
      <c r="A384" s="44"/>
    </row>
    <row r="385" spans="1:1" x14ac:dyDescent="0.2">
      <c r="A385" s="44"/>
    </row>
    <row r="386" spans="1:1" x14ac:dyDescent="0.2">
      <c r="A386" s="44"/>
    </row>
    <row r="387" spans="1:1" x14ac:dyDescent="0.2">
      <c r="A387" s="44"/>
    </row>
    <row r="388" spans="1:1" x14ac:dyDescent="0.2">
      <c r="A388" s="44"/>
    </row>
    <row r="389" spans="1:1" x14ac:dyDescent="0.2">
      <c r="A389" s="44"/>
    </row>
    <row r="390" spans="1:1" x14ac:dyDescent="0.2">
      <c r="A390" s="44"/>
    </row>
    <row r="391" spans="1:1" x14ac:dyDescent="0.2">
      <c r="A391" s="44"/>
    </row>
    <row r="392" spans="1:1" x14ac:dyDescent="0.2">
      <c r="A392" s="44"/>
    </row>
    <row r="393" spans="1:1" x14ac:dyDescent="0.2">
      <c r="A393" s="44"/>
    </row>
    <row r="394" spans="1:1" x14ac:dyDescent="0.2">
      <c r="A394" s="44"/>
    </row>
    <row r="395" spans="1:1" x14ac:dyDescent="0.2">
      <c r="A395" s="44"/>
    </row>
    <row r="396" spans="1:1" x14ac:dyDescent="0.2">
      <c r="A396" s="44"/>
    </row>
    <row r="397" spans="1:1" x14ac:dyDescent="0.2">
      <c r="A397" s="44"/>
    </row>
    <row r="398" spans="1:1" x14ac:dyDescent="0.2">
      <c r="A398" s="44"/>
    </row>
    <row r="399" spans="1:1" x14ac:dyDescent="0.2">
      <c r="A399" s="44"/>
    </row>
    <row r="400" spans="1:1" x14ac:dyDescent="0.2">
      <c r="A400" s="44"/>
    </row>
    <row r="401" spans="1:1" x14ac:dyDescent="0.2">
      <c r="A401" s="44"/>
    </row>
    <row r="402" spans="1:1" x14ac:dyDescent="0.2">
      <c r="A402" s="44"/>
    </row>
    <row r="403" spans="1:1" x14ac:dyDescent="0.2">
      <c r="A403" s="44"/>
    </row>
    <row r="404" spans="1:1" x14ac:dyDescent="0.2">
      <c r="A404" s="44"/>
    </row>
    <row r="405" spans="1:1" x14ac:dyDescent="0.2">
      <c r="A405" s="44"/>
    </row>
    <row r="406" spans="1:1" x14ac:dyDescent="0.2">
      <c r="A406" s="44"/>
    </row>
    <row r="407" spans="1:1" x14ac:dyDescent="0.2">
      <c r="A407" s="44"/>
    </row>
    <row r="408" spans="1:1" x14ac:dyDescent="0.2">
      <c r="A408" s="44"/>
    </row>
    <row r="409" spans="1:1" x14ac:dyDescent="0.2">
      <c r="A409" s="44"/>
    </row>
    <row r="410" spans="1:1" x14ac:dyDescent="0.2">
      <c r="A410" s="44"/>
    </row>
    <row r="411" spans="1:1" x14ac:dyDescent="0.2">
      <c r="A411" s="44"/>
    </row>
    <row r="412" spans="1:1" x14ac:dyDescent="0.2">
      <c r="A412" s="44"/>
    </row>
    <row r="413" spans="1:1" x14ac:dyDescent="0.2">
      <c r="A413" s="44"/>
    </row>
    <row r="414" spans="1:1" x14ac:dyDescent="0.2">
      <c r="A414" s="44"/>
    </row>
    <row r="415" spans="1:1" x14ac:dyDescent="0.2">
      <c r="A415" s="44"/>
    </row>
    <row r="416" spans="1:1" x14ac:dyDescent="0.2">
      <c r="A416" s="44"/>
    </row>
    <row r="417" spans="1:1" x14ac:dyDescent="0.2">
      <c r="A417" s="44"/>
    </row>
    <row r="418" spans="1:1" x14ac:dyDescent="0.2">
      <c r="A418" s="44"/>
    </row>
    <row r="419" spans="1:1" x14ac:dyDescent="0.2">
      <c r="A419" s="44"/>
    </row>
    <row r="420" spans="1:1" x14ac:dyDescent="0.2">
      <c r="A420" s="44"/>
    </row>
    <row r="421" spans="1:1" x14ac:dyDescent="0.2">
      <c r="A421" s="44"/>
    </row>
    <row r="422" spans="1:1" x14ac:dyDescent="0.2">
      <c r="A422" s="44"/>
    </row>
    <row r="423" spans="1:1" x14ac:dyDescent="0.2">
      <c r="A423" s="44"/>
    </row>
    <row r="424" spans="1:1" x14ac:dyDescent="0.2">
      <c r="A424" s="44"/>
    </row>
    <row r="425" spans="1:1" x14ac:dyDescent="0.2">
      <c r="A425" s="44"/>
    </row>
    <row r="426" spans="1:1" x14ac:dyDescent="0.2">
      <c r="A426" s="44"/>
    </row>
    <row r="427" spans="1:1" x14ac:dyDescent="0.2">
      <c r="A427" s="44"/>
    </row>
    <row r="428" spans="1:1" x14ac:dyDescent="0.2">
      <c r="A428" s="44"/>
    </row>
    <row r="429" spans="1:1" x14ac:dyDescent="0.2">
      <c r="A429" s="44"/>
    </row>
    <row r="430" spans="1:1" x14ac:dyDescent="0.2">
      <c r="A430" s="44"/>
    </row>
    <row r="431" spans="1:1" x14ac:dyDescent="0.2">
      <c r="A431" s="44"/>
    </row>
    <row r="432" spans="1:1" x14ac:dyDescent="0.2">
      <c r="A432" s="44"/>
    </row>
    <row r="433" spans="1:1" x14ac:dyDescent="0.2">
      <c r="A433" s="44"/>
    </row>
    <row r="434" spans="1:1" x14ac:dyDescent="0.2">
      <c r="A434" s="44"/>
    </row>
    <row r="435" spans="1:1" x14ac:dyDescent="0.2">
      <c r="A435" s="44"/>
    </row>
    <row r="436" spans="1:1" x14ac:dyDescent="0.2">
      <c r="A436" s="44"/>
    </row>
    <row r="437" spans="1:1" x14ac:dyDescent="0.2">
      <c r="A437" s="44"/>
    </row>
    <row r="438" spans="1:1" x14ac:dyDescent="0.2">
      <c r="A438" s="44"/>
    </row>
    <row r="439" spans="1:1" x14ac:dyDescent="0.2">
      <c r="A439" s="44"/>
    </row>
    <row r="440" spans="1:1" x14ac:dyDescent="0.2">
      <c r="A440" s="44"/>
    </row>
    <row r="441" spans="1:1" x14ac:dyDescent="0.2">
      <c r="A441" s="44"/>
    </row>
    <row r="442" spans="1:1" x14ac:dyDescent="0.2">
      <c r="A442" s="44"/>
    </row>
    <row r="443" spans="1:1" x14ac:dyDescent="0.2">
      <c r="A443" s="44"/>
    </row>
    <row r="444" spans="1:1" x14ac:dyDescent="0.2">
      <c r="A444" s="44"/>
    </row>
    <row r="445" spans="1:1" x14ac:dyDescent="0.2">
      <c r="A445" s="44"/>
    </row>
    <row r="446" spans="1:1" x14ac:dyDescent="0.2">
      <c r="A446" s="44"/>
    </row>
    <row r="447" spans="1:1" x14ac:dyDescent="0.2">
      <c r="A447" s="44"/>
    </row>
    <row r="448" spans="1:1" x14ac:dyDescent="0.2">
      <c r="A448" s="44"/>
    </row>
    <row r="449" spans="1:1" x14ac:dyDescent="0.2">
      <c r="A449" s="44"/>
    </row>
    <row r="450" spans="1:1" x14ac:dyDescent="0.2">
      <c r="A450" s="44"/>
    </row>
    <row r="451" spans="1:1" x14ac:dyDescent="0.2">
      <c r="A451" s="44"/>
    </row>
    <row r="452" spans="1:1" x14ac:dyDescent="0.2">
      <c r="A452" s="44"/>
    </row>
    <row r="453" spans="1:1" x14ac:dyDescent="0.2">
      <c r="A453" s="44"/>
    </row>
    <row r="454" spans="1:1" x14ac:dyDescent="0.2">
      <c r="A454" s="44"/>
    </row>
    <row r="455" spans="1:1" x14ac:dyDescent="0.2">
      <c r="A455" s="44"/>
    </row>
    <row r="456" spans="1:1" x14ac:dyDescent="0.2">
      <c r="A456" s="44"/>
    </row>
    <row r="457" spans="1:1" x14ac:dyDescent="0.2">
      <c r="A457" s="44"/>
    </row>
    <row r="458" spans="1:1" x14ac:dyDescent="0.2">
      <c r="A458" s="44"/>
    </row>
    <row r="459" spans="1:1" x14ac:dyDescent="0.2">
      <c r="A459" s="44"/>
    </row>
    <row r="460" spans="1:1" x14ac:dyDescent="0.2">
      <c r="A460" s="44"/>
    </row>
    <row r="461" spans="1:1" x14ac:dyDescent="0.2">
      <c r="A461" s="44"/>
    </row>
    <row r="462" spans="1:1" x14ac:dyDescent="0.2">
      <c r="A462" s="44"/>
    </row>
    <row r="463" spans="1:1" x14ac:dyDescent="0.2">
      <c r="A463" s="44"/>
    </row>
    <row r="464" spans="1:1" x14ac:dyDescent="0.2">
      <c r="A464" s="44"/>
    </row>
    <row r="465" spans="1:1" x14ac:dyDescent="0.2">
      <c r="A465" s="44"/>
    </row>
    <row r="466" spans="1:1" x14ac:dyDescent="0.2">
      <c r="A466" s="44"/>
    </row>
    <row r="467" spans="1:1" x14ac:dyDescent="0.2">
      <c r="A467" s="44"/>
    </row>
    <row r="468" spans="1:1" x14ac:dyDescent="0.2">
      <c r="A468" s="44"/>
    </row>
    <row r="469" spans="1:1" x14ac:dyDescent="0.2">
      <c r="A469" s="44"/>
    </row>
    <row r="470" spans="1:1" x14ac:dyDescent="0.2">
      <c r="A470" s="44"/>
    </row>
    <row r="471" spans="1:1" x14ac:dyDescent="0.2">
      <c r="A471" s="44"/>
    </row>
    <row r="472" spans="1:1" x14ac:dyDescent="0.2">
      <c r="A472" s="44"/>
    </row>
    <row r="473" spans="1:1" x14ac:dyDescent="0.2">
      <c r="A473" s="44"/>
    </row>
    <row r="474" spans="1:1" x14ac:dyDescent="0.2">
      <c r="A474" s="44"/>
    </row>
    <row r="475" spans="1:1" x14ac:dyDescent="0.2">
      <c r="A475" s="44"/>
    </row>
    <row r="476" spans="1:1" x14ac:dyDescent="0.2">
      <c r="A476" s="44"/>
    </row>
    <row r="477" spans="1:1" x14ac:dyDescent="0.2">
      <c r="A477" s="44"/>
    </row>
    <row r="478" spans="1:1" x14ac:dyDescent="0.2">
      <c r="A478" s="44"/>
    </row>
    <row r="479" spans="1:1" x14ac:dyDescent="0.2">
      <c r="A479" s="44"/>
    </row>
    <row r="480" spans="1:1" x14ac:dyDescent="0.2">
      <c r="A480" s="44"/>
    </row>
    <row r="481" spans="1:1" x14ac:dyDescent="0.2">
      <c r="A481" s="44"/>
    </row>
    <row r="482" spans="1:1" x14ac:dyDescent="0.2">
      <c r="A482" s="44"/>
    </row>
    <row r="483" spans="1:1" x14ac:dyDescent="0.2">
      <c r="A483" s="44"/>
    </row>
    <row r="484" spans="1:1" x14ac:dyDescent="0.2">
      <c r="A484" s="44"/>
    </row>
    <row r="485" spans="1:1" x14ac:dyDescent="0.2">
      <c r="A485" s="44"/>
    </row>
    <row r="486" spans="1:1" x14ac:dyDescent="0.2">
      <c r="A486" s="44"/>
    </row>
    <row r="487" spans="1:1" x14ac:dyDescent="0.2">
      <c r="A487" s="44"/>
    </row>
    <row r="488" spans="1:1" x14ac:dyDescent="0.2">
      <c r="A488" s="44"/>
    </row>
    <row r="489" spans="1:1" x14ac:dyDescent="0.2">
      <c r="A489" s="44"/>
    </row>
    <row r="490" spans="1:1" x14ac:dyDescent="0.2">
      <c r="A490" s="44"/>
    </row>
    <row r="491" spans="1:1" x14ac:dyDescent="0.2">
      <c r="A491" s="44"/>
    </row>
    <row r="492" spans="1:1" x14ac:dyDescent="0.2">
      <c r="A492" s="44"/>
    </row>
    <row r="493" spans="1:1" x14ac:dyDescent="0.2">
      <c r="A493" s="44"/>
    </row>
    <row r="494" spans="1:1" x14ac:dyDescent="0.2">
      <c r="A494" s="44"/>
    </row>
    <row r="495" spans="1:1" x14ac:dyDescent="0.2">
      <c r="A495" s="44"/>
    </row>
    <row r="496" spans="1:1" x14ac:dyDescent="0.2">
      <c r="A496" s="44"/>
    </row>
    <row r="497" spans="1:1" x14ac:dyDescent="0.2">
      <c r="A497" s="44"/>
    </row>
    <row r="498" spans="1:1" x14ac:dyDescent="0.2">
      <c r="A498" s="44"/>
    </row>
    <row r="499" spans="1:1" x14ac:dyDescent="0.2">
      <c r="A499" s="44"/>
    </row>
    <row r="500" spans="1:1" x14ac:dyDescent="0.2">
      <c r="A500" s="44"/>
    </row>
    <row r="501" spans="1:1" x14ac:dyDescent="0.2">
      <c r="A501" s="44"/>
    </row>
    <row r="502" spans="1:1" x14ac:dyDescent="0.2">
      <c r="A502" s="44"/>
    </row>
    <row r="503" spans="1:1" x14ac:dyDescent="0.2">
      <c r="A503" s="44"/>
    </row>
    <row r="504" spans="1:1" x14ac:dyDescent="0.2">
      <c r="A504" s="44"/>
    </row>
    <row r="505" spans="1:1" x14ac:dyDescent="0.2">
      <c r="A505" s="44"/>
    </row>
    <row r="506" spans="1:1" x14ac:dyDescent="0.2">
      <c r="A506" s="44"/>
    </row>
    <row r="507" spans="1:1" x14ac:dyDescent="0.2">
      <c r="A507" s="44"/>
    </row>
    <row r="508" spans="1:1" x14ac:dyDescent="0.2">
      <c r="A508" s="44"/>
    </row>
    <row r="509" spans="1:1" x14ac:dyDescent="0.2">
      <c r="A509" s="44"/>
    </row>
    <row r="510" spans="1:1" x14ac:dyDescent="0.2">
      <c r="A510" s="44"/>
    </row>
    <row r="511" spans="1:1" x14ac:dyDescent="0.2">
      <c r="A511" s="44"/>
    </row>
    <row r="512" spans="1:1" x14ac:dyDescent="0.2">
      <c r="A512" s="44"/>
    </row>
    <row r="513" spans="1:1" x14ac:dyDescent="0.2">
      <c r="A513" s="44"/>
    </row>
    <row r="514" spans="1:1" x14ac:dyDescent="0.2">
      <c r="A514" s="44"/>
    </row>
    <row r="515" spans="1:1" x14ac:dyDescent="0.2">
      <c r="A515" s="44"/>
    </row>
    <row r="516" spans="1:1" x14ac:dyDescent="0.2">
      <c r="A516" s="44"/>
    </row>
    <row r="517" spans="1:1" x14ac:dyDescent="0.2">
      <c r="A517" s="44"/>
    </row>
    <row r="518" spans="1:1" x14ac:dyDescent="0.2">
      <c r="A518" s="44"/>
    </row>
    <row r="519" spans="1:1" x14ac:dyDescent="0.2">
      <c r="A519" s="44"/>
    </row>
    <row r="520" spans="1:1" x14ac:dyDescent="0.2">
      <c r="A520" s="44"/>
    </row>
    <row r="521" spans="1:1" x14ac:dyDescent="0.2">
      <c r="A521" s="44"/>
    </row>
    <row r="522" spans="1:1" x14ac:dyDescent="0.2">
      <c r="A522" s="44"/>
    </row>
    <row r="523" spans="1:1" x14ac:dyDescent="0.2">
      <c r="A523" s="44"/>
    </row>
    <row r="524" spans="1:1" x14ac:dyDescent="0.2">
      <c r="A524" s="44"/>
    </row>
    <row r="525" spans="1:1" x14ac:dyDescent="0.2">
      <c r="A525" s="44"/>
    </row>
    <row r="526" spans="1:1" x14ac:dyDescent="0.2">
      <c r="A526" s="44"/>
    </row>
    <row r="527" spans="1:1" x14ac:dyDescent="0.2">
      <c r="A527" s="44"/>
    </row>
    <row r="528" spans="1:1" x14ac:dyDescent="0.2">
      <c r="A528" s="44"/>
    </row>
    <row r="529" spans="1:1" x14ac:dyDescent="0.2">
      <c r="A529" s="44"/>
    </row>
    <row r="530" spans="1:1" x14ac:dyDescent="0.2">
      <c r="A530" s="44"/>
    </row>
    <row r="531" spans="1:1" x14ac:dyDescent="0.2">
      <c r="A531" s="44"/>
    </row>
    <row r="532" spans="1:1" x14ac:dyDescent="0.2">
      <c r="A532" s="44"/>
    </row>
    <row r="533" spans="1:1" x14ac:dyDescent="0.2">
      <c r="A533" s="44"/>
    </row>
    <row r="534" spans="1:1" x14ac:dyDescent="0.2">
      <c r="A534" s="44"/>
    </row>
    <row r="535" spans="1:1" x14ac:dyDescent="0.2">
      <c r="A535" s="44"/>
    </row>
    <row r="536" spans="1:1" x14ac:dyDescent="0.2">
      <c r="A536" s="44"/>
    </row>
    <row r="537" spans="1:1" x14ac:dyDescent="0.2">
      <c r="A537" s="44"/>
    </row>
    <row r="538" spans="1:1" x14ac:dyDescent="0.2">
      <c r="A538" s="44"/>
    </row>
    <row r="539" spans="1:1" x14ac:dyDescent="0.2">
      <c r="A539" s="44"/>
    </row>
    <row r="540" spans="1:1" x14ac:dyDescent="0.2">
      <c r="A540" s="44"/>
    </row>
    <row r="541" spans="1:1" x14ac:dyDescent="0.2">
      <c r="A541" s="44"/>
    </row>
    <row r="542" spans="1:1" x14ac:dyDescent="0.2">
      <c r="A542" s="44"/>
    </row>
    <row r="543" spans="1:1" x14ac:dyDescent="0.2">
      <c r="A543" s="44"/>
    </row>
    <row r="544" spans="1:1" x14ac:dyDescent="0.2">
      <c r="A544" s="44"/>
    </row>
    <row r="545" spans="1:1" x14ac:dyDescent="0.2">
      <c r="A545" s="44"/>
    </row>
    <row r="546" spans="1:1" x14ac:dyDescent="0.2">
      <c r="A546" s="44"/>
    </row>
    <row r="547" spans="1:1" x14ac:dyDescent="0.2">
      <c r="A547" s="44"/>
    </row>
    <row r="548" spans="1:1" x14ac:dyDescent="0.2">
      <c r="A548" s="44"/>
    </row>
    <row r="549" spans="1:1" x14ac:dyDescent="0.2">
      <c r="A549" s="44"/>
    </row>
    <row r="550" spans="1:1" x14ac:dyDescent="0.2">
      <c r="A550" s="44"/>
    </row>
    <row r="551" spans="1:1" x14ac:dyDescent="0.2">
      <c r="A551" s="44"/>
    </row>
    <row r="552" spans="1:1" x14ac:dyDescent="0.2">
      <c r="A552" s="44"/>
    </row>
    <row r="553" spans="1:1" x14ac:dyDescent="0.2">
      <c r="A553" s="44"/>
    </row>
    <row r="554" spans="1:1" x14ac:dyDescent="0.2">
      <c r="A554" s="44"/>
    </row>
    <row r="555" spans="1:1" x14ac:dyDescent="0.2">
      <c r="A555" s="44"/>
    </row>
    <row r="556" spans="1:1" x14ac:dyDescent="0.2">
      <c r="A556" s="44"/>
    </row>
    <row r="557" spans="1:1" x14ac:dyDescent="0.2">
      <c r="A557" s="44"/>
    </row>
    <row r="558" spans="1:1" x14ac:dyDescent="0.2">
      <c r="A558" s="44"/>
    </row>
    <row r="559" spans="1:1" x14ac:dyDescent="0.2">
      <c r="A559" s="44"/>
    </row>
    <row r="560" spans="1:1" x14ac:dyDescent="0.2">
      <c r="A560" s="44"/>
    </row>
    <row r="561" spans="1:1" x14ac:dyDescent="0.2">
      <c r="A561" s="44"/>
    </row>
    <row r="562" spans="1:1" x14ac:dyDescent="0.2">
      <c r="A562" s="44"/>
    </row>
    <row r="563" spans="1:1" x14ac:dyDescent="0.2">
      <c r="A563" s="44"/>
    </row>
    <row r="564" spans="1:1" x14ac:dyDescent="0.2">
      <c r="A564" s="44"/>
    </row>
    <row r="565" spans="1:1" x14ac:dyDescent="0.2">
      <c r="A565" s="44"/>
    </row>
    <row r="566" spans="1:1" x14ac:dyDescent="0.2">
      <c r="A566" s="44"/>
    </row>
    <row r="567" spans="1:1" x14ac:dyDescent="0.2">
      <c r="A567" s="44"/>
    </row>
    <row r="568" spans="1:1" x14ac:dyDescent="0.2">
      <c r="A568" s="44"/>
    </row>
    <row r="569" spans="1:1" x14ac:dyDescent="0.2">
      <c r="A569" s="44"/>
    </row>
    <row r="570" spans="1:1" x14ac:dyDescent="0.2">
      <c r="A570" s="44"/>
    </row>
    <row r="571" spans="1:1" x14ac:dyDescent="0.2">
      <c r="A571" s="44"/>
    </row>
    <row r="572" spans="1:1" x14ac:dyDescent="0.2">
      <c r="A572" s="44"/>
    </row>
    <row r="573" spans="1:1" x14ac:dyDescent="0.2">
      <c r="A573" s="44"/>
    </row>
    <row r="574" spans="1:1" x14ac:dyDescent="0.2">
      <c r="A574" s="44"/>
    </row>
    <row r="575" spans="1:1" x14ac:dyDescent="0.2">
      <c r="A575" s="44"/>
    </row>
    <row r="576" spans="1:1" x14ac:dyDescent="0.2">
      <c r="A576" s="44"/>
    </row>
    <row r="577" spans="1:1" x14ac:dyDescent="0.2">
      <c r="A577" s="44"/>
    </row>
    <row r="578" spans="1:1" x14ac:dyDescent="0.2">
      <c r="A578" s="44"/>
    </row>
    <row r="579" spans="1:1" x14ac:dyDescent="0.2">
      <c r="A579" s="44"/>
    </row>
    <row r="580" spans="1:1" x14ac:dyDescent="0.2">
      <c r="A580" s="44"/>
    </row>
    <row r="581" spans="1:1" x14ac:dyDescent="0.2">
      <c r="A581" s="44"/>
    </row>
    <row r="582" spans="1:1" x14ac:dyDescent="0.2">
      <c r="A582" s="44"/>
    </row>
    <row r="583" spans="1:1" x14ac:dyDescent="0.2">
      <c r="A583" s="44"/>
    </row>
    <row r="584" spans="1:1" x14ac:dyDescent="0.2">
      <c r="A584" s="44"/>
    </row>
    <row r="585" spans="1:1" x14ac:dyDescent="0.2">
      <c r="A585" s="44"/>
    </row>
    <row r="586" spans="1:1" x14ac:dyDescent="0.2">
      <c r="A586" s="44"/>
    </row>
    <row r="587" spans="1:1" x14ac:dyDescent="0.2">
      <c r="A587" s="44"/>
    </row>
    <row r="588" spans="1:1" x14ac:dyDescent="0.2">
      <c r="A588" s="44"/>
    </row>
    <row r="589" spans="1:1" x14ac:dyDescent="0.2">
      <c r="A589" s="44"/>
    </row>
    <row r="590" spans="1:1" x14ac:dyDescent="0.2">
      <c r="A590" s="44"/>
    </row>
    <row r="591" spans="1:1" x14ac:dyDescent="0.2">
      <c r="A591" s="44"/>
    </row>
    <row r="592" spans="1:1" x14ac:dyDescent="0.2">
      <c r="A592" s="44"/>
    </row>
    <row r="593" spans="1:1" x14ac:dyDescent="0.2">
      <c r="A593" s="44"/>
    </row>
    <row r="594" spans="1:1" x14ac:dyDescent="0.2">
      <c r="A594" s="44"/>
    </row>
    <row r="595" spans="1:1" x14ac:dyDescent="0.2">
      <c r="A595" s="44"/>
    </row>
    <row r="596" spans="1:1" x14ac:dyDescent="0.2">
      <c r="A596" s="44"/>
    </row>
    <row r="597" spans="1:1" x14ac:dyDescent="0.2">
      <c r="A597" s="44"/>
    </row>
    <row r="598" spans="1:1" x14ac:dyDescent="0.2">
      <c r="A598" s="44"/>
    </row>
    <row r="599" spans="1:1" x14ac:dyDescent="0.2">
      <c r="A599" s="44"/>
    </row>
    <row r="600" spans="1:1" x14ac:dyDescent="0.2">
      <c r="A600" s="44"/>
    </row>
    <row r="601" spans="1:1" x14ac:dyDescent="0.2">
      <c r="A601" s="44"/>
    </row>
    <row r="602" spans="1:1" x14ac:dyDescent="0.2">
      <c r="A602" s="44"/>
    </row>
    <row r="603" spans="1:1" x14ac:dyDescent="0.2">
      <c r="A603" s="44"/>
    </row>
    <row r="604" spans="1:1" x14ac:dyDescent="0.2">
      <c r="A604" s="44"/>
    </row>
    <row r="605" spans="1:1" x14ac:dyDescent="0.2">
      <c r="A605" s="44"/>
    </row>
    <row r="606" spans="1:1" x14ac:dyDescent="0.2">
      <c r="A606" s="44"/>
    </row>
    <row r="607" spans="1:1" x14ac:dyDescent="0.2">
      <c r="A607" s="44"/>
    </row>
    <row r="608" spans="1:1" x14ac:dyDescent="0.2">
      <c r="A608" s="44"/>
    </row>
    <row r="609" spans="1:1" x14ac:dyDescent="0.2">
      <c r="A609" s="44"/>
    </row>
    <row r="610" spans="1:1" x14ac:dyDescent="0.2">
      <c r="A610" s="44"/>
    </row>
    <row r="611" spans="1:1" x14ac:dyDescent="0.2">
      <c r="A611" s="44"/>
    </row>
    <row r="612" spans="1:1" x14ac:dyDescent="0.2">
      <c r="A612" s="44"/>
    </row>
    <row r="613" spans="1:1" x14ac:dyDescent="0.2">
      <c r="A613" s="44"/>
    </row>
    <row r="614" spans="1:1" x14ac:dyDescent="0.2">
      <c r="A614" s="44"/>
    </row>
    <row r="615" spans="1:1" x14ac:dyDescent="0.2">
      <c r="A615" s="44"/>
    </row>
    <row r="616" spans="1:1" x14ac:dyDescent="0.2">
      <c r="A616" s="44"/>
    </row>
    <row r="617" spans="1:1" x14ac:dyDescent="0.2">
      <c r="A617" s="44"/>
    </row>
    <row r="618" spans="1:1" x14ac:dyDescent="0.2">
      <c r="A618" s="44"/>
    </row>
    <row r="619" spans="1:1" x14ac:dyDescent="0.2">
      <c r="A619" s="44"/>
    </row>
    <row r="620" spans="1:1" x14ac:dyDescent="0.2">
      <c r="A620" s="44"/>
    </row>
    <row r="621" spans="1:1" x14ac:dyDescent="0.2">
      <c r="A621" s="44"/>
    </row>
    <row r="622" spans="1:1" x14ac:dyDescent="0.2">
      <c r="A622" s="44"/>
    </row>
    <row r="623" spans="1:1" x14ac:dyDescent="0.2">
      <c r="A623" s="44"/>
    </row>
    <row r="624" spans="1:1" x14ac:dyDescent="0.2">
      <c r="A624" s="44"/>
    </row>
    <row r="625" spans="1:1" x14ac:dyDescent="0.2">
      <c r="A625" s="44"/>
    </row>
    <row r="626" spans="1:1" x14ac:dyDescent="0.2">
      <c r="A626" s="44"/>
    </row>
    <row r="627" spans="1:1" x14ac:dyDescent="0.2">
      <c r="A627" s="44"/>
    </row>
    <row r="628" spans="1:1" x14ac:dyDescent="0.2">
      <c r="A628" s="44"/>
    </row>
    <row r="629" spans="1:1" x14ac:dyDescent="0.2">
      <c r="A629" s="44"/>
    </row>
    <row r="630" spans="1:1" x14ac:dyDescent="0.2">
      <c r="A630" s="44"/>
    </row>
    <row r="631" spans="1:1" x14ac:dyDescent="0.2">
      <c r="A631" s="44"/>
    </row>
    <row r="632" spans="1:1" x14ac:dyDescent="0.2">
      <c r="A632" s="44"/>
    </row>
    <row r="633" spans="1:1" x14ac:dyDescent="0.2">
      <c r="A633" s="44"/>
    </row>
    <row r="634" spans="1:1" x14ac:dyDescent="0.2">
      <c r="A634" s="44"/>
    </row>
    <row r="635" spans="1:1" x14ac:dyDescent="0.2">
      <c r="A635" s="44"/>
    </row>
    <row r="636" spans="1:1" x14ac:dyDescent="0.2">
      <c r="A636" s="44"/>
    </row>
    <row r="637" spans="1:1" x14ac:dyDescent="0.2">
      <c r="A637" s="44"/>
    </row>
    <row r="638" spans="1:1" x14ac:dyDescent="0.2">
      <c r="A638" s="44"/>
    </row>
    <row r="639" spans="1:1" x14ac:dyDescent="0.2">
      <c r="A639" s="44"/>
    </row>
    <row r="640" spans="1:1" x14ac:dyDescent="0.2">
      <c r="A640" s="44"/>
    </row>
    <row r="641" spans="1:1" x14ac:dyDescent="0.2">
      <c r="A641" s="44"/>
    </row>
    <row r="642" spans="1:1" x14ac:dyDescent="0.2">
      <c r="A642" s="44"/>
    </row>
    <row r="643" spans="1:1" x14ac:dyDescent="0.2">
      <c r="A643" s="44"/>
    </row>
    <row r="644" spans="1:1" x14ac:dyDescent="0.2">
      <c r="A644" s="44"/>
    </row>
    <row r="645" spans="1:1" x14ac:dyDescent="0.2">
      <c r="A645" s="44"/>
    </row>
    <row r="646" spans="1:1" x14ac:dyDescent="0.2">
      <c r="A646" s="44"/>
    </row>
    <row r="647" spans="1:1" x14ac:dyDescent="0.2">
      <c r="A647" s="44"/>
    </row>
    <row r="648" spans="1:1" x14ac:dyDescent="0.2">
      <c r="A648" s="44"/>
    </row>
    <row r="649" spans="1:1" x14ac:dyDescent="0.2">
      <c r="A649" s="44"/>
    </row>
    <row r="650" spans="1:1" x14ac:dyDescent="0.2">
      <c r="A650" s="44"/>
    </row>
    <row r="651" spans="1:1" x14ac:dyDescent="0.2">
      <c r="A651" s="44"/>
    </row>
    <row r="652" spans="1:1" x14ac:dyDescent="0.2">
      <c r="A652" s="44"/>
    </row>
    <row r="653" spans="1:1" x14ac:dyDescent="0.2">
      <c r="A653" s="44"/>
    </row>
    <row r="654" spans="1:1" x14ac:dyDescent="0.2">
      <c r="A654" s="44"/>
    </row>
    <row r="655" spans="1:1" x14ac:dyDescent="0.2">
      <c r="A655" s="44"/>
    </row>
    <row r="656" spans="1:1" x14ac:dyDescent="0.2">
      <c r="A656" s="44"/>
    </row>
    <row r="657" spans="1:1" x14ac:dyDescent="0.2">
      <c r="A657" s="44"/>
    </row>
    <row r="658" spans="1:1" x14ac:dyDescent="0.2">
      <c r="A658" s="44"/>
    </row>
    <row r="659" spans="1:1" x14ac:dyDescent="0.2">
      <c r="A659" s="44"/>
    </row>
    <row r="660" spans="1:1" x14ac:dyDescent="0.2">
      <c r="A660" s="44"/>
    </row>
    <row r="661" spans="1:1" x14ac:dyDescent="0.2">
      <c r="A661" s="44"/>
    </row>
    <row r="662" spans="1:1" x14ac:dyDescent="0.2">
      <c r="A662" s="44"/>
    </row>
    <row r="663" spans="1:1" x14ac:dyDescent="0.2">
      <c r="A663" s="44"/>
    </row>
    <row r="664" spans="1:1" x14ac:dyDescent="0.2">
      <c r="A664" s="44"/>
    </row>
    <row r="665" spans="1:1" x14ac:dyDescent="0.2">
      <c r="A665" s="44"/>
    </row>
    <row r="666" spans="1:1" x14ac:dyDescent="0.2">
      <c r="A666" s="44"/>
    </row>
    <row r="667" spans="1:1" x14ac:dyDescent="0.2">
      <c r="A667" s="44"/>
    </row>
    <row r="668" spans="1:1" x14ac:dyDescent="0.2">
      <c r="A668" s="44"/>
    </row>
    <row r="669" spans="1:1" x14ac:dyDescent="0.2">
      <c r="A669" s="44"/>
    </row>
    <row r="670" spans="1:1" x14ac:dyDescent="0.2">
      <c r="A670" s="44"/>
    </row>
    <row r="671" spans="1:1" x14ac:dyDescent="0.2">
      <c r="A671" s="44"/>
    </row>
    <row r="672" spans="1:1" x14ac:dyDescent="0.2">
      <c r="A672" s="44"/>
    </row>
    <row r="673" spans="1:1" x14ac:dyDescent="0.2">
      <c r="A673" s="44"/>
    </row>
    <row r="674" spans="1:1" x14ac:dyDescent="0.2">
      <c r="A674" s="44"/>
    </row>
    <row r="675" spans="1:1" x14ac:dyDescent="0.2">
      <c r="A675" s="44"/>
    </row>
    <row r="676" spans="1:1" x14ac:dyDescent="0.2">
      <c r="A676" s="44"/>
    </row>
    <row r="677" spans="1:1" x14ac:dyDescent="0.2">
      <c r="A677" s="44"/>
    </row>
    <row r="678" spans="1:1" x14ac:dyDescent="0.2">
      <c r="A678" s="44"/>
    </row>
    <row r="679" spans="1:1" x14ac:dyDescent="0.2">
      <c r="A679" s="44"/>
    </row>
    <row r="680" spans="1:1" x14ac:dyDescent="0.2">
      <c r="A680" s="44"/>
    </row>
    <row r="681" spans="1:1" x14ac:dyDescent="0.2">
      <c r="A681" s="44"/>
    </row>
    <row r="682" spans="1:1" x14ac:dyDescent="0.2">
      <c r="A682" s="44"/>
    </row>
    <row r="683" spans="1:1" x14ac:dyDescent="0.2">
      <c r="A683" s="44"/>
    </row>
    <row r="684" spans="1:1" x14ac:dyDescent="0.2">
      <c r="A684" s="44"/>
    </row>
    <row r="685" spans="1:1" x14ac:dyDescent="0.2">
      <c r="A685" s="44"/>
    </row>
    <row r="686" spans="1:1" x14ac:dyDescent="0.2">
      <c r="A686" s="44"/>
    </row>
    <row r="687" spans="1:1" x14ac:dyDescent="0.2">
      <c r="A687" s="44"/>
    </row>
    <row r="688" spans="1:1" x14ac:dyDescent="0.2">
      <c r="A688" s="44"/>
    </row>
    <row r="689" spans="1:1" x14ac:dyDescent="0.2">
      <c r="A689" s="44"/>
    </row>
    <row r="690" spans="1:1" x14ac:dyDescent="0.2">
      <c r="A690" s="44"/>
    </row>
    <row r="691" spans="1:1" x14ac:dyDescent="0.2">
      <c r="A691" s="44"/>
    </row>
    <row r="692" spans="1:1" x14ac:dyDescent="0.2">
      <c r="A692" s="44"/>
    </row>
    <row r="693" spans="1:1" x14ac:dyDescent="0.2">
      <c r="A693" s="44"/>
    </row>
    <row r="694" spans="1:1" x14ac:dyDescent="0.2">
      <c r="A694" s="44"/>
    </row>
    <row r="695" spans="1:1" x14ac:dyDescent="0.2">
      <c r="A695" s="44"/>
    </row>
    <row r="696" spans="1:1" x14ac:dyDescent="0.2">
      <c r="A696" s="44"/>
    </row>
    <row r="697" spans="1:1" x14ac:dyDescent="0.2">
      <c r="A697" s="44"/>
    </row>
    <row r="698" spans="1:1" x14ac:dyDescent="0.2">
      <c r="A698" s="44"/>
    </row>
    <row r="699" spans="1:1" x14ac:dyDescent="0.2">
      <c r="A699" s="44"/>
    </row>
    <row r="700" spans="1:1" x14ac:dyDescent="0.2">
      <c r="A700" s="44"/>
    </row>
    <row r="701" spans="1:1" x14ac:dyDescent="0.2">
      <c r="A701" s="44"/>
    </row>
    <row r="702" spans="1:1" x14ac:dyDescent="0.2">
      <c r="A702" s="44"/>
    </row>
    <row r="703" spans="1:1" x14ac:dyDescent="0.2">
      <c r="A703" s="44"/>
    </row>
    <row r="704" spans="1:1" x14ac:dyDescent="0.2">
      <c r="A704" s="44"/>
    </row>
    <row r="705" spans="1:1" x14ac:dyDescent="0.2">
      <c r="A705" s="44"/>
    </row>
    <row r="706" spans="1:1" x14ac:dyDescent="0.2">
      <c r="A706" s="44"/>
    </row>
    <row r="707" spans="1:1" x14ac:dyDescent="0.2">
      <c r="A707" s="44"/>
    </row>
    <row r="708" spans="1:1" x14ac:dyDescent="0.2">
      <c r="A708" s="44"/>
    </row>
    <row r="709" spans="1:1" x14ac:dyDescent="0.2">
      <c r="A709" s="44"/>
    </row>
    <row r="710" spans="1:1" x14ac:dyDescent="0.2">
      <c r="A710" s="44"/>
    </row>
    <row r="711" spans="1:1" x14ac:dyDescent="0.2">
      <c r="A711" s="44"/>
    </row>
    <row r="712" spans="1:1" x14ac:dyDescent="0.2">
      <c r="A712" s="44"/>
    </row>
    <row r="713" spans="1:1" x14ac:dyDescent="0.2">
      <c r="A713" s="44"/>
    </row>
    <row r="714" spans="1:1" x14ac:dyDescent="0.2">
      <c r="A714" s="44"/>
    </row>
    <row r="715" spans="1:1" x14ac:dyDescent="0.2">
      <c r="A715" s="44"/>
    </row>
    <row r="716" spans="1:1" x14ac:dyDescent="0.2">
      <c r="A716" s="44"/>
    </row>
    <row r="717" spans="1:1" x14ac:dyDescent="0.2">
      <c r="A717" s="44"/>
    </row>
    <row r="718" spans="1:1" x14ac:dyDescent="0.2">
      <c r="A718" s="44"/>
    </row>
    <row r="719" spans="1:1" x14ac:dyDescent="0.2">
      <c r="A719" s="44"/>
    </row>
    <row r="720" spans="1:1" x14ac:dyDescent="0.2">
      <c r="A720" s="44"/>
    </row>
    <row r="721" spans="1:1" x14ac:dyDescent="0.2">
      <c r="A721" s="44"/>
    </row>
    <row r="722" spans="1:1" x14ac:dyDescent="0.2">
      <c r="A722" s="44"/>
    </row>
    <row r="723" spans="1:1" x14ac:dyDescent="0.2">
      <c r="A723" s="44"/>
    </row>
    <row r="724" spans="1:1" x14ac:dyDescent="0.2">
      <c r="A724" s="44"/>
    </row>
    <row r="725" spans="1:1" x14ac:dyDescent="0.2">
      <c r="A725" s="44"/>
    </row>
    <row r="726" spans="1:1" x14ac:dyDescent="0.2">
      <c r="A726" s="44"/>
    </row>
    <row r="727" spans="1:1" x14ac:dyDescent="0.2">
      <c r="A727" s="44"/>
    </row>
    <row r="728" spans="1:1" x14ac:dyDescent="0.2">
      <c r="A728" s="44"/>
    </row>
    <row r="729" spans="1:1" x14ac:dyDescent="0.2">
      <c r="A729" s="44"/>
    </row>
    <row r="730" spans="1:1" x14ac:dyDescent="0.2">
      <c r="A730" s="44"/>
    </row>
    <row r="731" spans="1:1" x14ac:dyDescent="0.2">
      <c r="A731" s="44"/>
    </row>
    <row r="732" spans="1:1" x14ac:dyDescent="0.2">
      <c r="A732" s="44"/>
    </row>
    <row r="733" spans="1:1" x14ac:dyDescent="0.2">
      <c r="A733" s="44"/>
    </row>
    <row r="734" spans="1:1" x14ac:dyDescent="0.2">
      <c r="A734" s="44"/>
    </row>
    <row r="735" spans="1:1" x14ac:dyDescent="0.2">
      <c r="A735" s="44"/>
    </row>
    <row r="736" spans="1:1" x14ac:dyDescent="0.2">
      <c r="A736" s="44"/>
    </row>
    <row r="737" spans="1:1" x14ac:dyDescent="0.2">
      <c r="A737" s="44"/>
    </row>
    <row r="738" spans="1:1" x14ac:dyDescent="0.2">
      <c r="A738" s="44"/>
    </row>
    <row r="739" spans="1:1" x14ac:dyDescent="0.2">
      <c r="A739" s="44"/>
    </row>
    <row r="740" spans="1:1" x14ac:dyDescent="0.2">
      <c r="A740" s="44"/>
    </row>
    <row r="741" spans="1:1" x14ac:dyDescent="0.2">
      <c r="A741" s="44"/>
    </row>
    <row r="742" spans="1:1" x14ac:dyDescent="0.2">
      <c r="A742" s="44"/>
    </row>
    <row r="743" spans="1:1" x14ac:dyDescent="0.2">
      <c r="A743" s="44"/>
    </row>
    <row r="744" spans="1:1" x14ac:dyDescent="0.2">
      <c r="A744" s="44"/>
    </row>
    <row r="745" spans="1:1" x14ac:dyDescent="0.2">
      <c r="A745" s="44"/>
    </row>
    <row r="746" spans="1:1" x14ac:dyDescent="0.2">
      <c r="A746" s="44"/>
    </row>
    <row r="747" spans="1:1" x14ac:dyDescent="0.2">
      <c r="A747" s="44"/>
    </row>
    <row r="748" spans="1:1" x14ac:dyDescent="0.2">
      <c r="A748" s="44"/>
    </row>
    <row r="749" spans="1:1" x14ac:dyDescent="0.2">
      <c r="A749" s="44"/>
    </row>
    <row r="750" spans="1:1" x14ac:dyDescent="0.2">
      <c r="A750" s="44"/>
    </row>
    <row r="751" spans="1:1" x14ac:dyDescent="0.2">
      <c r="A751" s="44"/>
    </row>
    <row r="752" spans="1:1" x14ac:dyDescent="0.2">
      <c r="A752" s="44"/>
    </row>
    <row r="753" spans="1:1" x14ac:dyDescent="0.2">
      <c r="A753" s="44"/>
    </row>
    <row r="754" spans="1:1" x14ac:dyDescent="0.2">
      <c r="A754" s="44"/>
    </row>
    <row r="755" spans="1:1" x14ac:dyDescent="0.2">
      <c r="A755" s="44"/>
    </row>
    <row r="756" spans="1:1" x14ac:dyDescent="0.2">
      <c r="A756" s="44"/>
    </row>
    <row r="757" spans="1:1" x14ac:dyDescent="0.2">
      <c r="A757" s="44"/>
    </row>
    <row r="758" spans="1:1" x14ac:dyDescent="0.2">
      <c r="A758" s="44"/>
    </row>
    <row r="759" spans="1:1" x14ac:dyDescent="0.2">
      <c r="A759" s="44"/>
    </row>
    <row r="760" spans="1:1" x14ac:dyDescent="0.2">
      <c r="A760" s="44"/>
    </row>
    <row r="761" spans="1:1" x14ac:dyDescent="0.2">
      <c r="A761" s="44"/>
    </row>
    <row r="762" spans="1:1" x14ac:dyDescent="0.2">
      <c r="A762" s="44"/>
    </row>
    <row r="763" spans="1:1" x14ac:dyDescent="0.2">
      <c r="A763" s="44"/>
    </row>
    <row r="764" spans="1:1" x14ac:dyDescent="0.2">
      <c r="A764" s="44"/>
    </row>
    <row r="765" spans="1:1" x14ac:dyDescent="0.2">
      <c r="A765" s="44"/>
    </row>
    <row r="766" spans="1:1" x14ac:dyDescent="0.2">
      <c r="A766" s="44"/>
    </row>
    <row r="767" spans="1:1" x14ac:dyDescent="0.2">
      <c r="A767" s="44"/>
    </row>
    <row r="768" spans="1:1" x14ac:dyDescent="0.2">
      <c r="A768" s="44"/>
    </row>
    <row r="769" spans="1:1" x14ac:dyDescent="0.2">
      <c r="A769" s="44"/>
    </row>
    <row r="770" spans="1:1" x14ac:dyDescent="0.2">
      <c r="A770" s="44"/>
    </row>
    <row r="771" spans="1:1" x14ac:dyDescent="0.2">
      <c r="A771" s="44"/>
    </row>
    <row r="772" spans="1:1" x14ac:dyDescent="0.2">
      <c r="A772" s="44"/>
    </row>
    <row r="773" spans="1:1" x14ac:dyDescent="0.2">
      <c r="A773" s="44"/>
    </row>
    <row r="774" spans="1:1" x14ac:dyDescent="0.2">
      <c r="A774" s="44"/>
    </row>
    <row r="775" spans="1:1" x14ac:dyDescent="0.2">
      <c r="A775" s="44"/>
    </row>
    <row r="776" spans="1:1" x14ac:dyDescent="0.2">
      <c r="A776" s="44"/>
    </row>
    <row r="777" spans="1:1" x14ac:dyDescent="0.2">
      <c r="A777" s="44"/>
    </row>
    <row r="778" spans="1:1" x14ac:dyDescent="0.2">
      <c r="A778" s="44"/>
    </row>
    <row r="779" spans="1:1" x14ac:dyDescent="0.2">
      <c r="A779" s="44"/>
    </row>
    <row r="780" spans="1:1" x14ac:dyDescent="0.2">
      <c r="A780" s="44"/>
    </row>
    <row r="781" spans="1:1" x14ac:dyDescent="0.2">
      <c r="A781" s="44"/>
    </row>
    <row r="782" spans="1:1" x14ac:dyDescent="0.2">
      <c r="A782" s="44"/>
    </row>
    <row r="783" spans="1:1" x14ac:dyDescent="0.2">
      <c r="A783" s="44"/>
    </row>
    <row r="784" spans="1:1" x14ac:dyDescent="0.2">
      <c r="A784" s="44"/>
    </row>
    <row r="785" spans="1:1" x14ac:dyDescent="0.2">
      <c r="A785" s="44"/>
    </row>
    <row r="786" spans="1:1" x14ac:dyDescent="0.2">
      <c r="A786" s="44"/>
    </row>
    <row r="787" spans="1:1" x14ac:dyDescent="0.2">
      <c r="A787" s="44"/>
    </row>
    <row r="788" spans="1:1" x14ac:dyDescent="0.2">
      <c r="A788" s="44"/>
    </row>
    <row r="789" spans="1:1" x14ac:dyDescent="0.2">
      <c r="A789" s="44"/>
    </row>
    <row r="790" spans="1:1" x14ac:dyDescent="0.2">
      <c r="A790" s="44"/>
    </row>
    <row r="791" spans="1:1" x14ac:dyDescent="0.2">
      <c r="A791" s="44"/>
    </row>
    <row r="792" spans="1:1" x14ac:dyDescent="0.2">
      <c r="A792" s="44"/>
    </row>
    <row r="793" spans="1:1" x14ac:dyDescent="0.2">
      <c r="A793" s="44"/>
    </row>
    <row r="794" spans="1:1" x14ac:dyDescent="0.2">
      <c r="A794" s="44"/>
    </row>
    <row r="795" spans="1:1" x14ac:dyDescent="0.2">
      <c r="A795" s="44"/>
    </row>
    <row r="796" spans="1:1" x14ac:dyDescent="0.2">
      <c r="A796" s="44"/>
    </row>
    <row r="797" spans="1:1" x14ac:dyDescent="0.2">
      <c r="A797" s="44"/>
    </row>
    <row r="798" spans="1:1" x14ac:dyDescent="0.2">
      <c r="A798" s="44"/>
    </row>
    <row r="799" spans="1:1" x14ac:dyDescent="0.2">
      <c r="A799" s="44"/>
    </row>
    <row r="800" spans="1:1" x14ac:dyDescent="0.2">
      <c r="A800" s="44"/>
    </row>
    <row r="801" spans="1:1" x14ac:dyDescent="0.2">
      <c r="A801" s="44"/>
    </row>
    <row r="802" spans="1:1" x14ac:dyDescent="0.2">
      <c r="A802" s="44"/>
    </row>
    <row r="803" spans="1:1" x14ac:dyDescent="0.2">
      <c r="A803" s="44"/>
    </row>
    <row r="804" spans="1:1" x14ac:dyDescent="0.2">
      <c r="A804" s="44"/>
    </row>
    <row r="805" spans="1:1" x14ac:dyDescent="0.2">
      <c r="A805" s="44"/>
    </row>
    <row r="806" spans="1:1" x14ac:dyDescent="0.2">
      <c r="A806" s="44"/>
    </row>
    <row r="807" spans="1:1" x14ac:dyDescent="0.2">
      <c r="A807" s="44"/>
    </row>
    <row r="808" spans="1:1" x14ac:dyDescent="0.2">
      <c r="A808" s="44"/>
    </row>
    <row r="809" spans="1:1" x14ac:dyDescent="0.2">
      <c r="A809" s="44"/>
    </row>
    <row r="810" spans="1:1" x14ac:dyDescent="0.2">
      <c r="A810" s="44"/>
    </row>
    <row r="811" spans="1:1" x14ac:dyDescent="0.2">
      <c r="A811" s="44"/>
    </row>
    <row r="812" spans="1:1" x14ac:dyDescent="0.2">
      <c r="A812" s="44"/>
    </row>
    <row r="813" spans="1:1" x14ac:dyDescent="0.2">
      <c r="A813" s="44"/>
    </row>
    <row r="814" spans="1:1" x14ac:dyDescent="0.2">
      <c r="A814" s="44"/>
    </row>
    <row r="815" spans="1:1" x14ac:dyDescent="0.2">
      <c r="A815" s="44"/>
    </row>
    <row r="816" spans="1:1" x14ac:dyDescent="0.2">
      <c r="A816" s="44"/>
    </row>
    <row r="817" spans="1:1" x14ac:dyDescent="0.2">
      <c r="A817" s="44"/>
    </row>
    <row r="818" spans="1:1" x14ac:dyDescent="0.2">
      <c r="A818" s="44"/>
    </row>
    <row r="819" spans="1:1" x14ac:dyDescent="0.2">
      <c r="A819" s="44"/>
    </row>
    <row r="820" spans="1:1" x14ac:dyDescent="0.2">
      <c r="A820" s="44"/>
    </row>
    <row r="821" spans="1:1" x14ac:dyDescent="0.2">
      <c r="A821" s="44"/>
    </row>
    <row r="822" spans="1:1" x14ac:dyDescent="0.2">
      <c r="A822" s="44"/>
    </row>
    <row r="823" spans="1:1" x14ac:dyDescent="0.2">
      <c r="A823" s="44"/>
    </row>
    <row r="824" spans="1:1" x14ac:dyDescent="0.2">
      <c r="A824" s="44"/>
    </row>
    <row r="825" spans="1:1" x14ac:dyDescent="0.2">
      <c r="A825" s="44"/>
    </row>
    <row r="826" spans="1:1" x14ac:dyDescent="0.2">
      <c r="A826" s="44"/>
    </row>
    <row r="827" spans="1:1" x14ac:dyDescent="0.2">
      <c r="A827" s="44"/>
    </row>
    <row r="828" spans="1:1" x14ac:dyDescent="0.2">
      <c r="A828" s="44"/>
    </row>
    <row r="829" spans="1:1" x14ac:dyDescent="0.2">
      <c r="A829" s="44"/>
    </row>
    <row r="830" spans="1:1" x14ac:dyDescent="0.2">
      <c r="A830" s="44"/>
    </row>
    <row r="831" spans="1:1" x14ac:dyDescent="0.2">
      <c r="A831" s="44"/>
    </row>
    <row r="832" spans="1:1" x14ac:dyDescent="0.2">
      <c r="A832" s="44"/>
    </row>
    <row r="833" spans="1:1" x14ac:dyDescent="0.2">
      <c r="A833" s="44"/>
    </row>
    <row r="834" spans="1:1" x14ac:dyDescent="0.2">
      <c r="A834" s="44"/>
    </row>
    <row r="835" spans="1:1" x14ac:dyDescent="0.2">
      <c r="A835" s="44"/>
    </row>
    <row r="836" spans="1:1" x14ac:dyDescent="0.2">
      <c r="A836" s="44"/>
    </row>
    <row r="837" spans="1:1" x14ac:dyDescent="0.2">
      <c r="A837" s="44"/>
    </row>
    <row r="838" spans="1:1" x14ac:dyDescent="0.2">
      <c r="A838" s="44"/>
    </row>
    <row r="839" spans="1:1" x14ac:dyDescent="0.2">
      <c r="A839" s="44"/>
    </row>
    <row r="840" spans="1:1" x14ac:dyDescent="0.2">
      <c r="A840" s="44"/>
    </row>
    <row r="841" spans="1:1" x14ac:dyDescent="0.2">
      <c r="A841" s="44"/>
    </row>
    <row r="842" spans="1:1" x14ac:dyDescent="0.2">
      <c r="A842" s="44"/>
    </row>
    <row r="843" spans="1:1" x14ac:dyDescent="0.2">
      <c r="A843" s="44"/>
    </row>
    <row r="844" spans="1:1" x14ac:dyDescent="0.2">
      <c r="A844" s="44"/>
    </row>
    <row r="845" spans="1:1" x14ac:dyDescent="0.2">
      <c r="A845" s="44"/>
    </row>
    <row r="846" spans="1:1" x14ac:dyDescent="0.2">
      <c r="A846" s="44"/>
    </row>
    <row r="847" spans="1:1" x14ac:dyDescent="0.2">
      <c r="A847" s="44"/>
    </row>
    <row r="848" spans="1:1" x14ac:dyDescent="0.2">
      <c r="A848" s="44"/>
    </row>
    <row r="849" spans="1:1" x14ac:dyDescent="0.2">
      <c r="A849" s="44"/>
    </row>
    <row r="850" spans="1:1" x14ac:dyDescent="0.2">
      <c r="A850" s="44"/>
    </row>
    <row r="851" spans="1:1" x14ac:dyDescent="0.2">
      <c r="A851" s="44"/>
    </row>
    <row r="852" spans="1:1" x14ac:dyDescent="0.2">
      <c r="A852" s="44"/>
    </row>
    <row r="853" spans="1:1" x14ac:dyDescent="0.2">
      <c r="A853" s="44"/>
    </row>
    <row r="854" spans="1:1" x14ac:dyDescent="0.2">
      <c r="A854" s="44"/>
    </row>
    <row r="855" spans="1:1" x14ac:dyDescent="0.2">
      <c r="A855" s="44"/>
    </row>
    <row r="856" spans="1:1" x14ac:dyDescent="0.2">
      <c r="A856" s="44"/>
    </row>
    <row r="857" spans="1:1" x14ac:dyDescent="0.2">
      <c r="A857" s="44"/>
    </row>
    <row r="858" spans="1:1" x14ac:dyDescent="0.2">
      <c r="A858" s="44"/>
    </row>
    <row r="859" spans="1:1" x14ac:dyDescent="0.2">
      <c r="A859" s="44"/>
    </row>
    <row r="860" spans="1:1" x14ac:dyDescent="0.2">
      <c r="A860" s="44"/>
    </row>
    <row r="861" spans="1:1" x14ac:dyDescent="0.2">
      <c r="A861" s="44"/>
    </row>
    <row r="862" spans="1:1" x14ac:dyDescent="0.2">
      <c r="A862" s="44"/>
    </row>
    <row r="863" spans="1:1" x14ac:dyDescent="0.2">
      <c r="A863" s="44"/>
    </row>
    <row r="864" spans="1:1" x14ac:dyDescent="0.2">
      <c r="A864" s="44"/>
    </row>
    <row r="865" spans="1:1" x14ac:dyDescent="0.2">
      <c r="A865" s="44"/>
    </row>
    <row r="866" spans="1:1" x14ac:dyDescent="0.2">
      <c r="A866" s="44"/>
    </row>
    <row r="867" spans="1:1" x14ac:dyDescent="0.2">
      <c r="A867" s="44"/>
    </row>
    <row r="868" spans="1:1" x14ac:dyDescent="0.2">
      <c r="A868" s="44"/>
    </row>
    <row r="869" spans="1:1" x14ac:dyDescent="0.2">
      <c r="A869" s="44"/>
    </row>
    <row r="870" spans="1:1" x14ac:dyDescent="0.2">
      <c r="A870" s="44"/>
    </row>
    <row r="871" spans="1:1" x14ac:dyDescent="0.2">
      <c r="A871" s="44"/>
    </row>
    <row r="872" spans="1:1" x14ac:dyDescent="0.2">
      <c r="A872" s="44"/>
    </row>
    <row r="873" spans="1:1" x14ac:dyDescent="0.2">
      <c r="A873" s="44"/>
    </row>
    <row r="874" spans="1:1" x14ac:dyDescent="0.2">
      <c r="A874" s="44"/>
    </row>
    <row r="875" spans="1:1" x14ac:dyDescent="0.2">
      <c r="A875" s="44"/>
    </row>
    <row r="876" spans="1:1" x14ac:dyDescent="0.2">
      <c r="A876" s="44"/>
    </row>
    <row r="877" spans="1:1" x14ac:dyDescent="0.2">
      <c r="A877" s="44"/>
    </row>
    <row r="878" spans="1:1" x14ac:dyDescent="0.2">
      <c r="A878" s="44"/>
    </row>
    <row r="879" spans="1:1" x14ac:dyDescent="0.2">
      <c r="A879" s="44"/>
    </row>
    <row r="880" spans="1:1" x14ac:dyDescent="0.2">
      <c r="A880" s="44"/>
    </row>
    <row r="881" spans="1:1" x14ac:dyDescent="0.2">
      <c r="A881" s="44"/>
    </row>
    <row r="882" spans="1:1" x14ac:dyDescent="0.2">
      <c r="A882" s="44"/>
    </row>
    <row r="883" spans="1:1" x14ac:dyDescent="0.2">
      <c r="A883" s="44"/>
    </row>
    <row r="884" spans="1:1" x14ac:dyDescent="0.2">
      <c r="A884" s="44"/>
    </row>
    <row r="885" spans="1:1" x14ac:dyDescent="0.2">
      <c r="A885" s="44"/>
    </row>
    <row r="886" spans="1:1" x14ac:dyDescent="0.2">
      <c r="A886" s="44"/>
    </row>
    <row r="887" spans="1:1" x14ac:dyDescent="0.2">
      <c r="A887" s="44"/>
    </row>
    <row r="888" spans="1:1" x14ac:dyDescent="0.2">
      <c r="A888" s="44"/>
    </row>
    <row r="889" spans="1:1" x14ac:dyDescent="0.2">
      <c r="A889" s="44"/>
    </row>
    <row r="890" spans="1:1" x14ac:dyDescent="0.2">
      <c r="A890" s="44"/>
    </row>
    <row r="891" spans="1:1" x14ac:dyDescent="0.2">
      <c r="A891" s="44"/>
    </row>
    <row r="892" spans="1:1" x14ac:dyDescent="0.2">
      <c r="A892" s="44"/>
    </row>
    <row r="893" spans="1:1" x14ac:dyDescent="0.2">
      <c r="A893" s="44"/>
    </row>
    <row r="894" spans="1:1" x14ac:dyDescent="0.2">
      <c r="A894" s="44"/>
    </row>
    <row r="895" spans="1:1" x14ac:dyDescent="0.2">
      <c r="A895" s="44"/>
    </row>
    <row r="896" spans="1:1" x14ac:dyDescent="0.2">
      <c r="A896" s="44"/>
    </row>
    <row r="897" spans="1:1" x14ac:dyDescent="0.2">
      <c r="A897" s="44"/>
    </row>
    <row r="898" spans="1:1" x14ac:dyDescent="0.2">
      <c r="A898" s="44"/>
    </row>
    <row r="899" spans="1:1" x14ac:dyDescent="0.2">
      <c r="A899" s="44"/>
    </row>
    <row r="900" spans="1:1" x14ac:dyDescent="0.2">
      <c r="A900" s="44"/>
    </row>
    <row r="901" spans="1:1" x14ac:dyDescent="0.2">
      <c r="A901" s="44"/>
    </row>
    <row r="902" spans="1:1" x14ac:dyDescent="0.2">
      <c r="A902" s="44"/>
    </row>
    <row r="903" spans="1:1" x14ac:dyDescent="0.2">
      <c r="A903" s="44"/>
    </row>
    <row r="904" spans="1:1" x14ac:dyDescent="0.2">
      <c r="A904" s="44"/>
    </row>
    <row r="905" spans="1:1" x14ac:dyDescent="0.2">
      <c r="A905" s="44"/>
    </row>
    <row r="906" spans="1:1" x14ac:dyDescent="0.2">
      <c r="A906" s="44"/>
    </row>
    <row r="907" spans="1:1" x14ac:dyDescent="0.2">
      <c r="A907" s="44"/>
    </row>
    <row r="908" spans="1:1" x14ac:dyDescent="0.2">
      <c r="A908" s="44"/>
    </row>
    <row r="909" spans="1:1" x14ac:dyDescent="0.2">
      <c r="A909" s="44"/>
    </row>
    <row r="910" spans="1:1" x14ac:dyDescent="0.2">
      <c r="A910" s="44"/>
    </row>
    <row r="911" spans="1:1" x14ac:dyDescent="0.2">
      <c r="A911" s="44"/>
    </row>
    <row r="912" spans="1:1" x14ac:dyDescent="0.2">
      <c r="A912" s="44"/>
    </row>
    <row r="913" spans="1:1" x14ac:dyDescent="0.2">
      <c r="A913" s="44"/>
    </row>
    <row r="914" spans="1:1" x14ac:dyDescent="0.2">
      <c r="A914" s="44"/>
    </row>
    <row r="915" spans="1:1" x14ac:dyDescent="0.2">
      <c r="A915" s="44"/>
    </row>
    <row r="916" spans="1:1" x14ac:dyDescent="0.2">
      <c r="A916" s="44"/>
    </row>
    <row r="917" spans="1:1" x14ac:dyDescent="0.2">
      <c r="A917" s="44"/>
    </row>
    <row r="918" spans="1:1" x14ac:dyDescent="0.2">
      <c r="A918" s="44"/>
    </row>
    <row r="919" spans="1:1" x14ac:dyDescent="0.2">
      <c r="A919" s="44"/>
    </row>
    <row r="920" spans="1:1" x14ac:dyDescent="0.2">
      <c r="A920" s="44"/>
    </row>
    <row r="921" spans="1:1" x14ac:dyDescent="0.2">
      <c r="A921" s="44"/>
    </row>
    <row r="922" spans="1:1" x14ac:dyDescent="0.2">
      <c r="A922" s="44"/>
    </row>
    <row r="923" spans="1:1" x14ac:dyDescent="0.2">
      <c r="A923" s="44"/>
    </row>
    <row r="924" spans="1:1" x14ac:dyDescent="0.2">
      <c r="A924" s="44"/>
    </row>
    <row r="925" spans="1:1" x14ac:dyDescent="0.2">
      <c r="A925" s="44"/>
    </row>
    <row r="926" spans="1:1" x14ac:dyDescent="0.2">
      <c r="A926" s="44"/>
    </row>
    <row r="927" spans="1:1" x14ac:dyDescent="0.2">
      <c r="A927" s="44"/>
    </row>
    <row r="928" spans="1:1" x14ac:dyDescent="0.2">
      <c r="A928" s="44"/>
    </row>
    <row r="929" spans="1:1" x14ac:dyDescent="0.2">
      <c r="A929" s="44"/>
    </row>
    <row r="930" spans="1:1" x14ac:dyDescent="0.2">
      <c r="A930" s="44"/>
    </row>
    <row r="931" spans="1:1" x14ac:dyDescent="0.2">
      <c r="A931" s="44"/>
    </row>
    <row r="932" spans="1:1" x14ac:dyDescent="0.2">
      <c r="A932" s="44"/>
    </row>
    <row r="933" spans="1:1" x14ac:dyDescent="0.2">
      <c r="A933" s="44"/>
    </row>
    <row r="934" spans="1:1" x14ac:dyDescent="0.2">
      <c r="A934" s="44"/>
    </row>
    <row r="935" spans="1:1" x14ac:dyDescent="0.2">
      <c r="A935" s="44"/>
    </row>
    <row r="936" spans="1:1" x14ac:dyDescent="0.2">
      <c r="A936" s="44"/>
    </row>
    <row r="937" spans="1:1" x14ac:dyDescent="0.2">
      <c r="A937" s="44"/>
    </row>
    <row r="938" spans="1:1" x14ac:dyDescent="0.2">
      <c r="A938" s="44"/>
    </row>
    <row r="939" spans="1:1" x14ac:dyDescent="0.2">
      <c r="A939" s="44"/>
    </row>
    <row r="940" spans="1:1" x14ac:dyDescent="0.2">
      <c r="A940" s="44"/>
    </row>
    <row r="941" spans="1:1" x14ac:dyDescent="0.2">
      <c r="A941" s="44"/>
    </row>
    <row r="942" spans="1:1" x14ac:dyDescent="0.2">
      <c r="A942" s="44"/>
    </row>
    <row r="943" spans="1:1" x14ac:dyDescent="0.2">
      <c r="A943" s="44"/>
    </row>
    <row r="944" spans="1:1" x14ac:dyDescent="0.2">
      <c r="A944" s="44"/>
    </row>
    <row r="945" spans="1:1" x14ac:dyDescent="0.2">
      <c r="A945" s="44"/>
    </row>
    <row r="946" spans="1:1" x14ac:dyDescent="0.2">
      <c r="A946" s="44"/>
    </row>
    <row r="947" spans="1:1" x14ac:dyDescent="0.2">
      <c r="A947" s="44"/>
    </row>
    <row r="948" spans="1:1" x14ac:dyDescent="0.2">
      <c r="A948" s="44"/>
    </row>
    <row r="949" spans="1:1" x14ac:dyDescent="0.2">
      <c r="A949" s="44"/>
    </row>
    <row r="950" spans="1:1" x14ac:dyDescent="0.2">
      <c r="A950" s="44"/>
    </row>
    <row r="951" spans="1:1" x14ac:dyDescent="0.2">
      <c r="A951" s="44"/>
    </row>
    <row r="952" spans="1:1" x14ac:dyDescent="0.2">
      <c r="A952" s="44"/>
    </row>
    <row r="953" spans="1:1" x14ac:dyDescent="0.2">
      <c r="A953" s="44"/>
    </row>
    <row r="954" spans="1:1" x14ac:dyDescent="0.2">
      <c r="A954" s="44"/>
    </row>
    <row r="955" spans="1:1" x14ac:dyDescent="0.2">
      <c r="A955" s="44"/>
    </row>
    <row r="956" spans="1:1" x14ac:dyDescent="0.2">
      <c r="A956" s="44"/>
    </row>
    <row r="957" spans="1:1" x14ac:dyDescent="0.2">
      <c r="A957" s="44"/>
    </row>
    <row r="958" spans="1:1" x14ac:dyDescent="0.2">
      <c r="A958" s="44"/>
    </row>
    <row r="959" spans="1:1" x14ac:dyDescent="0.2">
      <c r="A959" s="44"/>
    </row>
    <row r="960" spans="1:1" x14ac:dyDescent="0.2">
      <c r="A960" s="44"/>
    </row>
    <row r="961" spans="1:1" x14ac:dyDescent="0.2">
      <c r="A961" s="44"/>
    </row>
    <row r="962" spans="1:1" x14ac:dyDescent="0.2">
      <c r="A962" s="44"/>
    </row>
    <row r="963" spans="1:1" x14ac:dyDescent="0.2">
      <c r="A963" s="44"/>
    </row>
    <row r="964" spans="1:1" x14ac:dyDescent="0.2">
      <c r="A964" s="44"/>
    </row>
    <row r="965" spans="1:1" x14ac:dyDescent="0.2">
      <c r="A965" s="44"/>
    </row>
    <row r="966" spans="1:1" x14ac:dyDescent="0.2">
      <c r="A966" s="44"/>
    </row>
    <row r="967" spans="1:1" x14ac:dyDescent="0.2">
      <c r="A967" s="44"/>
    </row>
    <row r="968" spans="1:1" x14ac:dyDescent="0.2">
      <c r="A968" s="44"/>
    </row>
    <row r="969" spans="1:1" x14ac:dyDescent="0.2">
      <c r="A969" s="44"/>
    </row>
    <row r="970" spans="1:1" x14ac:dyDescent="0.2">
      <c r="A970" s="44"/>
    </row>
    <row r="971" spans="1:1" x14ac:dyDescent="0.2">
      <c r="A971" s="44"/>
    </row>
    <row r="972" spans="1:1" x14ac:dyDescent="0.2">
      <c r="A972" s="44"/>
    </row>
    <row r="973" spans="1:1" x14ac:dyDescent="0.2">
      <c r="A973" s="44"/>
    </row>
    <row r="974" spans="1:1" x14ac:dyDescent="0.2">
      <c r="A974" s="44"/>
    </row>
    <row r="975" spans="1:1" x14ac:dyDescent="0.2">
      <c r="A975" s="44"/>
    </row>
    <row r="976" spans="1:1" x14ac:dyDescent="0.2">
      <c r="A976" s="44"/>
    </row>
    <row r="977" spans="1:1" x14ac:dyDescent="0.2">
      <c r="A977" s="44"/>
    </row>
    <row r="978" spans="1:1" x14ac:dyDescent="0.2">
      <c r="A978" s="44"/>
    </row>
    <row r="979" spans="1:1" x14ac:dyDescent="0.2">
      <c r="A979" s="44"/>
    </row>
    <row r="980" spans="1:1" x14ac:dyDescent="0.2">
      <c r="A980" s="44"/>
    </row>
    <row r="981" spans="1:1" x14ac:dyDescent="0.2">
      <c r="A981" s="44"/>
    </row>
    <row r="982" spans="1:1" x14ac:dyDescent="0.2">
      <c r="A982" s="44"/>
    </row>
    <row r="983" spans="1:1" x14ac:dyDescent="0.2">
      <c r="A983" s="44"/>
    </row>
    <row r="984" spans="1:1" x14ac:dyDescent="0.2">
      <c r="A984" s="44"/>
    </row>
    <row r="985" spans="1:1" x14ac:dyDescent="0.2">
      <c r="A985" s="44"/>
    </row>
    <row r="986" spans="1:1" x14ac:dyDescent="0.2">
      <c r="A986" s="44"/>
    </row>
    <row r="987" spans="1:1" x14ac:dyDescent="0.2">
      <c r="A987" s="44"/>
    </row>
    <row r="988" spans="1:1" x14ac:dyDescent="0.2">
      <c r="A988" s="44"/>
    </row>
    <row r="989" spans="1:1" x14ac:dyDescent="0.2">
      <c r="A989" s="44"/>
    </row>
    <row r="990" spans="1:1" x14ac:dyDescent="0.2">
      <c r="A990" s="44"/>
    </row>
    <row r="991" spans="1:1" x14ac:dyDescent="0.2">
      <c r="A991" s="44"/>
    </row>
    <row r="992" spans="1:1" x14ac:dyDescent="0.2">
      <c r="A992" s="44"/>
    </row>
    <row r="993" spans="1:1" x14ac:dyDescent="0.2">
      <c r="A993" s="44"/>
    </row>
    <row r="994" spans="1:1" x14ac:dyDescent="0.2">
      <c r="A994" s="44"/>
    </row>
    <row r="995" spans="1:1" x14ac:dyDescent="0.2">
      <c r="A995" s="46"/>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49"/>
  <sheetViews>
    <sheetView showGridLines="0" showRowColHeaders="0" zoomScaleNormal="60" zoomScaleSheetLayoutView="100" workbookViewId="0">
      <selection activeCell="B88" sqref="B88"/>
    </sheetView>
  </sheetViews>
  <sheetFormatPr defaultColWidth="9.14453125" defaultRowHeight="15" x14ac:dyDescent="0.2"/>
  <cols>
    <col min="1" max="1" width="14.796875" style="15" customWidth="1"/>
    <col min="2" max="2" width="18.5625" bestFit="1" customWidth="1"/>
    <col min="3" max="3" width="17.75390625" bestFit="1" customWidth="1"/>
    <col min="4" max="4" width="9.953125" bestFit="1" customWidth="1"/>
  </cols>
  <sheetData>
    <row r="1" spans="1:4" ht="18.75" x14ac:dyDescent="0.25">
      <c r="A1" s="78" t="s">
        <v>21</v>
      </c>
      <c r="B1" s="78"/>
      <c r="C1" s="78"/>
      <c r="D1" s="78"/>
    </row>
    <row r="2" spans="1:4" s="17" customFormat="1" x14ac:dyDescent="0.2">
      <c r="A2" s="19" t="s">
        <v>17</v>
      </c>
      <c r="B2" s="20" t="s">
        <v>19</v>
      </c>
      <c r="C2" s="20" t="s">
        <v>20</v>
      </c>
      <c r="D2" s="20" t="s">
        <v>18</v>
      </c>
    </row>
    <row r="3" spans="1:4" x14ac:dyDescent="0.2">
      <c r="A3" s="18">
        <v>46218</v>
      </c>
      <c r="B3" s="35">
        <f>SUMIFS(opérations[Reste],opérations[Date],A3,opérations[Type],"Créance")</f>
        <v>50</v>
      </c>
      <c r="C3" s="39">
        <f>SUMIFS(opérations[Reste],opérations[Date],A3,opérations[Type],"Dette")</f>
        <v>-200</v>
      </c>
      <c r="D3" s="35">
        <f>-Tableau3[[#This Row],[Total de Dettes ]]-Tableau3[[#This Row],[Total de Créance]]</f>
        <v>150</v>
      </c>
    </row>
    <row r="4" spans="1:4" x14ac:dyDescent="0.2">
      <c r="A4" s="18">
        <v>46219</v>
      </c>
      <c r="B4" s="35">
        <f>SUMIFS(opérations[Reste],opérations[Date],A4,opérations[Type],"Créance")</f>
        <v>6000</v>
      </c>
      <c r="C4" s="39">
        <f>SUMIFS(opérations[Reste],opérations[Date],A4,opérations[Type],"Dette")</f>
        <v>-500</v>
      </c>
      <c r="D4" s="35">
        <f>-Tableau3[[#This Row],[Total de Dettes ]]-Tableau3[[#This Row],[Total de Créance]]</f>
        <v>-5500</v>
      </c>
    </row>
    <row r="5" spans="1:4" x14ac:dyDescent="0.2">
      <c r="A5" s="18">
        <v>46220</v>
      </c>
      <c r="B5" s="35">
        <f>SUMIFS(opérations[Reste],opérations[Date],A5,opérations[Type],"Créance")</f>
        <v>250</v>
      </c>
      <c r="C5" s="39">
        <f>SUMIFS(opérations[Reste],opérations[Date],A5,opérations[Type],"Dette")</f>
        <v>-150</v>
      </c>
      <c r="D5" s="35">
        <f>-Tableau3[[#This Row],[Total de Dettes ]]-Tableau3[[#This Row],[Total de Créance]]</f>
        <v>-100</v>
      </c>
    </row>
    <row r="6" spans="1:4" x14ac:dyDescent="0.2">
      <c r="A6" s="18">
        <v>46221</v>
      </c>
      <c r="B6" s="35">
        <f>SUMIFS(opérations[Reste],opérations[Date],A6,opérations[Type],"Créance")</f>
        <v>0</v>
      </c>
      <c r="C6" s="39">
        <f>SUMIFS(opérations[Reste],opérations[Date],A6,opérations[Type],"Dette")</f>
        <v>-1250</v>
      </c>
      <c r="D6" s="35">
        <f>-Tableau3[[#This Row],[Total de Dettes ]]-Tableau3[[#This Row],[Total de Créance]]</f>
        <v>1250</v>
      </c>
    </row>
    <row r="7" spans="1:4" x14ac:dyDescent="0.2">
      <c r="A7" s="18">
        <v>46222</v>
      </c>
      <c r="B7" s="35">
        <f>SUMIFS(opérations[Reste],opérations[Date],A7,opérations[Type],"Créance")</f>
        <v>300</v>
      </c>
      <c r="C7" s="39">
        <f>SUMIFS(opérations[Reste],opérations[Date],A7,opérations[Type],"Dette")</f>
        <v>-350</v>
      </c>
      <c r="D7" s="35">
        <f>-Tableau3[[#This Row],[Total de Dettes ]]-Tableau3[[#This Row],[Total de Créance]]</f>
        <v>50</v>
      </c>
    </row>
    <row r="8" spans="1:4" x14ac:dyDescent="0.2">
      <c r="A8" s="18">
        <v>46223</v>
      </c>
      <c r="B8" s="35">
        <f>SUMIFS(opérations[Reste],opérations[Date],A8,opérations[Type],"Créance")</f>
        <v>2500</v>
      </c>
      <c r="C8" s="39">
        <f>SUMIFS(opérations[Reste],opérations[Date],A8,opérations[Type],"Dette")</f>
        <v>-250</v>
      </c>
      <c r="D8" s="35">
        <f>-Tableau3[[#This Row],[Total de Dettes ]]-Tableau3[[#This Row],[Total de Créance]]</f>
        <v>-2250</v>
      </c>
    </row>
    <row r="9" spans="1:4" x14ac:dyDescent="0.2">
      <c r="A9" s="18">
        <v>46224</v>
      </c>
      <c r="B9" s="35">
        <f>SUMIFS(opérations[Reste],opérations[Date],A9,opérations[Type],"Créance")</f>
        <v>3000</v>
      </c>
      <c r="C9" s="39">
        <f>SUMIFS(opérations[Reste],opérations[Date],A9,opérations[Type],"Dette")</f>
        <v>0</v>
      </c>
      <c r="D9" s="35">
        <f>-Tableau3[[#This Row],[Total de Dettes ]]-Tableau3[[#This Row],[Total de Créance]]</f>
        <v>-3000</v>
      </c>
    </row>
    <row r="10" spans="1:4" x14ac:dyDescent="0.2">
      <c r="A10" s="18">
        <v>46225</v>
      </c>
      <c r="B10" s="35">
        <f>SUMIFS(opérations[Reste],opérations[Date],A10,opérations[Type],"Créance")</f>
        <v>0</v>
      </c>
      <c r="C10" s="39">
        <f>SUMIFS(opérations[Reste],opérations[Date],A10,opérations[Type],"Dette")</f>
        <v>-1250</v>
      </c>
      <c r="D10" s="35">
        <f>-Tableau3[[#This Row],[Total de Dettes ]]-Tableau3[[#This Row],[Total de Créance]]</f>
        <v>1250</v>
      </c>
    </row>
    <row r="11" spans="1:4" x14ac:dyDescent="0.2">
      <c r="A11" s="18">
        <v>46226</v>
      </c>
      <c r="B11" s="35">
        <f>SUMIFS(opérations[Reste],opérations[Date],A11,opérations[Type],"Créance")</f>
        <v>1500</v>
      </c>
      <c r="C11" s="39">
        <f>SUMIFS(opérations[Reste],opérations[Date],A11,opérations[Type],"Dette")</f>
        <v>0</v>
      </c>
      <c r="D11" s="35">
        <f>-Tableau3[[#This Row],[Total de Dettes ]]-Tableau3[[#This Row],[Total de Créance]]</f>
        <v>-1500</v>
      </c>
    </row>
    <row r="12" spans="1:4" x14ac:dyDescent="0.2">
      <c r="A12" s="18">
        <v>46227</v>
      </c>
      <c r="B12" s="35">
        <f>SUMIFS(opérations[Reste],opérations[Date],A12,opérations[Type],"Créance")</f>
        <v>0</v>
      </c>
      <c r="C12" s="39">
        <f>SUMIFS(opérations[Reste],opérations[Date],A12,opérations[Type],"Dette")</f>
        <v>-750</v>
      </c>
      <c r="D12" s="35">
        <f>-Tableau3[[#This Row],[Total de Dettes ]]-Tableau3[[#This Row],[Total de Créance]]</f>
        <v>750</v>
      </c>
    </row>
    <row r="13" spans="1:4" x14ac:dyDescent="0.2">
      <c r="A13" s="18">
        <v>46228</v>
      </c>
      <c r="B13" s="35">
        <f>SUMIFS(opérations[Reste],opérations[Date],A13,opérations[Type],"Créance")</f>
        <v>0</v>
      </c>
      <c r="C13" s="39">
        <f>SUMIFS(opérations[Reste],opérations[Date],A13,opérations[Type],"Dette")</f>
        <v>0</v>
      </c>
      <c r="D13" s="35">
        <f>-Tableau3[[#This Row],[Total de Dettes ]]-Tableau3[[#This Row],[Total de Créance]]</f>
        <v>0</v>
      </c>
    </row>
    <row r="14" spans="1:4" x14ac:dyDescent="0.2">
      <c r="A14" s="18">
        <v>46229</v>
      </c>
      <c r="B14" s="35">
        <f>SUMIFS(opérations[Reste],opérations[Date],A14,opérations[Type],"Créance")</f>
        <v>0</v>
      </c>
      <c r="C14" s="39">
        <f>SUMIFS(opérations[Reste],opérations[Date],A14,opérations[Type],"Dette")</f>
        <v>0</v>
      </c>
      <c r="D14" s="35">
        <f>-Tableau3[[#This Row],[Total de Dettes ]]-Tableau3[[#This Row],[Total de Créance]]</f>
        <v>0</v>
      </c>
    </row>
    <row r="15" spans="1:4" x14ac:dyDescent="0.2">
      <c r="A15" s="18">
        <v>46230</v>
      </c>
      <c r="B15" s="35">
        <f>SUMIFS(opérations[Reste],opérations[Date],A15,opérations[Type],"Créance")</f>
        <v>0</v>
      </c>
      <c r="C15" s="39">
        <f>SUMIFS(opérations[Reste],opérations[Date],A15,opérations[Type],"Dette")</f>
        <v>0</v>
      </c>
      <c r="D15" s="35">
        <f>-Tableau3[[#This Row],[Total de Dettes ]]-Tableau3[[#This Row],[Total de Créance]]</f>
        <v>0</v>
      </c>
    </row>
    <row r="16" spans="1:4" x14ac:dyDescent="0.2">
      <c r="A16" s="18">
        <v>46231</v>
      </c>
      <c r="B16" s="35">
        <f>SUMIFS(opérations[Reste],opérations[Date],A16,opérations[Type],"Créance")</f>
        <v>0</v>
      </c>
      <c r="C16" s="39">
        <f>SUMIFS(opérations[Reste],opérations[Date],A16,opérations[Type],"Dette")</f>
        <v>0</v>
      </c>
      <c r="D16" s="35">
        <f>-Tableau3[[#This Row],[Total de Dettes ]]-Tableau3[[#This Row],[Total de Créance]]</f>
        <v>0</v>
      </c>
    </row>
    <row r="17" spans="1:4" x14ac:dyDescent="0.2">
      <c r="A17" s="18">
        <v>46232</v>
      </c>
      <c r="B17" s="35">
        <f>SUMIFS(opérations[Reste],opérations[Date],A17,opérations[Type],"Créance")</f>
        <v>7500</v>
      </c>
      <c r="C17" s="39">
        <f>SUMIFS(opérations[Reste],opérations[Date],A17,opérations[Type],"Dette")</f>
        <v>0</v>
      </c>
      <c r="D17" s="35">
        <f>-Tableau3[[#This Row],[Total de Dettes ]]-Tableau3[[#This Row],[Total de Créance]]</f>
        <v>-7500</v>
      </c>
    </row>
    <row r="18" spans="1:4" x14ac:dyDescent="0.2">
      <c r="A18" s="18">
        <v>46233</v>
      </c>
      <c r="B18" s="35">
        <f>SUMIFS(opérations[Reste],opérations[Date],A18,opérations[Type],"Créance")</f>
        <v>0</v>
      </c>
      <c r="C18" s="39">
        <f>SUMIFS(opérations[Reste],opérations[Date],A18,opérations[Type],"Dette")</f>
        <v>0</v>
      </c>
      <c r="D18" s="35">
        <f>-Tableau3[[#This Row],[Total de Dettes ]]-Tableau3[[#This Row],[Total de Créance]]</f>
        <v>0</v>
      </c>
    </row>
    <row r="19" spans="1:4" x14ac:dyDescent="0.2">
      <c r="A19" s="18">
        <v>46234</v>
      </c>
      <c r="B19" s="35">
        <f>SUMIFS(opérations[Reste],opérations[Date],A19,opérations[Type],"Créance")</f>
        <v>0</v>
      </c>
      <c r="C19" s="39">
        <f>SUMIFS(opérations[Reste],opérations[Date],A19,opérations[Type],"Dette")</f>
        <v>0</v>
      </c>
      <c r="D19" s="35">
        <f>-Tableau3[[#This Row],[Total de Dettes ]]-Tableau3[[#This Row],[Total de Créance]]</f>
        <v>0</v>
      </c>
    </row>
    <row r="20" spans="1:4" x14ac:dyDescent="0.2">
      <c r="A20" s="18">
        <v>46235</v>
      </c>
      <c r="B20" s="35">
        <f>SUMIFS(opérations[Reste],opérations[Date],A20,opérations[Type],"Créance")</f>
        <v>0</v>
      </c>
      <c r="C20" s="39">
        <f>SUMIFS(opérations[Reste],opérations[Date],A20,opérations[Type],"Dette")</f>
        <v>0</v>
      </c>
      <c r="D20" s="35">
        <f>-Tableau3[[#This Row],[Total de Dettes ]]-Tableau3[[#This Row],[Total de Créance]]</f>
        <v>0</v>
      </c>
    </row>
    <row r="21" spans="1:4" x14ac:dyDescent="0.2">
      <c r="A21" s="18">
        <v>46236</v>
      </c>
      <c r="B21" s="35">
        <f>SUMIFS(opérations[Reste],opérations[Date],A21,opérations[Type],"Créance")</f>
        <v>0</v>
      </c>
      <c r="C21" s="39">
        <f>SUMIFS(opérations[Reste],opérations[Date],A21,opérations[Type],"Dette")</f>
        <v>0</v>
      </c>
      <c r="D21" s="35">
        <f>-Tableau3[[#This Row],[Total de Dettes ]]-Tableau3[[#This Row],[Total de Créance]]</f>
        <v>0</v>
      </c>
    </row>
    <row r="22" spans="1:4" x14ac:dyDescent="0.2">
      <c r="A22" s="18">
        <v>46237</v>
      </c>
      <c r="B22" s="35">
        <f>SUMIFS(opérations[Reste],opérations[Date],A22,opérations[Type],"Créance")</f>
        <v>0</v>
      </c>
      <c r="C22" s="39">
        <f>SUMIFS(opérations[Reste],opérations[Date],A22,opérations[Type],"Dette")</f>
        <v>0</v>
      </c>
      <c r="D22" s="35">
        <f>-Tableau3[[#This Row],[Total de Dettes ]]-Tableau3[[#This Row],[Total de Créance]]</f>
        <v>0</v>
      </c>
    </row>
    <row r="23" spans="1:4" x14ac:dyDescent="0.2">
      <c r="A23" s="18">
        <v>46238</v>
      </c>
      <c r="B23" s="35">
        <f>SUMIFS(opérations[Reste],opérations[Date],A23,opérations[Type],"Créance")</f>
        <v>0</v>
      </c>
      <c r="C23" s="39">
        <f>SUMIFS(opérations[Reste],opérations[Date],A23,opérations[Type],"Dette")</f>
        <v>0</v>
      </c>
      <c r="D23" s="35">
        <f>-Tableau3[[#This Row],[Total de Dettes ]]-Tableau3[[#This Row],[Total de Créance]]</f>
        <v>0</v>
      </c>
    </row>
    <row r="24" spans="1:4" x14ac:dyDescent="0.2">
      <c r="A24" s="18">
        <v>46239</v>
      </c>
      <c r="B24" s="35">
        <f>SUMIFS(opérations[Reste],opérations[Date],A24,opérations[Type],"Créance")</f>
        <v>0</v>
      </c>
      <c r="C24" s="39">
        <f>SUMIFS(opérations[Reste],opérations[Date],A24,opérations[Type],"Dette")</f>
        <v>0</v>
      </c>
      <c r="D24" s="35">
        <f>-Tableau3[[#This Row],[Total de Dettes ]]-Tableau3[[#This Row],[Total de Créance]]</f>
        <v>0</v>
      </c>
    </row>
    <row r="25" spans="1:4" x14ac:dyDescent="0.2">
      <c r="A25" s="18">
        <v>46240</v>
      </c>
      <c r="B25" s="35">
        <f>SUMIFS(opérations[Reste],opérations[Date],A25,opérations[Type],"Créance")</f>
        <v>0</v>
      </c>
      <c r="C25" s="39">
        <f>SUMIFS(opérations[Reste],opérations[Date],A25,opérations[Type],"Dette")</f>
        <v>0</v>
      </c>
      <c r="D25" s="35">
        <f>-Tableau3[[#This Row],[Total de Dettes ]]-Tableau3[[#This Row],[Total de Créance]]</f>
        <v>0</v>
      </c>
    </row>
    <row r="26" spans="1:4" x14ac:dyDescent="0.2">
      <c r="A26" s="18">
        <v>46241</v>
      </c>
      <c r="B26" s="35">
        <f>SUMIFS(opérations[Reste],opérations[Date],A26,opérations[Type],"Créance")</f>
        <v>0</v>
      </c>
      <c r="C26" s="39">
        <f>SUMIFS(opérations[Reste],opérations[Date],A26,opérations[Type],"Dette")</f>
        <v>0</v>
      </c>
      <c r="D26" s="35">
        <f>-Tableau3[[#This Row],[Total de Dettes ]]-Tableau3[[#This Row],[Total de Créance]]</f>
        <v>0</v>
      </c>
    </row>
    <row r="27" spans="1:4" x14ac:dyDescent="0.2">
      <c r="A27" s="18">
        <v>46242</v>
      </c>
      <c r="B27" s="35">
        <f>SUMIFS(opérations[Reste],opérations[Date],A27,opérations[Type],"Créance")</f>
        <v>0</v>
      </c>
      <c r="C27" s="39">
        <f>SUMIFS(opérations[Reste],opérations[Date],A27,opérations[Type],"Dette")</f>
        <v>0</v>
      </c>
      <c r="D27" s="36">
        <f>-Tableau3[[#This Row],[Total de Dettes ]]-Tableau3[[#This Row],[Total de Créance]]</f>
        <v>0</v>
      </c>
    </row>
    <row r="28" spans="1:4" x14ac:dyDescent="0.2">
      <c r="A28" s="18">
        <v>46243</v>
      </c>
      <c r="B28" s="35">
        <f>SUMIFS(opérations[Reste],opérations[Date],A28,opérations[Type],"Créance")</f>
        <v>0</v>
      </c>
      <c r="C28" s="39">
        <f>SUMIFS(opérations[Reste],opérations[Date],A28,opérations[Type],"Dette")</f>
        <v>0</v>
      </c>
      <c r="D28" s="36">
        <f>-Tableau3[[#This Row],[Total de Dettes ]]-Tableau3[[#This Row],[Total de Créance]]</f>
        <v>0</v>
      </c>
    </row>
    <row r="29" spans="1:4" x14ac:dyDescent="0.2">
      <c r="A29" s="18">
        <v>46244</v>
      </c>
      <c r="B29" s="35">
        <f>SUMIFS(opérations[Reste],opérations[Date],A29,opérations[Type],"Créance")</f>
        <v>0</v>
      </c>
      <c r="C29" s="39">
        <f>SUMIFS(opérations[Reste],opérations[Date],A29,opérations[Type],"Dette")</f>
        <v>0</v>
      </c>
      <c r="D29" s="36">
        <f>-Tableau3[[#This Row],[Total de Dettes ]]-Tableau3[[#This Row],[Total de Créance]]</f>
        <v>0</v>
      </c>
    </row>
    <row r="30" spans="1:4" x14ac:dyDescent="0.2">
      <c r="A30" s="18">
        <v>46245</v>
      </c>
      <c r="B30" s="37">
        <f>SUMIFS(opérations[Reste],opérations[Date],A30,opérations[Type],"Créance")</f>
        <v>0</v>
      </c>
      <c r="C30" s="40">
        <f>SUMIFS(opérations[Reste],opérations[Date],A30,opérations[Type],"Dette")</f>
        <v>0</v>
      </c>
      <c r="D30" s="38">
        <f>-Tableau3[[#This Row],[Total de Dettes ]]-Tableau3[[#This Row],[Total de Créance]]</f>
        <v>0</v>
      </c>
    </row>
    <row r="31" spans="1:4" x14ac:dyDescent="0.2">
      <c r="A31" s="18">
        <v>46246</v>
      </c>
      <c r="B31" s="35">
        <f>SUMIFS(opérations[Reste],opérations[Date],A31,opérations[Type],"Créance")</f>
        <v>0</v>
      </c>
      <c r="C31" s="39">
        <f>SUMIFS(opérations[Reste],opérations[Date],A31,opérations[Type],"Dette")</f>
        <v>0</v>
      </c>
      <c r="D31" s="36">
        <f>-Tableau3[[#This Row],[Total de Dettes ]]-Tableau3[[#This Row],[Total de Créance]]</f>
        <v>0</v>
      </c>
    </row>
    <row r="32" spans="1:4" x14ac:dyDescent="0.2">
      <c r="A32" s="18">
        <v>46247</v>
      </c>
      <c r="B32" s="35">
        <f>SUMIFS(opérations[Reste],opérations[Date],A32,opérations[Type],"Créance")</f>
        <v>0</v>
      </c>
      <c r="C32" s="39">
        <f>SUMIFS(opérations[Reste],opérations[Date],A32,opérations[Type],"Dette")</f>
        <v>0</v>
      </c>
      <c r="D32" s="36">
        <f>-Tableau3[[#This Row],[Total de Dettes ]]-Tableau3[[#This Row],[Total de Créance]]</f>
        <v>0</v>
      </c>
    </row>
    <row r="33" spans="1:4" x14ac:dyDescent="0.2">
      <c r="A33" s="18">
        <v>46248</v>
      </c>
      <c r="B33" s="35">
        <f>SUMIFS(opérations[Reste],opérations[Date],A33,opérations[Type],"Créance")</f>
        <v>0</v>
      </c>
      <c r="C33" s="39">
        <f>SUMIFS(opérations[Reste],opérations[Date],A33,opérations[Type],"Dette")</f>
        <v>0</v>
      </c>
      <c r="D33" s="36">
        <f>-Tableau3[[#This Row],[Total de Dettes ]]-Tableau3[[#This Row],[Total de Créance]]</f>
        <v>0</v>
      </c>
    </row>
    <row r="34" spans="1:4" x14ac:dyDescent="0.2">
      <c r="A34" s="18">
        <v>46249</v>
      </c>
      <c r="B34" s="35">
        <f>SUMIFS(opérations[Reste],opérations[Date],A34,opérations[Type],"Créance")</f>
        <v>0</v>
      </c>
      <c r="C34" s="39">
        <f>SUMIFS(opérations[Reste],opérations[Date],A34,opérations[Type],"Dette")</f>
        <v>0</v>
      </c>
      <c r="D34" s="36">
        <f>-Tableau3[[#This Row],[Total de Dettes ]]-Tableau3[[#This Row],[Total de Créance]]</f>
        <v>0</v>
      </c>
    </row>
    <row r="35" spans="1:4" x14ac:dyDescent="0.2">
      <c r="A35" s="18">
        <v>46250</v>
      </c>
      <c r="B35" s="35">
        <f>SUMIFS(opérations[Reste],opérations[Date],A35,opérations[Type],"Créance")</f>
        <v>0</v>
      </c>
      <c r="C35" s="39">
        <f>SUMIFS(opérations[Reste],opérations[Date],A35,opérations[Type],"Dette")</f>
        <v>0</v>
      </c>
      <c r="D35" s="36">
        <f>-Tableau3[[#This Row],[Total de Dettes ]]-Tableau3[[#This Row],[Total de Créance]]</f>
        <v>0</v>
      </c>
    </row>
    <row r="36" spans="1:4" x14ac:dyDescent="0.2">
      <c r="A36" s="18">
        <v>46251</v>
      </c>
      <c r="B36" s="35">
        <f>SUMIFS(opérations[Reste],opérations[Date],A36,opérations[Type],"Créance")</f>
        <v>0</v>
      </c>
      <c r="C36" s="39">
        <f>SUMIFS(opérations[Reste],opérations[Date],A36,opérations[Type],"Dette")</f>
        <v>0</v>
      </c>
      <c r="D36" s="36">
        <f>-Tableau3[[#This Row],[Total de Dettes ]]-Tableau3[[#This Row],[Total de Créance]]</f>
        <v>0</v>
      </c>
    </row>
    <row r="37" spans="1:4" x14ac:dyDescent="0.2">
      <c r="A37" s="18">
        <v>46252</v>
      </c>
      <c r="B37" s="35">
        <f>SUMIFS(opérations[Reste],opérations[Date],A37,opérations[Type],"Créance")</f>
        <v>0</v>
      </c>
      <c r="C37" s="39">
        <f>SUMIFS(opérations[Reste],opérations[Date],A37,opérations[Type],"Dette")</f>
        <v>0</v>
      </c>
      <c r="D37" s="36">
        <f>-Tableau3[[#This Row],[Total de Dettes ]]-Tableau3[[#This Row],[Total de Créance]]</f>
        <v>0</v>
      </c>
    </row>
    <row r="38" spans="1:4" x14ac:dyDescent="0.2">
      <c r="A38" s="18">
        <v>46253</v>
      </c>
      <c r="B38" s="35">
        <f>SUMIFS(opérations[Reste],opérations[Date],A38,opérations[Type],"Créance")</f>
        <v>0</v>
      </c>
      <c r="C38" s="39">
        <f>SUMIFS(opérations[Reste],opérations[Date],A38,opérations[Type],"Dette")</f>
        <v>0</v>
      </c>
      <c r="D38" s="36">
        <f>-Tableau3[[#This Row],[Total de Dettes ]]-Tableau3[[#This Row],[Total de Créance]]</f>
        <v>0</v>
      </c>
    </row>
    <row r="39" spans="1:4" x14ac:dyDescent="0.2">
      <c r="A39" s="18">
        <v>46254</v>
      </c>
      <c r="B39" s="35">
        <f>SUMIFS(opérations[Reste],opérations[Date],A39,opérations[Type],"Créance")</f>
        <v>0</v>
      </c>
      <c r="C39" s="39">
        <f>SUMIFS(opérations[Reste],opérations[Date],A39,opérations[Type],"Dette")</f>
        <v>0</v>
      </c>
      <c r="D39" s="36">
        <f>-Tableau3[[#This Row],[Total de Dettes ]]-Tableau3[[#This Row],[Total de Créance]]</f>
        <v>0</v>
      </c>
    </row>
    <row r="40" spans="1:4" x14ac:dyDescent="0.2">
      <c r="A40" s="18">
        <v>46255</v>
      </c>
      <c r="B40" s="35">
        <f>SUMIFS(opérations[Reste],opérations[Date],A40,opérations[Type],"Créance")</f>
        <v>0</v>
      </c>
      <c r="C40" s="39">
        <f>SUMIFS(opérations[Reste],opérations[Date],A40,opérations[Type],"Dette")</f>
        <v>0</v>
      </c>
      <c r="D40" s="36">
        <f>-Tableau3[[#This Row],[Total de Dettes ]]-Tableau3[[#This Row],[Total de Créance]]</f>
        <v>0</v>
      </c>
    </row>
    <row r="41" spans="1:4" x14ac:dyDescent="0.2">
      <c r="A41" s="18">
        <v>46256</v>
      </c>
      <c r="B41" s="35">
        <f>SUMIFS(opérations[Reste],opérations[Date],A41,opérations[Type],"Créance")</f>
        <v>0</v>
      </c>
      <c r="C41" s="39">
        <f>SUMIFS(opérations[Reste],opérations[Date],A41,opérations[Type],"Dette")</f>
        <v>0</v>
      </c>
      <c r="D41" s="36">
        <f>-Tableau3[[#This Row],[Total de Dettes ]]-Tableau3[[#This Row],[Total de Créance]]</f>
        <v>0</v>
      </c>
    </row>
    <row r="42" spans="1:4" x14ac:dyDescent="0.2">
      <c r="A42" s="18">
        <v>46257</v>
      </c>
      <c r="B42" s="35">
        <f>SUMIFS(opérations[Reste],opérations[Date],A42,opérations[Type],"Créance")</f>
        <v>0</v>
      </c>
      <c r="C42" s="39">
        <f>SUMIFS(opérations[Reste],opérations[Date],A42,opérations[Type],"Dette")</f>
        <v>0</v>
      </c>
      <c r="D42" s="36">
        <f>-Tableau3[[#This Row],[Total de Dettes ]]-Tableau3[[#This Row],[Total de Créance]]</f>
        <v>0</v>
      </c>
    </row>
    <row r="43" spans="1:4" x14ac:dyDescent="0.2">
      <c r="A43" s="18">
        <v>46258</v>
      </c>
      <c r="B43" s="37">
        <f>SUMIFS(opérations[Reste],opérations[Date],A43,opérations[Type],"Créance")</f>
        <v>0</v>
      </c>
      <c r="C43" s="40">
        <f>SUMIFS(opérations[Reste],opérations[Date],A43,opérations[Type],"Dette")</f>
        <v>0</v>
      </c>
      <c r="D43" s="38">
        <f>-Tableau3[[#This Row],[Total de Dettes ]]-Tableau3[[#This Row],[Total de Créance]]</f>
        <v>0</v>
      </c>
    </row>
    <row r="44" spans="1:4" x14ac:dyDescent="0.2">
      <c r="A44" s="18">
        <v>46259</v>
      </c>
      <c r="B44" s="35">
        <f>SUMIFS(opérations[Reste],opérations[Date],A44,opérations[Type],"Créance")</f>
        <v>0</v>
      </c>
      <c r="C44" s="39">
        <f>SUMIFS(opérations[Reste],opérations[Date],A44,opérations[Type],"Dette")</f>
        <v>0</v>
      </c>
      <c r="D44" s="36">
        <f>-Tableau3[[#This Row],[Total de Dettes ]]-Tableau3[[#This Row],[Total de Créance]]</f>
        <v>0</v>
      </c>
    </row>
    <row r="45" spans="1:4" x14ac:dyDescent="0.2">
      <c r="A45" s="18">
        <v>46260</v>
      </c>
      <c r="B45" s="35">
        <f>SUMIFS(opérations[Reste],opérations[Date],A45,opérations[Type],"Créance")</f>
        <v>0</v>
      </c>
      <c r="C45" s="39">
        <f>SUMIFS(opérations[Reste],opérations[Date],A45,opérations[Type],"Dette")</f>
        <v>0</v>
      </c>
      <c r="D45" s="36">
        <f>-Tableau3[[#This Row],[Total de Dettes ]]-Tableau3[[#This Row],[Total de Créance]]</f>
        <v>0</v>
      </c>
    </row>
    <row r="46" spans="1:4" x14ac:dyDescent="0.2">
      <c r="A46" s="18">
        <v>46261</v>
      </c>
      <c r="B46" s="35">
        <f>SUMIFS(opérations[Reste],opérations[Date],A46,opérations[Type],"Créance")</f>
        <v>0</v>
      </c>
      <c r="C46" s="39">
        <f>SUMIFS(opérations[Reste],opérations[Date],A46,opérations[Type],"Dette")</f>
        <v>0</v>
      </c>
      <c r="D46" s="36">
        <f>-Tableau3[[#This Row],[Total de Dettes ]]-Tableau3[[#This Row],[Total de Créance]]</f>
        <v>0</v>
      </c>
    </row>
    <row r="47" spans="1:4" x14ac:dyDescent="0.2">
      <c r="A47" s="18">
        <v>46262</v>
      </c>
      <c r="B47" s="37">
        <f>SUMIFS(opérations[Reste],opérations[Date],A47,opérations[Type],"Créance")</f>
        <v>0</v>
      </c>
      <c r="C47" s="40">
        <f>SUMIFS(opérations[Reste],opérations[Date],A47,opérations[Type],"Dette")</f>
        <v>0</v>
      </c>
      <c r="D47" s="38">
        <f>-Tableau3[[#This Row],[Total de Dettes ]]-Tableau3[[#This Row],[Total de Créance]]</f>
        <v>0</v>
      </c>
    </row>
    <row r="48" spans="1:4" x14ac:dyDescent="0.2">
      <c r="A48" s="18">
        <v>46263</v>
      </c>
      <c r="B48" s="35">
        <f>SUMIFS(opérations[Reste],opérations[Date],A48,opérations[Type],"Créance")</f>
        <v>0</v>
      </c>
      <c r="C48" s="39">
        <f>SUMIFS(opérations[Reste],opérations[Date],A48,opérations[Type],"Dette")</f>
        <v>0</v>
      </c>
      <c r="D48" s="36">
        <f>-Tableau3[[#This Row],[Total de Dettes ]]-Tableau3[[#This Row],[Total de Créance]]</f>
        <v>0</v>
      </c>
    </row>
    <row r="49" spans="1:4" x14ac:dyDescent="0.2">
      <c r="A49" s="18">
        <v>46264</v>
      </c>
      <c r="B49" s="37">
        <f>SUMIFS(opérations[Reste],opérations[Date],A49,opérations[Type],"Créance")</f>
        <v>0</v>
      </c>
      <c r="C49" s="40">
        <f>SUMIFS(opérations[Reste],opérations[Date],A49,opérations[Type],"Dette")</f>
        <v>0</v>
      </c>
      <c r="D49" s="38">
        <f>-Tableau3[[#This Row],[Total de Dettes ]]-Tableau3[[#This Row],[Total de Créance]]</f>
        <v>0</v>
      </c>
    </row>
  </sheetData>
  <mergeCells count="1">
    <mergeCell ref="A1:D1"/>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61"/>
  <sheetViews>
    <sheetView showGridLines="0" showRowColHeaders="0" zoomScaleNormal="60" zoomScaleSheetLayoutView="100" workbookViewId="0">
      <selection activeCell="A138" sqref="A138"/>
    </sheetView>
  </sheetViews>
  <sheetFormatPr defaultColWidth="9.14453125" defaultRowHeight="15" x14ac:dyDescent="0.2"/>
  <cols>
    <col min="1" max="1" width="147.4375" bestFit="1" customWidth="1"/>
    <col min="2" max="2" width="28.515625" bestFit="1" customWidth="1"/>
    <col min="3" max="3" width="103.58203125" bestFit="1" customWidth="1"/>
  </cols>
  <sheetData>
    <row r="1" spans="1:1" ht="33" x14ac:dyDescent="0.2">
      <c r="A1" s="27" t="s">
        <v>66</v>
      </c>
    </row>
    <row r="3" spans="1:1" ht="18.75" x14ac:dyDescent="0.25">
      <c r="A3" s="25" t="s">
        <v>24</v>
      </c>
    </row>
    <row r="4" spans="1:1" x14ac:dyDescent="0.2">
      <c r="A4" t="s">
        <v>55</v>
      </c>
    </row>
    <row r="5" spans="1:1" x14ac:dyDescent="0.2">
      <c r="A5" t="s">
        <v>32</v>
      </c>
    </row>
    <row r="6" spans="1:1" x14ac:dyDescent="0.2">
      <c r="A6" t="s">
        <v>36</v>
      </c>
    </row>
    <row r="7" spans="1:1" x14ac:dyDescent="0.2">
      <c r="A7" t="s">
        <v>41</v>
      </c>
    </row>
    <row r="8" spans="1:1" x14ac:dyDescent="0.2">
      <c r="A8" t="s">
        <v>45</v>
      </c>
    </row>
    <row r="9" spans="1:1" x14ac:dyDescent="0.2">
      <c r="A9" s="21"/>
    </row>
    <row r="10" spans="1:1" x14ac:dyDescent="0.2">
      <c r="A10" s="21"/>
    </row>
    <row r="11" spans="1:1" ht="18.75" x14ac:dyDescent="0.25">
      <c r="A11" s="25" t="s">
        <v>25</v>
      </c>
    </row>
    <row r="12" spans="1:1" x14ac:dyDescent="0.2">
      <c r="A12" t="s">
        <v>29</v>
      </c>
    </row>
    <row r="13" spans="1:1" x14ac:dyDescent="0.2">
      <c r="A13" t="s">
        <v>33</v>
      </c>
    </row>
    <row r="14" spans="1:1" x14ac:dyDescent="0.2">
      <c r="A14" t="s">
        <v>37</v>
      </c>
    </row>
    <row r="15" spans="1:1" x14ac:dyDescent="0.2">
      <c r="A15" t="s">
        <v>65</v>
      </c>
    </row>
    <row r="16" spans="1:1" x14ac:dyDescent="0.2">
      <c r="A16" t="s">
        <v>64</v>
      </c>
    </row>
    <row r="17" spans="1:1" x14ac:dyDescent="0.2">
      <c r="A17" t="s">
        <v>56</v>
      </c>
    </row>
    <row r="19" spans="1:1" ht="18.75" x14ac:dyDescent="0.25">
      <c r="A19" s="25" t="s">
        <v>26</v>
      </c>
    </row>
    <row r="20" spans="1:1" x14ac:dyDescent="0.2">
      <c r="A20" s="11" t="s">
        <v>30</v>
      </c>
    </row>
    <row r="21" spans="1:1" x14ac:dyDescent="0.2">
      <c r="A21" t="s">
        <v>34</v>
      </c>
    </row>
    <row r="22" spans="1:1" x14ac:dyDescent="0.2">
      <c r="A22" t="s">
        <v>38</v>
      </c>
    </row>
    <row r="23" spans="1:1" x14ac:dyDescent="0.2">
      <c r="A23" t="s">
        <v>42</v>
      </c>
    </row>
    <row r="24" spans="1:1" x14ac:dyDescent="0.2">
      <c r="A24" t="s">
        <v>57</v>
      </c>
    </row>
    <row r="27" spans="1:1" ht="18.75" x14ac:dyDescent="0.25">
      <c r="A27" s="25" t="s">
        <v>27</v>
      </c>
    </row>
    <row r="28" spans="1:1" x14ac:dyDescent="0.2">
      <c r="A28" t="s">
        <v>31</v>
      </c>
    </row>
    <row r="29" spans="1:1" x14ac:dyDescent="0.2">
      <c r="A29" t="s">
        <v>35</v>
      </c>
    </row>
    <row r="30" spans="1:1" x14ac:dyDescent="0.2">
      <c r="A30" t="s">
        <v>39</v>
      </c>
    </row>
    <row r="31" spans="1:1" x14ac:dyDescent="0.2">
      <c r="A31" t="s">
        <v>43</v>
      </c>
    </row>
    <row r="32" spans="1:1" x14ac:dyDescent="0.2">
      <c r="A32" t="s">
        <v>46</v>
      </c>
    </row>
    <row r="35" spans="1:1" ht="18.75" x14ac:dyDescent="0.25">
      <c r="A35" s="25" t="s">
        <v>28</v>
      </c>
    </row>
    <row r="36" spans="1:1" x14ac:dyDescent="0.2">
      <c r="A36" t="s">
        <v>67</v>
      </c>
    </row>
    <row r="37" spans="1:1" x14ac:dyDescent="0.2">
      <c r="A37" t="s">
        <v>68</v>
      </c>
    </row>
    <row r="38" spans="1:1" x14ac:dyDescent="0.2">
      <c r="A38" t="s">
        <v>40</v>
      </c>
    </row>
    <row r="39" spans="1:1" x14ac:dyDescent="0.2">
      <c r="A39" t="s">
        <v>44</v>
      </c>
    </row>
    <row r="40" spans="1:1" x14ac:dyDescent="0.2">
      <c r="A40" t="s">
        <v>58</v>
      </c>
    </row>
    <row r="42" spans="1:1" ht="18.75" x14ac:dyDescent="0.25">
      <c r="A42" s="26" t="s">
        <v>47</v>
      </c>
    </row>
    <row r="43" spans="1:1" ht="16.5" x14ac:dyDescent="0.25">
      <c r="A43" s="22" t="s">
        <v>48</v>
      </c>
    </row>
    <row r="44" spans="1:1" ht="17.25" x14ac:dyDescent="0.2">
      <c r="A44" s="22" t="s">
        <v>54</v>
      </c>
    </row>
    <row r="45" spans="1:1" ht="16.5" x14ac:dyDescent="0.25">
      <c r="A45" s="22" t="s">
        <v>49</v>
      </c>
    </row>
    <row r="46" spans="1:1" ht="18.75" x14ac:dyDescent="0.25">
      <c r="A46" s="26" t="s">
        <v>50</v>
      </c>
    </row>
    <row r="47" spans="1:1" ht="17.25" x14ac:dyDescent="0.2">
      <c r="A47" s="22" t="s">
        <v>53</v>
      </c>
    </row>
    <row r="48" spans="1:1" ht="16.5" x14ac:dyDescent="0.25">
      <c r="A48" s="22" t="s">
        <v>51</v>
      </c>
    </row>
    <row r="49" spans="1:1" ht="16.5" x14ac:dyDescent="0.25">
      <c r="A49" s="22" t="s">
        <v>52</v>
      </c>
    </row>
    <row r="52" spans="1:1" ht="18.75" x14ac:dyDescent="0.25">
      <c r="A52" s="25" t="s">
        <v>59</v>
      </c>
    </row>
    <row r="53" spans="1:1" ht="48" x14ac:dyDescent="0.25">
      <c r="A53" s="29" t="s">
        <v>70</v>
      </c>
    </row>
    <row r="54" spans="1:1" ht="17.25" x14ac:dyDescent="0.25">
      <c r="A54" s="23"/>
    </row>
    <row r="55" spans="1:1" ht="17.25" x14ac:dyDescent="0.25">
      <c r="A55" s="23"/>
    </row>
    <row r="56" spans="1:1" ht="18.75" x14ac:dyDescent="0.25">
      <c r="A56" s="25" t="s">
        <v>61</v>
      </c>
    </row>
    <row r="57" spans="1:1" ht="16.5" x14ac:dyDescent="0.25">
      <c r="A57" s="28" t="s">
        <v>63</v>
      </c>
    </row>
    <row r="58" spans="1:1" ht="21" x14ac:dyDescent="0.3">
      <c r="A58" s="24"/>
    </row>
    <row r="59" spans="1:1" ht="17.25" x14ac:dyDescent="0.25">
      <c r="A59" s="22"/>
    </row>
    <row r="60" spans="1:1" ht="18.75" x14ac:dyDescent="0.25">
      <c r="A60" s="25" t="s">
        <v>62</v>
      </c>
    </row>
    <row r="61" spans="1:1" ht="32.25" x14ac:dyDescent="0.25">
      <c r="A61" s="23" t="s">
        <v>60</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Feuilles de calcul</vt:lpstr>
      </vt:variant>
      <vt:variant>
        <vt:i4>5</vt:i4>
      </vt:variant>
    </vt:vector>
  </HeadingPairs>
  <TitlesOfParts>
    <vt:vector size="5" baseType="lpstr">
      <vt:lpstr>📊 Recherche</vt:lpstr>
      <vt:lpstr>📑 Operations</vt:lpstr>
      <vt:lpstr>👥️️ Clients</vt:lpstr>
      <vt:lpstr>📈  Système des opérations </vt:lpstr>
      <vt:lpstr>👤Guide d'utilisation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CISSE GSM</cp:lastModifiedBy>
  <dcterms:created xsi:type="dcterms:W3CDTF">2026-04-11T15:09:08Z</dcterms:created>
  <dcterms:modified xsi:type="dcterms:W3CDTF">2026-03-12T11:38:02Z</dcterms:modified>
</cp:coreProperties>
</file>