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2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ISSE GSM\Desktop\Ma Boutique\"/>
    </mc:Choice>
  </mc:AlternateContent>
  <bookViews>
    <workbookView xWindow="0" yWindow="0" windowWidth="20490" windowHeight="7635"/>
  </bookViews>
  <sheets>
    <sheet name="Tableau de bord" sheetId="4" r:id="rId1"/>
    <sheet name="Stock" sheetId="1" r:id="rId2"/>
    <sheet name="Admin" sheetId="3" r:id="rId3"/>
    <sheet name="Base de données" sheetId="2" r:id="rId4"/>
  </sheets>
  <definedNames>
    <definedName name="ChronologieNative_Date_et_heure">#N/A</definedName>
    <definedName name="ChronologieNative_Dates">#N/A</definedName>
  </definedNames>
  <calcPr calcId="152511"/>
  <pivotCaches>
    <pivotCache cacheId="0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6" i="2" l="1"/>
  <c r="H276" i="2" s="1"/>
  <c r="I276" i="2"/>
  <c r="G275" i="2" l="1"/>
  <c r="H275" i="2" s="1"/>
  <c r="I275" i="2"/>
  <c r="G274" i="2"/>
  <c r="H274" i="2" s="1"/>
  <c r="I274" i="2"/>
  <c r="G273" i="2"/>
  <c r="H273" i="2" s="1"/>
  <c r="I273" i="2"/>
  <c r="G272" i="2"/>
  <c r="H272" i="2" s="1"/>
  <c r="I272" i="2"/>
  <c r="G271" i="2"/>
  <c r="H271" i="2" s="1"/>
  <c r="I271" i="2"/>
  <c r="G270" i="2"/>
  <c r="H270" i="2" s="1"/>
  <c r="I270" i="2"/>
  <c r="G269" i="2"/>
  <c r="H269" i="2" s="1"/>
  <c r="I269" i="2"/>
  <c r="G268" i="2" l="1"/>
  <c r="H268" i="2" s="1"/>
  <c r="I268" i="2"/>
  <c r="G267" i="2"/>
  <c r="H267" i="2" s="1"/>
  <c r="I267" i="2"/>
  <c r="G266" i="2"/>
  <c r="H266" i="2" s="1"/>
  <c r="I266" i="2"/>
  <c r="G265" i="2"/>
  <c r="H265" i="2" s="1"/>
  <c r="I265" i="2"/>
  <c r="G264" i="2"/>
  <c r="H264" i="2" s="1"/>
  <c r="I264" i="2"/>
  <c r="C7" i="3" l="1"/>
  <c r="G263" i="2"/>
  <c r="H263" i="2" s="1"/>
  <c r="I263" i="2"/>
  <c r="G262" i="2"/>
  <c r="H262" i="2" s="1"/>
  <c r="I262" i="2"/>
  <c r="G261" i="2"/>
  <c r="H261" i="2" s="1"/>
  <c r="I261" i="2"/>
  <c r="G260" i="2"/>
  <c r="H260" i="2" s="1"/>
  <c r="I260" i="2"/>
  <c r="G259" i="2"/>
  <c r="H259" i="2" s="1"/>
  <c r="I259" i="2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2" i="1"/>
  <c r="K2" i="1" s="1"/>
  <c r="G258" i="2"/>
  <c r="H258" i="2" s="1"/>
  <c r="I258" i="2"/>
  <c r="G257" i="2"/>
  <c r="H257" i="2" s="1"/>
  <c r="I257" i="2"/>
  <c r="G256" i="2"/>
  <c r="H256" i="2" s="1"/>
  <c r="I256" i="2"/>
  <c r="G255" i="2"/>
  <c r="H255" i="2" s="1"/>
  <c r="I255" i="2"/>
  <c r="G254" i="2"/>
  <c r="H254" i="2" s="1"/>
  <c r="I254" i="2"/>
  <c r="G253" i="2"/>
  <c r="H253" i="2" s="1"/>
  <c r="I253" i="2"/>
  <c r="G252" i="2"/>
  <c r="H252" i="2" s="1"/>
  <c r="I252" i="2"/>
  <c r="G251" i="2"/>
  <c r="H251" i="2" s="1"/>
  <c r="I251" i="2"/>
  <c r="G250" i="2"/>
  <c r="H250" i="2" s="1"/>
  <c r="I250" i="2"/>
  <c r="G249" i="2"/>
  <c r="H249" i="2" s="1"/>
  <c r="I249" i="2"/>
  <c r="G248" i="2"/>
  <c r="H248" i="2" s="1"/>
  <c r="I248" i="2"/>
  <c r="G247" i="2"/>
  <c r="H247" i="2" s="1"/>
  <c r="I247" i="2"/>
  <c r="G246" i="2"/>
  <c r="H246" i="2" s="1"/>
  <c r="I246" i="2"/>
  <c r="G245" i="2"/>
  <c r="H245" i="2" s="1"/>
  <c r="I245" i="2"/>
  <c r="E55" i="1"/>
  <c r="G244" i="2"/>
  <c r="H244" i="2" s="1"/>
  <c r="I244" i="2"/>
  <c r="G243" i="2"/>
  <c r="H243" i="2" s="1"/>
  <c r="I243" i="2"/>
  <c r="G242" i="2"/>
  <c r="H242" i="2" s="1"/>
  <c r="I242" i="2"/>
  <c r="G241" i="2"/>
  <c r="H241" i="2" s="1"/>
  <c r="I241" i="2"/>
  <c r="G240" i="2"/>
  <c r="H240" i="2" s="1"/>
  <c r="I240" i="2"/>
  <c r="G239" i="2"/>
  <c r="H239" i="2" s="1"/>
  <c r="I239" i="2"/>
  <c r="G238" i="2"/>
  <c r="H238" i="2" s="1"/>
  <c r="I238" i="2"/>
  <c r="G237" i="2"/>
  <c r="H237" i="2" s="1"/>
  <c r="I237" i="2"/>
  <c r="G236" i="2"/>
  <c r="H236" i="2" s="1"/>
  <c r="I236" i="2"/>
  <c r="G235" i="2"/>
  <c r="H235" i="2" s="1"/>
  <c r="I235" i="2"/>
  <c r="G234" i="2"/>
  <c r="H234" i="2" s="1"/>
  <c r="I234" i="2"/>
  <c r="G233" i="2"/>
  <c r="H233" i="2" s="1"/>
  <c r="I233" i="2"/>
  <c r="G232" i="2"/>
  <c r="H232" i="2" s="1"/>
  <c r="I232" i="2"/>
  <c r="G231" i="2"/>
  <c r="H231" i="2" s="1"/>
  <c r="I231" i="2"/>
  <c r="G230" i="2"/>
  <c r="H230" i="2" s="1"/>
  <c r="I230" i="2"/>
  <c r="G229" i="2"/>
  <c r="H229" i="2" s="1"/>
  <c r="I229" i="2"/>
  <c r="G228" i="2"/>
  <c r="H228" i="2" s="1"/>
  <c r="I228" i="2"/>
  <c r="G227" i="2"/>
  <c r="H227" i="2" s="1"/>
  <c r="I227" i="2"/>
  <c r="G226" i="2"/>
  <c r="H226" i="2" s="1"/>
  <c r="I226" i="2"/>
  <c r="G225" i="2"/>
  <c r="H225" i="2" s="1"/>
  <c r="I225" i="2"/>
  <c r="G224" i="2"/>
  <c r="H224" i="2" s="1"/>
  <c r="I224" i="2"/>
  <c r="G223" i="2"/>
  <c r="H223" i="2" s="1"/>
  <c r="I223" i="2"/>
  <c r="G222" i="2"/>
  <c r="H222" i="2" s="1"/>
  <c r="I222" i="2"/>
  <c r="G221" i="2"/>
  <c r="H221" i="2" s="1"/>
  <c r="I221" i="2"/>
  <c r="G220" i="2"/>
  <c r="H220" i="2" s="1"/>
  <c r="I220" i="2"/>
  <c r="G219" i="2"/>
  <c r="H219" i="2" s="1"/>
  <c r="I219" i="2"/>
  <c r="G218" i="2"/>
  <c r="H218" i="2" s="1"/>
  <c r="I218" i="2"/>
  <c r="G217" i="2"/>
  <c r="H217" i="2" s="1"/>
  <c r="I217" i="2"/>
  <c r="G216" i="2"/>
  <c r="H216" i="2" s="1"/>
  <c r="I216" i="2"/>
  <c r="G215" i="2"/>
  <c r="H215" i="2" s="1"/>
  <c r="I215" i="2"/>
  <c r="G214" i="2"/>
  <c r="H214" i="2" s="1"/>
  <c r="I214" i="2"/>
  <c r="G213" i="2"/>
  <c r="H213" i="2" s="1"/>
  <c r="I213" i="2"/>
  <c r="G212" i="2"/>
  <c r="H212" i="2" s="1"/>
  <c r="I212" i="2"/>
  <c r="G211" i="2"/>
  <c r="H211" i="2" s="1"/>
  <c r="I211" i="2"/>
  <c r="G210" i="2"/>
  <c r="H210" i="2" s="1"/>
  <c r="I210" i="2"/>
  <c r="G209" i="2"/>
  <c r="H209" i="2" s="1"/>
  <c r="I209" i="2"/>
  <c r="G208" i="2"/>
  <c r="H208" i="2" s="1"/>
  <c r="I208" i="2"/>
  <c r="G207" i="2"/>
  <c r="H207" i="2" s="1"/>
  <c r="I207" i="2"/>
  <c r="G206" i="2"/>
  <c r="H206" i="2" s="1"/>
  <c r="I206" i="2"/>
  <c r="G205" i="2"/>
  <c r="H205" i="2" s="1"/>
  <c r="I205" i="2"/>
  <c r="G204" i="2"/>
  <c r="H204" i="2" s="1"/>
  <c r="I204" i="2"/>
  <c r="G203" i="2"/>
  <c r="H203" i="2" s="1"/>
  <c r="I203" i="2"/>
  <c r="G202" i="2"/>
  <c r="H202" i="2" s="1"/>
  <c r="I202" i="2"/>
  <c r="G201" i="2"/>
  <c r="H201" i="2" s="1"/>
  <c r="I201" i="2"/>
  <c r="G200" i="2"/>
  <c r="H200" i="2" s="1"/>
  <c r="I200" i="2"/>
  <c r="G199" i="2"/>
  <c r="H199" i="2" s="1"/>
  <c r="I199" i="2"/>
  <c r="G198" i="2"/>
  <c r="H198" i="2" s="1"/>
  <c r="I198" i="2"/>
  <c r="G197" i="2"/>
  <c r="H197" i="2" s="1"/>
  <c r="I197" i="2"/>
  <c r="G196" i="2"/>
  <c r="H196" i="2" s="1"/>
  <c r="I196" i="2"/>
  <c r="G195" i="2"/>
  <c r="H195" i="2" s="1"/>
  <c r="I195" i="2"/>
  <c r="G194" i="2"/>
  <c r="H194" i="2" s="1"/>
  <c r="I194" i="2"/>
  <c r="G193" i="2"/>
  <c r="H193" i="2" s="1"/>
  <c r="I193" i="2"/>
  <c r="G192" i="2"/>
  <c r="H192" i="2" s="1"/>
  <c r="I192" i="2"/>
  <c r="G191" i="2"/>
  <c r="H191" i="2" s="1"/>
  <c r="I191" i="2"/>
  <c r="G190" i="2"/>
  <c r="H190" i="2" s="1"/>
  <c r="I190" i="2"/>
  <c r="G189" i="2"/>
  <c r="H189" i="2" s="1"/>
  <c r="I189" i="2"/>
  <c r="G188" i="2"/>
  <c r="H188" i="2" s="1"/>
  <c r="I188" i="2"/>
  <c r="G187" i="2"/>
  <c r="H187" i="2" s="1"/>
  <c r="I187" i="2"/>
  <c r="G186" i="2"/>
  <c r="H186" i="2" s="1"/>
  <c r="I186" i="2"/>
  <c r="G185" i="2"/>
  <c r="H185" i="2" s="1"/>
  <c r="I185" i="2"/>
  <c r="G184" i="2"/>
  <c r="H184" i="2" s="1"/>
  <c r="I184" i="2"/>
  <c r="G183" i="2"/>
  <c r="H183" i="2" s="1"/>
  <c r="I183" i="2"/>
  <c r="G182" i="2"/>
  <c r="H182" i="2" s="1"/>
  <c r="I182" i="2"/>
  <c r="G181" i="2"/>
  <c r="H181" i="2" s="1"/>
  <c r="I181" i="2"/>
  <c r="G180" i="2"/>
  <c r="H180" i="2" s="1"/>
  <c r="I180" i="2"/>
  <c r="G179" i="2"/>
  <c r="H179" i="2" s="1"/>
  <c r="I179" i="2"/>
  <c r="G178" i="2"/>
  <c r="H178" i="2" s="1"/>
  <c r="I178" i="2"/>
  <c r="G177" i="2"/>
  <c r="H177" i="2" s="1"/>
  <c r="I177" i="2"/>
  <c r="G176" i="2" l="1"/>
  <c r="H176" i="2" s="1"/>
  <c r="I176" i="2"/>
  <c r="G175" i="2"/>
  <c r="H175" i="2" s="1"/>
  <c r="I175" i="2"/>
  <c r="G174" i="2"/>
  <c r="H174" i="2" s="1"/>
  <c r="I174" i="2"/>
  <c r="G173" i="2"/>
  <c r="H173" i="2" s="1"/>
  <c r="I173" i="2"/>
  <c r="G172" i="2"/>
  <c r="H172" i="2" s="1"/>
  <c r="I172" i="2"/>
  <c r="G171" i="2"/>
  <c r="H171" i="2" s="1"/>
  <c r="I171" i="2"/>
  <c r="G170" i="2" l="1"/>
  <c r="H170" i="2" s="1"/>
  <c r="I170" i="2"/>
  <c r="G169" i="2" l="1"/>
  <c r="H169" i="2" s="1"/>
  <c r="I169" i="2"/>
  <c r="G168" i="2"/>
  <c r="H168" i="2" s="1"/>
  <c r="I168" i="2"/>
  <c r="G167" i="2"/>
  <c r="H167" i="2" s="1"/>
  <c r="I167" i="2"/>
  <c r="G166" i="2"/>
  <c r="H166" i="2" s="1"/>
  <c r="I166" i="2"/>
  <c r="G165" i="2"/>
  <c r="H165" i="2" s="1"/>
  <c r="I165" i="2"/>
  <c r="G164" i="2"/>
  <c r="H164" i="2" s="1"/>
  <c r="I164" i="2"/>
  <c r="G163" i="2"/>
  <c r="H163" i="2" s="1"/>
  <c r="I163" i="2"/>
  <c r="G162" i="2"/>
  <c r="H162" i="2" s="1"/>
  <c r="I162" i="2"/>
  <c r="G161" i="2" l="1"/>
  <c r="H161" i="2" s="1"/>
  <c r="I161" i="2"/>
  <c r="G160" i="2"/>
  <c r="H160" i="2" s="1"/>
  <c r="I160" i="2"/>
  <c r="G159" i="2"/>
  <c r="H159" i="2" s="1"/>
  <c r="I159" i="2"/>
  <c r="G158" i="2"/>
  <c r="H158" i="2" s="1"/>
  <c r="I158" i="2"/>
  <c r="G157" i="2" l="1"/>
  <c r="H157" i="2" s="1"/>
  <c r="I157" i="2"/>
  <c r="G156" i="2"/>
  <c r="H156" i="2" s="1"/>
  <c r="I156" i="2"/>
  <c r="G155" i="2"/>
  <c r="H155" i="2" s="1"/>
  <c r="I155" i="2"/>
  <c r="G154" i="2"/>
  <c r="H154" i="2" s="1"/>
  <c r="I154" i="2"/>
  <c r="G153" i="2"/>
  <c r="H153" i="2" s="1"/>
  <c r="I153" i="2"/>
  <c r="G152" i="2"/>
  <c r="H152" i="2" s="1"/>
  <c r="I152" i="2"/>
  <c r="G151" i="2"/>
  <c r="H151" i="2" s="1"/>
  <c r="I151" i="2"/>
  <c r="G150" i="2"/>
  <c r="H150" i="2" s="1"/>
  <c r="I150" i="2"/>
  <c r="G149" i="2"/>
  <c r="H149" i="2" s="1"/>
  <c r="I149" i="2"/>
  <c r="G148" i="2"/>
  <c r="H148" i="2" s="1"/>
  <c r="I148" i="2"/>
  <c r="G147" i="2"/>
  <c r="H147" i="2" s="1"/>
  <c r="I147" i="2"/>
  <c r="G146" i="2"/>
  <c r="H146" i="2" s="1"/>
  <c r="I146" i="2"/>
  <c r="G145" i="2"/>
  <c r="H145" i="2" s="1"/>
  <c r="I145" i="2"/>
  <c r="G144" i="2"/>
  <c r="H144" i="2" s="1"/>
  <c r="I144" i="2"/>
  <c r="G143" i="2"/>
  <c r="H143" i="2" s="1"/>
  <c r="I143" i="2"/>
  <c r="G142" i="2" l="1"/>
  <c r="H142" i="2" s="1"/>
  <c r="I142" i="2"/>
  <c r="G141" i="2"/>
  <c r="H141" i="2" s="1"/>
  <c r="I141" i="2"/>
  <c r="G140" i="2"/>
  <c r="H140" i="2" s="1"/>
  <c r="I140" i="2"/>
  <c r="G139" i="2"/>
  <c r="H139" i="2" s="1"/>
  <c r="I139" i="2"/>
  <c r="G138" i="2"/>
  <c r="H138" i="2" s="1"/>
  <c r="I138" i="2"/>
  <c r="G137" i="2"/>
  <c r="H137" i="2" s="1"/>
  <c r="I137" i="2"/>
  <c r="G136" i="2"/>
  <c r="H136" i="2" s="1"/>
  <c r="I136" i="2"/>
  <c r="G135" i="2"/>
  <c r="H135" i="2" s="1"/>
  <c r="I135" i="2"/>
  <c r="G134" i="2"/>
  <c r="H134" i="2" s="1"/>
  <c r="I134" i="2"/>
  <c r="G133" i="2"/>
  <c r="H133" i="2" s="1"/>
  <c r="I133" i="2"/>
  <c r="G132" i="2"/>
  <c r="H132" i="2" s="1"/>
  <c r="I132" i="2"/>
  <c r="G131" i="2"/>
  <c r="H131" i="2" s="1"/>
  <c r="I131" i="2"/>
  <c r="G130" i="2" l="1"/>
  <c r="H130" i="2" s="1"/>
  <c r="I130" i="2"/>
  <c r="B44" i="3"/>
  <c r="R1" i="4" l="1"/>
  <c r="G129" i="2"/>
  <c r="H129" i="2" s="1"/>
  <c r="I129" i="2"/>
  <c r="G128" i="2"/>
  <c r="H128" i="2" s="1"/>
  <c r="I128" i="2"/>
  <c r="G127" i="2"/>
  <c r="H127" i="2" s="1"/>
  <c r="I127" i="2"/>
  <c r="G126" i="2"/>
  <c r="H126" i="2" s="1"/>
  <c r="I126" i="2"/>
  <c r="G125" i="2"/>
  <c r="H125" i="2" s="1"/>
  <c r="I125" i="2"/>
  <c r="G124" i="2"/>
  <c r="H124" i="2" s="1"/>
  <c r="I124" i="2"/>
  <c r="E54" i="1" l="1"/>
  <c r="G123" i="2" l="1"/>
  <c r="H123" i="2" s="1"/>
  <c r="I123" i="2"/>
  <c r="G122" i="2"/>
  <c r="H122" i="2" s="1"/>
  <c r="I122" i="2"/>
  <c r="G121" i="2"/>
  <c r="H121" i="2" s="1"/>
  <c r="I121" i="2"/>
  <c r="G120" i="2"/>
  <c r="H120" i="2" s="1"/>
  <c r="I120" i="2"/>
  <c r="G119" i="2"/>
  <c r="H119" i="2" s="1"/>
  <c r="I119" i="2"/>
  <c r="G118" i="2"/>
  <c r="H118" i="2" s="1"/>
  <c r="I118" i="2"/>
  <c r="G117" i="2"/>
  <c r="H117" i="2" s="1"/>
  <c r="I117" i="2"/>
  <c r="G116" i="2"/>
  <c r="H116" i="2" s="1"/>
  <c r="I116" i="2"/>
  <c r="G115" i="2"/>
  <c r="H115" i="2" s="1"/>
  <c r="I115" i="2"/>
  <c r="G114" i="2"/>
  <c r="H114" i="2" s="1"/>
  <c r="I114" i="2"/>
  <c r="G113" i="2"/>
  <c r="H113" i="2" s="1"/>
  <c r="I113" i="2"/>
  <c r="G112" i="2"/>
  <c r="H112" i="2" s="1"/>
  <c r="I112" i="2"/>
  <c r="G111" i="2"/>
  <c r="H111" i="2" s="1"/>
  <c r="I111" i="2"/>
  <c r="G110" i="2"/>
  <c r="H110" i="2" s="1"/>
  <c r="I110" i="2"/>
  <c r="G109" i="2"/>
  <c r="H109" i="2" s="1"/>
  <c r="I109" i="2"/>
  <c r="G108" i="2"/>
  <c r="H108" i="2" s="1"/>
  <c r="I108" i="2"/>
  <c r="G107" i="2"/>
  <c r="H107" i="2" s="1"/>
  <c r="I107" i="2"/>
  <c r="G106" i="2"/>
  <c r="H106" i="2" s="1"/>
  <c r="I106" i="2"/>
  <c r="G105" i="2"/>
  <c r="H105" i="2" s="1"/>
  <c r="I105" i="2"/>
  <c r="G104" i="2"/>
  <c r="H104" i="2" s="1"/>
  <c r="I104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H3" i="2" l="1"/>
  <c r="H103" i="2"/>
  <c r="I103" i="2"/>
  <c r="B24" i="3"/>
  <c r="H102" i="2" l="1"/>
  <c r="I102" i="2"/>
  <c r="N1" i="4"/>
  <c r="H101" i="2"/>
  <c r="I101" i="2"/>
  <c r="H100" i="2"/>
  <c r="I100" i="2"/>
  <c r="H99" i="2"/>
  <c r="I99" i="2"/>
  <c r="H98" i="2"/>
  <c r="I98" i="2"/>
  <c r="H97" i="2"/>
  <c r="I97" i="2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H68" i="2"/>
  <c r="I68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H49" i="2" l="1"/>
  <c r="I49" i="2"/>
  <c r="H48" i="2"/>
  <c r="I48" i="2"/>
  <c r="H47" i="2"/>
  <c r="I47" i="2"/>
  <c r="H46" i="2"/>
  <c r="I46" i="2"/>
  <c r="H45" i="2"/>
  <c r="I45" i="2"/>
  <c r="H44" i="2"/>
  <c r="I44" i="2"/>
  <c r="H43" i="2"/>
  <c r="I43" i="2"/>
  <c r="H42" i="2"/>
  <c r="I42" i="2"/>
  <c r="H41" i="2"/>
  <c r="I41" i="2"/>
  <c r="H40" i="2"/>
  <c r="I40" i="2"/>
  <c r="H39" i="2"/>
  <c r="I39" i="2"/>
  <c r="H38" i="2"/>
  <c r="I38" i="2"/>
  <c r="H37" i="2"/>
  <c r="I37" i="2"/>
  <c r="H36" i="2"/>
  <c r="I36" i="2"/>
  <c r="H35" i="2"/>
  <c r="I35" i="2"/>
  <c r="H34" i="2"/>
  <c r="I34" i="2"/>
  <c r="H33" i="2"/>
  <c r="I33" i="2"/>
  <c r="H32" i="2"/>
  <c r="I32" i="2"/>
  <c r="H31" i="2"/>
  <c r="I31" i="2"/>
  <c r="H30" i="2"/>
  <c r="I30" i="2"/>
  <c r="H29" i="2"/>
  <c r="I29" i="2"/>
  <c r="H28" i="2"/>
  <c r="I28" i="2"/>
  <c r="H27" i="2"/>
  <c r="I27" i="2"/>
  <c r="H26" i="2"/>
  <c r="I26" i="2"/>
  <c r="H25" i="2"/>
  <c r="I25" i="2"/>
  <c r="H24" i="2"/>
  <c r="I24" i="2"/>
  <c r="H23" i="2"/>
  <c r="I23" i="2"/>
  <c r="H22" i="2"/>
  <c r="I22" i="2"/>
  <c r="H21" i="2"/>
  <c r="I21" i="2"/>
  <c r="H20" i="2"/>
  <c r="I20" i="2"/>
  <c r="H19" i="2"/>
  <c r="I19" i="2"/>
  <c r="H18" i="2"/>
  <c r="I18" i="2"/>
  <c r="H17" i="2"/>
  <c r="I17" i="2"/>
  <c r="H16" i="2"/>
  <c r="I16" i="2"/>
  <c r="H15" i="2"/>
  <c r="I15" i="2"/>
  <c r="H14" i="2"/>
  <c r="I14" i="2"/>
  <c r="H13" i="2" l="1"/>
  <c r="I13" i="2"/>
  <c r="H12" i="2"/>
  <c r="I12" i="2"/>
  <c r="H11" i="2"/>
  <c r="I11" i="2"/>
  <c r="H10" i="2"/>
  <c r="I10" i="2"/>
  <c r="H9" i="2"/>
  <c r="I9" i="2"/>
  <c r="H8" i="2"/>
  <c r="I8" i="2"/>
  <c r="H7" i="2"/>
  <c r="I7" i="2"/>
  <c r="H6" i="2"/>
  <c r="I6" i="2"/>
  <c r="H5" i="2"/>
  <c r="I5" i="2"/>
  <c r="H4" i="2"/>
  <c r="I4" i="2"/>
  <c r="I3" i="2" l="1"/>
  <c r="E14" i="4"/>
  <c r="J14" i="4"/>
</calcChain>
</file>

<file path=xl/sharedStrings.xml><?xml version="1.0" encoding="utf-8"?>
<sst xmlns="http://schemas.openxmlformats.org/spreadsheetml/2006/main" count="500" uniqueCount="157">
  <si>
    <t>Référence article</t>
  </si>
  <si>
    <t>Désignation</t>
  </si>
  <si>
    <t>Catégorie</t>
  </si>
  <si>
    <t>Stock disponible</t>
  </si>
  <si>
    <t>REF001</t>
  </si>
  <si>
    <t>REF002</t>
  </si>
  <si>
    <t>REF003</t>
  </si>
  <si>
    <t>REF004</t>
  </si>
  <si>
    <t>Boissonns</t>
  </si>
  <si>
    <t>Code</t>
  </si>
  <si>
    <t>Quantité</t>
  </si>
  <si>
    <t>Date et heure</t>
  </si>
  <si>
    <t>Total</t>
  </si>
  <si>
    <t>Somme de Total</t>
  </si>
  <si>
    <t>Somme de Quantité</t>
  </si>
  <si>
    <t>Étiquettes de lignes</t>
  </si>
  <si>
    <t>Total général</t>
  </si>
  <si>
    <t>MA BOUTIQUE</t>
  </si>
  <si>
    <t>REF006</t>
  </si>
  <si>
    <t>REF007</t>
  </si>
  <si>
    <t>REF008</t>
  </si>
  <si>
    <t>REF009</t>
  </si>
  <si>
    <t>REF005</t>
  </si>
  <si>
    <t>REF010</t>
  </si>
  <si>
    <t>REF011</t>
  </si>
  <si>
    <t>REF012</t>
  </si>
  <si>
    <t>REF013</t>
  </si>
  <si>
    <t>REF014</t>
  </si>
  <si>
    <t>REF015</t>
  </si>
  <si>
    <t>Lait IL</t>
  </si>
  <si>
    <t>Eau mineral 1,5L</t>
  </si>
  <si>
    <t>Jus d'orange IL</t>
  </si>
  <si>
    <t>café soluble</t>
  </si>
  <si>
    <t>Thé 100kg</t>
  </si>
  <si>
    <t>Riz 5kg</t>
  </si>
  <si>
    <t>pâtes 1kg</t>
  </si>
  <si>
    <t>huile végétale 1L</t>
  </si>
  <si>
    <t>Beurre 250g</t>
  </si>
  <si>
    <t>Fromage 200g</t>
  </si>
  <si>
    <t>Ouef (12)</t>
  </si>
  <si>
    <t>Poisson frais 500g</t>
  </si>
  <si>
    <t>Tomate 1kg</t>
  </si>
  <si>
    <t>Oignons 1kg</t>
  </si>
  <si>
    <t>REF016</t>
  </si>
  <si>
    <t>poulet entier</t>
  </si>
  <si>
    <t>Viande de bœuf</t>
  </si>
  <si>
    <t>REF017</t>
  </si>
  <si>
    <t>Jus d'anana IL</t>
  </si>
  <si>
    <t>Épicerie</t>
  </si>
  <si>
    <t>Produit Frais</t>
  </si>
  <si>
    <t>Viandes</t>
  </si>
  <si>
    <t>Fruits/Legumes</t>
  </si>
  <si>
    <t>AM</t>
  </si>
  <si>
    <t>REF018</t>
  </si>
  <si>
    <t>Pommes</t>
  </si>
  <si>
    <t>TABLEAU DE BORD ADMINISTRATEUR</t>
  </si>
  <si>
    <t>Dates</t>
  </si>
  <si>
    <t>(Tous)</t>
  </si>
  <si>
    <t>FCFA</t>
  </si>
  <si>
    <t>Coût d'Achat Unitaire TTC  (FCFA)</t>
  </si>
  <si>
    <t>Prix de Ventes TTC (FCFA)</t>
  </si>
  <si>
    <t>Coût d'Achat Unitaire TTC</t>
  </si>
  <si>
    <t>Prix de Vente Unitaire TTC</t>
  </si>
  <si>
    <t>TCD 2</t>
  </si>
  <si>
    <t>TCD 1</t>
  </si>
  <si>
    <t>TCD 3</t>
  </si>
  <si>
    <t>TCD 4</t>
  </si>
  <si>
    <t>Chiffre d'Affaire /jrs &amp; Quantité/jrs</t>
  </si>
  <si>
    <t>Top 6 ventes /par</t>
  </si>
  <si>
    <t>REF019</t>
  </si>
  <si>
    <t>REF020</t>
  </si>
  <si>
    <t>REF021</t>
  </si>
  <si>
    <t>REF022</t>
  </si>
  <si>
    <t>REF023</t>
  </si>
  <si>
    <t>REF024</t>
  </si>
  <si>
    <t>REF025</t>
  </si>
  <si>
    <t>REF026</t>
  </si>
  <si>
    <t>Mangue 1kg</t>
  </si>
  <si>
    <t>Pain de mie 500kg</t>
  </si>
  <si>
    <t>Yaourt sucre</t>
  </si>
  <si>
    <t>Buscuits 200g</t>
  </si>
  <si>
    <t>Chocolat</t>
  </si>
  <si>
    <t>Savons toilette</t>
  </si>
  <si>
    <t>Dentifrice</t>
  </si>
  <si>
    <t>Papier toilette</t>
  </si>
  <si>
    <t>Boulangérie</t>
  </si>
  <si>
    <t>Hygiène</t>
  </si>
  <si>
    <t>REF027</t>
  </si>
  <si>
    <t>Carottes 1kg</t>
  </si>
  <si>
    <t>REF028</t>
  </si>
  <si>
    <t>REF029</t>
  </si>
  <si>
    <t>REF030</t>
  </si>
  <si>
    <t>REF031</t>
  </si>
  <si>
    <t>REF032</t>
  </si>
  <si>
    <t>REF033</t>
  </si>
  <si>
    <t>REF034</t>
  </si>
  <si>
    <t>REF035</t>
  </si>
  <si>
    <t>REF036</t>
  </si>
  <si>
    <t>REF037</t>
  </si>
  <si>
    <t>REF038</t>
  </si>
  <si>
    <t>REF039</t>
  </si>
  <si>
    <t>REF040</t>
  </si>
  <si>
    <t>REF041</t>
  </si>
  <si>
    <t>REF042</t>
  </si>
  <si>
    <t>REF043</t>
  </si>
  <si>
    <t>REF044</t>
  </si>
  <si>
    <t>REF045</t>
  </si>
  <si>
    <t>REF046</t>
  </si>
  <si>
    <t>REF047</t>
  </si>
  <si>
    <t>REF048</t>
  </si>
  <si>
    <t>REF049</t>
  </si>
  <si>
    <t>REF050</t>
  </si>
  <si>
    <t>REF051</t>
  </si>
  <si>
    <t>REF052</t>
  </si>
  <si>
    <t>Citrons</t>
  </si>
  <si>
    <t>Fraises</t>
  </si>
  <si>
    <t>Melon</t>
  </si>
  <si>
    <t>Pommes de terre</t>
  </si>
  <si>
    <t>Chou-fleur</t>
  </si>
  <si>
    <t>salade vert</t>
  </si>
  <si>
    <t>Sucré 50kg</t>
  </si>
  <si>
    <t>Farine 50kg</t>
  </si>
  <si>
    <t>Sel 25kg</t>
  </si>
  <si>
    <t>Moutard</t>
  </si>
  <si>
    <t>Mayonnaise</t>
  </si>
  <si>
    <t>Cacao</t>
  </si>
  <si>
    <t>Croissant</t>
  </si>
  <si>
    <t>Pain au chocolat</t>
  </si>
  <si>
    <t>Pain de seigle</t>
  </si>
  <si>
    <t>Gel douche</t>
  </si>
  <si>
    <t>Brosse à dents</t>
  </si>
  <si>
    <t>Déodorant</t>
  </si>
  <si>
    <t>Coton-tige</t>
  </si>
  <si>
    <t>Crème pour le corps</t>
  </si>
  <si>
    <t>Shampooing</t>
  </si>
  <si>
    <t>Savons liquide</t>
  </si>
  <si>
    <t>Bain de bouche</t>
  </si>
  <si>
    <t>Savons intime</t>
  </si>
  <si>
    <t>Brioche</t>
  </si>
  <si>
    <t>Sucre</t>
  </si>
  <si>
    <t>Tomates</t>
  </si>
  <si>
    <t>Chiffre d'Affaire /Mois</t>
  </si>
  <si>
    <t>Dépenses lié au Stock Vendu</t>
  </si>
  <si>
    <t>Stock vendu</t>
  </si>
  <si>
    <t>Crème pour le corp</t>
  </si>
  <si>
    <t>REF053</t>
  </si>
  <si>
    <t>Diago</t>
  </si>
  <si>
    <t>REF054</t>
  </si>
  <si>
    <t>Sardine</t>
  </si>
  <si>
    <t>Diago 1,5L</t>
  </si>
  <si>
    <t>HISTORIQUE DES TRANSACTIONS ET DU STOCK</t>
  </si>
  <si>
    <t>Dépenses liées au Stock vendu</t>
  </si>
  <si>
    <t>Somme de Dépenses liées au Stock vendu</t>
  </si>
  <si>
    <t>Nouveau entré au cours du Mois</t>
  </si>
  <si>
    <t>Sock de base au fin du Mois</t>
  </si>
  <si>
    <t>Pomms</t>
  </si>
  <si>
    <t>Dernières date de mise à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</si>
</sst>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[$-F400]h:mm:ss\ AM/PM"/>
    <numFmt numFmtId="165" formatCode="_-* #,##0\ _€_-;\-* #,##0\ _€_-;_-* &quot;-&quot;??\ _€_-;_-@_-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57"/>
      <color theme="0"/>
      <name val="Calibri"/>
      <family val="2"/>
      <scheme val="minor"/>
    </font>
    <font>
      <b/>
      <sz val="60"/>
      <color theme="0"/>
      <name val="Calibri"/>
      <family val="2"/>
      <scheme val="minor"/>
    </font>
    <font>
      <sz val="60"/>
      <color theme="1"/>
      <name val="Calibri"/>
      <family val="2"/>
      <scheme val="minor"/>
    </font>
    <font>
      <b/>
      <sz val="5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theme="0"/>
      <name val="Calibri"/>
      <family val="2"/>
      <scheme val="minor"/>
    </font>
    <font>
      <sz val="72"/>
      <color theme="0"/>
      <name val="Georgia"/>
      <family val="1"/>
    </font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22"/>
      <color theme="1"/>
      <name val="Georgia"/>
      <family val="1"/>
    </font>
    <font>
      <b/>
      <sz val="34"/>
      <color theme="1"/>
      <name val="Georgia"/>
      <family val="1"/>
    </font>
    <font>
      <b/>
      <sz val="22"/>
      <color theme="1"/>
      <name val="Arial"/>
      <family val="2"/>
    </font>
    <font>
      <sz val="26"/>
      <color theme="1"/>
      <name val="Calibri"/>
      <family val="2"/>
      <scheme val="minor"/>
    </font>
    <font>
      <sz val="26"/>
      <color theme="1"/>
      <name val="Calibri"/>
      <scheme val="minor"/>
    </font>
    <font>
      <b/>
      <sz val="30"/>
      <color theme="1" tint="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81">
    <xf numFmtId="0" fontId="0" fillId="0" borderId="0" xfId="0"/>
    <xf numFmtId="22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3" borderId="0" xfId="0" applyFont="1" applyFill="1"/>
    <xf numFmtId="0" fontId="0" fillId="2" borderId="0" xfId="0" applyFill="1"/>
    <xf numFmtId="0" fontId="0" fillId="0" borderId="0" xfId="0" applyFill="1"/>
    <xf numFmtId="20" fontId="0" fillId="3" borderId="0" xfId="0" applyNumberFormat="1" applyFill="1"/>
    <xf numFmtId="0" fontId="0" fillId="2" borderId="0" xfId="0" applyFill="1" applyAlignment="1">
      <alignment horizontal="centerContinuous"/>
    </xf>
    <xf numFmtId="0" fontId="0" fillId="0" borderId="0" xfId="0"/>
    <xf numFmtId="0" fontId="1" fillId="3" borderId="0" xfId="0" applyFont="1" applyFill="1" applyAlignment="1">
      <alignment horizontal="center"/>
    </xf>
    <xf numFmtId="14" fontId="0" fillId="0" borderId="0" xfId="0" applyNumberFormat="1" applyFont="1" applyAlignment="1">
      <alignment horizontal="center"/>
    </xf>
    <xf numFmtId="14" fontId="0" fillId="0" borderId="0" xfId="0" applyNumberFormat="1"/>
    <xf numFmtId="0" fontId="5" fillId="2" borderId="0" xfId="0" applyFont="1" applyFill="1" applyAlignment="1">
      <alignment horizontal="centerContinuous"/>
    </xf>
    <xf numFmtId="0" fontId="0" fillId="5" borderId="0" xfId="0" applyFill="1"/>
    <xf numFmtId="0" fontId="8" fillId="3" borderId="0" xfId="0" applyFont="1" applyFill="1" applyAlignment="1">
      <alignment horizontal="centerContinuous"/>
    </xf>
    <xf numFmtId="0" fontId="7" fillId="3" borderId="0" xfId="0" applyFont="1" applyFill="1" applyAlignment="1">
      <alignment horizontal="centerContinuous"/>
    </xf>
    <xf numFmtId="0" fontId="9" fillId="3" borderId="0" xfId="0" applyFont="1" applyFill="1" applyAlignment="1">
      <alignment horizontal="centerContinuous"/>
    </xf>
    <xf numFmtId="0" fontId="6" fillId="6" borderId="9" xfId="0" applyFont="1" applyFill="1" applyBorder="1" applyAlignment="1">
      <alignment horizontal="centerContinuous"/>
    </xf>
    <xf numFmtId="0" fontId="0" fillId="0" borderId="0" xfId="0" applyNumberFormat="1" applyAlignment="1">
      <alignment horizontal="centerContinuous"/>
    </xf>
    <xf numFmtId="0" fontId="0" fillId="0" borderId="0" xfId="0" applyAlignment="1">
      <alignment horizontal="centerContinuous"/>
    </xf>
    <xf numFmtId="0" fontId="0" fillId="2" borderId="0" xfId="0" applyNumberFormat="1" applyFill="1" applyAlignment="1">
      <alignment horizontal="centerContinuous"/>
    </xf>
    <xf numFmtId="0" fontId="2" fillId="3" borderId="0" xfId="0" applyFont="1" applyFill="1" applyAlignment="1">
      <alignment vertical="center" wrapText="1"/>
    </xf>
    <xf numFmtId="0" fontId="0" fillId="0" borderId="0" xfId="0" applyNumberFormat="1"/>
    <xf numFmtId="14" fontId="0" fillId="0" borderId="0" xfId="0" applyNumberFormat="1" applyAlignment="1">
      <alignment horizontal="left"/>
    </xf>
    <xf numFmtId="165" fontId="0" fillId="0" borderId="0" xfId="0" applyNumberFormat="1" applyAlignment="1">
      <alignment horizontal="centerContinuous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left"/>
    </xf>
    <xf numFmtId="165" fontId="0" fillId="0" borderId="0" xfId="1" applyNumberFormat="1" applyFont="1" applyAlignment="1">
      <alignment horizontal="centerContinuous"/>
    </xf>
    <xf numFmtId="165" fontId="12" fillId="2" borderId="0" xfId="1" applyNumberFormat="1" applyFont="1" applyFill="1" applyAlignment="1">
      <alignment horizontal="right" wrapText="1"/>
    </xf>
    <xf numFmtId="165" fontId="11" fillId="2" borderId="0" xfId="1" applyNumberFormat="1" applyFont="1" applyFill="1" applyAlignment="1">
      <alignment horizontal="left" wrapText="1"/>
    </xf>
    <xf numFmtId="165" fontId="12" fillId="2" borderId="0" xfId="1" applyNumberFormat="1" applyFont="1" applyFill="1" applyAlignment="1">
      <alignment horizontal="centerContinuous"/>
    </xf>
    <xf numFmtId="0" fontId="0" fillId="0" borderId="0" xfId="0" applyNumberFormat="1" applyFont="1" applyAlignment="1">
      <alignment horizontal="center"/>
    </xf>
    <xf numFmtId="0" fontId="0" fillId="2" borderId="0" xfId="0" applyFill="1" applyAlignment="1">
      <alignment horizontal="right" wrapText="1"/>
    </xf>
    <xf numFmtId="0" fontId="12" fillId="2" borderId="0" xfId="0" applyFont="1" applyFill="1" applyAlignment="1">
      <alignment horizontal="left"/>
    </xf>
    <xf numFmtId="0" fontId="0" fillId="7" borderId="0" xfId="0" applyFill="1" applyAlignment="1">
      <alignment horizontal="centerContinuous"/>
    </xf>
    <xf numFmtId="0" fontId="0" fillId="7" borderId="0" xfId="0" applyFill="1"/>
    <xf numFmtId="0" fontId="13" fillId="7" borderId="0" xfId="0" applyFont="1" applyFill="1" applyAlignment="1">
      <alignment horizontal="centerContinuous"/>
    </xf>
    <xf numFmtId="0" fontId="17" fillId="0" borderId="1" xfId="0" applyFont="1" applyFill="1" applyBorder="1" applyAlignment="1">
      <alignment horizontal="center" wrapText="1"/>
    </xf>
    <xf numFmtId="0" fontId="17" fillId="0" borderId="1" xfId="0" applyFont="1" applyFill="1" applyBorder="1" applyAlignment="1">
      <alignment horizontal="left" wrapText="1"/>
    </xf>
    <xf numFmtId="165" fontId="17" fillId="0" borderId="1" xfId="1" applyNumberFormat="1" applyFont="1" applyBorder="1" applyAlignment="1">
      <alignment horizontal="right"/>
    </xf>
    <xf numFmtId="165" fontId="17" fillId="0" borderId="1" xfId="1" applyNumberFormat="1" applyFont="1" applyBorder="1" applyAlignment="1">
      <alignment horizontal="center"/>
    </xf>
    <xf numFmtId="22" fontId="17" fillId="0" borderId="1" xfId="0" applyNumberFormat="1" applyFont="1" applyFill="1" applyBorder="1" applyAlignment="1">
      <alignment horizontal="center" wrapText="1"/>
    </xf>
    <xf numFmtId="0" fontId="17" fillId="0" borderId="3" xfId="0" applyNumberFormat="1" applyFont="1" applyFill="1" applyBorder="1" applyAlignment="1">
      <alignment horizontal="center" wrapText="1"/>
    </xf>
    <xf numFmtId="0" fontId="17" fillId="0" borderId="3" xfId="0" applyFont="1" applyFill="1" applyBorder="1" applyAlignment="1">
      <alignment horizontal="center" wrapText="1"/>
    </xf>
    <xf numFmtId="0" fontId="17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center" wrapText="1"/>
    </xf>
    <xf numFmtId="22" fontId="17" fillId="0" borderId="1" xfId="0" applyNumberFormat="1" applyFont="1" applyBorder="1" applyAlignment="1">
      <alignment horizontal="center" wrapText="1"/>
    </xf>
    <xf numFmtId="0" fontId="17" fillId="0" borderId="8" xfId="0" applyFont="1" applyFill="1" applyBorder="1" applyAlignment="1">
      <alignment horizontal="center" wrapText="1"/>
    </xf>
    <xf numFmtId="0" fontId="17" fillId="0" borderId="8" xfId="0" applyFont="1" applyBorder="1" applyAlignment="1">
      <alignment horizontal="left" wrapText="1"/>
    </xf>
    <xf numFmtId="165" fontId="17" fillId="0" borderId="8" xfId="1" applyNumberFormat="1" applyFont="1" applyBorder="1" applyAlignment="1">
      <alignment horizontal="right"/>
    </xf>
    <xf numFmtId="165" fontId="17" fillId="0" borderId="8" xfId="1" applyNumberFormat="1" applyFont="1" applyBorder="1" applyAlignment="1">
      <alignment horizontal="center"/>
    </xf>
    <xf numFmtId="0" fontId="17" fillId="0" borderId="8" xfId="0" applyFont="1" applyBorder="1" applyAlignment="1">
      <alignment horizontal="center" wrapText="1"/>
    </xf>
    <xf numFmtId="22" fontId="17" fillId="0" borderId="8" xfId="0" applyNumberFormat="1" applyFont="1" applyBorder="1" applyAlignment="1">
      <alignment horizontal="center" wrapText="1"/>
    </xf>
    <xf numFmtId="0" fontId="18" fillId="0" borderId="1" xfId="0" applyFont="1" applyBorder="1" applyAlignment="1">
      <alignment horizontal="center" wrapText="1"/>
    </xf>
    <xf numFmtId="0" fontId="18" fillId="0" borderId="1" xfId="0" applyFont="1" applyBorder="1" applyAlignment="1">
      <alignment horizontal="left" wrapText="1"/>
    </xf>
    <xf numFmtId="165" fontId="18" fillId="0" borderId="1" xfId="1" applyNumberFormat="1" applyFont="1" applyBorder="1" applyAlignment="1">
      <alignment horizontal="right"/>
    </xf>
    <xf numFmtId="165" fontId="18" fillId="0" borderId="1" xfId="1" applyNumberFormat="1" applyFont="1" applyBorder="1" applyAlignment="1">
      <alignment horizontal="center"/>
    </xf>
    <xf numFmtId="0" fontId="18" fillId="0" borderId="13" xfId="0" applyFont="1" applyBorder="1" applyAlignment="1">
      <alignment horizontal="center" wrapText="1"/>
    </xf>
    <xf numFmtId="0" fontId="19" fillId="4" borderId="5" xfId="0" applyFont="1" applyFill="1" applyBorder="1" applyAlignment="1">
      <alignment horizontal="center" vertical="center" wrapText="1"/>
    </xf>
    <xf numFmtId="0" fontId="19" fillId="4" borderId="6" xfId="0" applyNumberFormat="1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0" fontId="16" fillId="8" borderId="10" xfId="0" applyFont="1" applyFill="1" applyBorder="1" applyAlignment="1">
      <alignment horizontal="centerContinuous"/>
    </xf>
    <xf numFmtId="0" fontId="14" fillId="8" borderId="11" xfId="0" applyFont="1" applyFill="1" applyBorder="1" applyAlignment="1">
      <alignment horizontal="centerContinuous"/>
    </xf>
    <xf numFmtId="0" fontId="14" fillId="8" borderId="11" xfId="0" applyNumberFormat="1" applyFont="1" applyFill="1" applyBorder="1" applyAlignment="1">
      <alignment horizontal="centerContinuous"/>
    </xf>
    <xf numFmtId="0" fontId="14" fillId="8" borderId="12" xfId="0" applyFont="1" applyFill="1" applyBorder="1" applyAlignment="1">
      <alignment horizontal="centerContinuous"/>
    </xf>
    <xf numFmtId="1" fontId="19" fillId="4" borderId="4" xfId="0" applyNumberFormat="1" applyFont="1" applyFill="1" applyBorder="1" applyAlignment="1">
      <alignment horizontal="left" vertical="center" wrapText="1"/>
    </xf>
    <xf numFmtId="1" fontId="17" fillId="0" borderId="2" xfId="0" applyNumberFormat="1" applyFont="1" applyFill="1" applyBorder="1" applyAlignment="1">
      <alignment horizontal="left" wrapText="1"/>
    </xf>
    <xf numFmtId="1" fontId="17" fillId="0" borderId="2" xfId="0" applyNumberFormat="1" applyFont="1" applyBorder="1" applyAlignment="1">
      <alignment horizontal="left" wrapText="1"/>
    </xf>
    <xf numFmtId="1" fontId="17" fillId="0" borderId="7" xfId="0" applyNumberFormat="1" applyFont="1" applyBorder="1" applyAlignment="1">
      <alignment horizontal="left" wrapText="1"/>
    </xf>
    <xf numFmtId="1" fontId="0" fillId="0" borderId="0" xfId="0" applyNumberFormat="1" applyAlignment="1">
      <alignment horizontal="left"/>
    </xf>
    <xf numFmtId="0" fontId="2" fillId="3" borderId="0" xfId="0" applyFont="1" applyFill="1" applyAlignment="1">
      <alignment vertical="center" wrapText="1"/>
    </xf>
    <xf numFmtId="164" fontId="3" fillId="3" borderId="0" xfId="0" applyNumberFormat="1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14" fontId="3" fillId="3" borderId="0" xfId="0" applyNumberFormat="1" applyFont="1" applyFill="1" applyAlignment="1">
      <alignment horizontal="left" vertical="center"/>
    </xf>
    <xf numFmtId="0" fontId="15" fillId="2" borderId="0" xfId="0" applyFont="1" applyFill="1" applyAlignment="1">
      <alignment horizontal="center" vertical="top"/>
    </xf>
  </cellXfs>
  <cellStyles count="2">
    <cellStyle name="Milliers" xfId="1" builtinId="3"/>
    <cellStyle name="Normal" xfId="0" builtinId="0"/>
  </cellStyles>
  <dxfs count="56"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  <alignment horizontal="centerContinuous" vertical="bottom" textRotation="0" wrapText="0" indent="0" justifyLastLine="0" shrinkToFit="0" readingOrder="0"/>
    </dxf>
    <dxf>
      <numFmt numFmtId="165" formatCode="_-* #,##0\ _€_-;\-* #,##0\ _€_-;_-* &quot;-&quot;??\ _€_-;_-@_-"/>
      <alignment horizontal="centerContinuous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??\ _€_-;_-@_-"/>
      <alignment horizontal="centerContinuous" vertical="bottom" textRotation="0" wrapText="0" indent="0" justifyLastLine="0" shrinkToFit="0" readingOrder="0"/>
    </dxf>
    <dxf>
      <numFmt numFmtId="165" formatCode="_-* #,##0\ _€_-;\-* #,##0\ _€_-;_-* &quot;-&quot;??\ _€_-;_-@_-"/>
      <alignment horizontal="centerContinuous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65" formatCode="_-* #,##0\ _€_-;\-* #,##0\ _€_-;_-* &quot;-&quot;??\ _€_-;_-@_-"/>
    </dxf>
    <dxf>
      <alignment horizontal="centerContinuous" readingOrder="0"/>
    </dxf>
    <dxf>
      <alignment horizontal="centerContinuous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27" formatCode="dd/mm/yyyy\ hh:mm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27" formatCode="dd/mm/yyyy\ hh:mm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65" formatCode="_-* #,##0\ _€_-;\-* #,##0\ _€_-;_-* &quot;-&quot;??\ _€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165" formatCode="_-* #,##0\ _€_-;\-* #,##0\ _€_-;_-* &quot;-&quot;??\ _€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65" formatCode="_-* #,##0\ _€_-;\-* #,##0\ _€_-;_-* &quot;-&quot;??\ _€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165" formatCode="_-* #,##0\ _€_-;\-* #,##0\ _€_-;_-* &quot;-&quot;??\ _€_-;_-@_-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" formatCode="0"/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numFmt numFmtId="1" formatCode="0"/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0"/>
        <color theme="1" tint="4.9989318521683403E-2"/>
        <name val="Calibri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</dxf>
    <dxf>
      <font>
        <sz val="12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solid">
          <fgColor theme="0"/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 de chronologie " pivot="0" table="0" count="8">
      <tableStyleElement type="wholeTable" dxfId="55"/>
      <tableStyleElement type="headerRow" dxfId="54"/>
    </tableStyle>
    <tableStyle name="Style de chronologie 1" pivot="0" table="0" count="8">
      <tableStyleElement type="wholeTable" dxfId="53"/>
      <tableStyleElement type="headerRow" dxfId="52"/>
    </tableStyle>
  </tableStyles>
  <colors>
    <mruColors>
      <color rgb="FF339933"/>
      <color rgb="FF33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2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Style de chronologie 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Style de chronologie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[Caisse Enregistre.xlsm]Admin!Tableau croisé dynamique2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Articles</a:t>
            </a:r>
            <a:r>
              <a:rPr lang="en-US" sz="2000" baseline="0"/>
              <a:t> les  plus vendus aujourd'hui</a:t>
            </a:r>
            <a:r>
              <a:rPr lang="en-US" sz="2000"/>
              <a:t>l</a:t>
            </a:r>
          </a:p>
        </c:rich>
      </c:tx>
      <c:layout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gradFill flip="none" rotWithShape="1">
            <a:gsLst>
              <a:gs pos="0">
                <a:srgbClr val="92D050">
                  <a:shade val="30000"/>
                  <a:satMod val="115000"/>
                </a:srgbClr>
              </a:gs>
              <a:gs pos="50000">
                <a:srgbClr val="92D050">
                  <a:shade val="67500"/>
                  <a:satMod val="115000"/>
                </a:srgbClr>
              </a:gs>
              <a:gs pos="100000">
                <a:srgbClr val="92D050">
                  <a:shade val="100000"/>
                  <a:satMod val="115000"/>
                </a:srgb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3953415508925258E-2"/>
          <c:y val="0.20832126272259677"/>
          <c:w val="0.78947943548941213"/>
          <c:h val="0.581194695260004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Admin!$AR$10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92D050">
                    <a:shade val="30000"/>
                    <a:satMod val="115000"/>
                  </a:srgbClr>
                </a:gs>
                <a:gs pos="50000">
                  <a:srgbClr val="92D050">
                    <a:shade val="67500"/>
                    <a:satMod val="115000"/>
                  </a:srgbClr>
                </a:gs>
                <a:gs pos="100000">
                  <a:srgbClr val="92D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Admin!$AQ$11:$AQ$18</c:f>
              <c:strCache>
                <c:ptCount val="7"/>
                <c:pt idx="0">
                  <c:v>Jus d'anana IL</c:v>
                </c:pt>
                <c:pt idx="1">
                  <c:v>Farine 50kg</c:v>
                </c:pt>
                <c:pt idx="2">
                  <c:v>Bain de bouche</c:v>
                </c:pt>
                <c:pt idx="3">
                  <c:v>Savons intime</c:v>
                </c:pt>
                <c:pt idx="4">
                  <c:v>Savons liquide</c:v>
                </c:pt>
                <c:pt idx="5">
                  <c:v>Sardine</c:v>
                </c:pt>
                <c:pt idx="6">
                  <c:v>Diago 1,5L</c:v>
                </c:pt>
              </c:strCache>
            </c:strRef>
          </c:cat>
          <c:val>
            <c:numRef>
              <c:f>Admin!$AR$11:$AR$18</c:f>
              <c:numCache>
                <c:formatCode>General</c:formatCode>
                <c:ptCount val="7"/>
                <c:pt idx="0">
                  <c:v>7</c:v>
                </c:pt>
                <c:pt idx="1">
                  <c:v>2</c:v>
                </c:pt>
                <c:pt idx="2">
                  <c:v>27</c:v>
                </c:pt>
                <c:pt idx="3">
                  <c:v>20</c:v>
                </c:pt>
                <c:pt idx="4">
                  <c:v>13</c:v>
                </c:pt>
                <c:pt idx="5">
                  <c:v>10</c:v>
                </c:pt>
                <c:pt idx="6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19984"/>
        <c:axId val="259420368"/>
      </c:barChart>
      <c:catAx>
        <c:axId val="25941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9420368"/>
        <c:crosses val="autoZero"/>
        <c:auto val="1"/>
        <c:lblAlgn val="ctr"/>
        <c:lblOffset val="100"/>
        <c:noMultiLvlLbl val="0"/>
      </c:catAx>
      <c:valAx>
        <c:axId val="25942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941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Stock!$K$1</c:f>
              <c:strCache>
                <c:ptCount val="1"/>
                <c:pt idx="0">
                  <c:v>Stock disponible</c:v>
                </c:pt>
              </c:strCache>
            </c:strRef>
          </c:tx>
          <c:spPr>
            <a:gradFill flip="none" rotWithShape="1">
              <a:gsLst>
                <a:gs pos="0">
                  <a:srgbClr val="FFFF00">
                    <a:shade val="30000"/>
                    <a:satMod val="115000"/>
                  </a:srgbClr>
                </a:gs>
                <a:gs pos="50000">
                  <a:srgbClr val="FFFF00">
                    <a:shade val="67500"/>
                    <a:satMod val="115000"/>
                  </a:srgbClr>
                </a:gs>
                <a:gs pos="100000">
                  <a:srgbClr val="FFFF0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cat>
            <c:strRef>
              <c:f>Stock!$C$2:$C$57</c:f>
              <c:strCache>
                <c:ptCount val="54"/>
                <c:pt idx="0">
                  <c:v>Jus d'anana IL</c:v>
                </c:pt>
                <c:pt idx="1">
                  <c:v>Lait IL</c:v>
                </c:pt>
                <c:pt idx="2">
                  <c:v>Eau mineral 1,5L</c:v>
                </c:pt>
                <c:pt idx="3">
                  <c:v>Jus d'orange IL</c:v>
                </c:pt>
                <c:pt idx="4">
                  <c:v>café soluble</c:v>
                </c:pt>
                <c:pt idx="5">
                  <c:v>Thé 100kg</c:v>
                </c:pt>
                <c:pt idx="6">
                  <c:v>Riz 5kg</c:v>
                </c:pt>
                <c:pt idx="7">
                  <c:v>pâtes 1kg</c:v>
                </c:pt>
                <c:pt idx="8">
                  <c:v>huile végétale 1L</c:v>
                </c:pt>
                <c:pt idx="9">
                  <c:v>Beurre 250g</c:v>
                </c:pt>
                <c:pt idx="10">
                  <c:v>Fromage 200g</c:v>
                </c:pt>
                <c:pt idx="11">
                  <c:v>Ouef (12)</c:v>
                </c:pt>
                <c:pt idx="12">
                  <c:v>Viande de bœuf</c:v>
                </c:pt>
                <c:pt idx="13">
                  <c:v>poulet entier</c:v>
                </c:pt>
                <c:pt idx="14">
                  <c:v>Poisson frais 500g</c:v>
                </c:pt>
                <c:pt idx="15">
                  <c:v>Tomate 1kg</c:v>
                </c:pt>
                <c:pt idx="16">
                  <c:v>Oignons 1kg</c:v>
                </c:pt>
                <c:pt idx="17">
                  <c:v>Pommes</c:v>
                </c:pt>
                <c:pt idx="18">
                  <c:v>Mangue 1kg</c:v>
                </c:pt>
                <c:pt idx="19">
                  <c:v>Pain de mie 500kg</c:v>
                </c:pt>
                <c:pt idx="20">
                  <c:v>Yaourt sucre</c:v>
                </c:pt>
                <c:pt idx="21">
                  <c:v>Buscuits 200g</c:v>
                </c:pt>
                <c:pt idx="22">
                  <c:v>Chocolat</c:v>
                </c:pt>
                <c:pt idx="23">
                  <c:v>Savons toilette</c:v>
                </c:pt>
                <c:pt idx="24">
                  <c:v>Dentifrice</c:v>
                </c:pt>
                <c:pt idx="25">
                  <c:v>Papier toilette</c:v>
                </c:pt>
                <c:pt idx="26">
                  <c:v>Carottes 1kg</c:v>
                </c:pt>
                <c:pt idx="27">
                  <c:v>Citrons</c:v>
                </c:pt>
                <c:pt idx="28">
                  <c:v>Fraises</c:v>
                </c:pt>
                <c:pt idx="29">
                  <c:v>Melon</c:v>
                </c:pt>
                <c:pt idx="30">
                  <c:v>Pommes de terre</c:v>
                </c:pt>
                <c:pt idx="31">
                  <c:v>Chou-fleur</c:v>
                </c:pt>
                <c:pt idx="32">
                  <c:v>salade vert</c:v>
                </c:pt>
                <c:pt idx="33">
                  <c:v>Sucré 50kg</c:v>
                </c:pt>
                <c:pt idx="34">
                  <c:v>Farine 50kg</c:v>
                </c:pt>
                <c:pt idx="35">
                  <c:v>Sel 25kg</c:v>
                </c:pt>
                <c:pt idx="36">
                  <c:v>Moutard</c:v>
                </c:pt>
                <c:pt idx="37">
                  <c:v>Mayonnaise</c:v>
                </c:pt>
                <c:pt idx="38">
                  <c:v>Cacao</c:v>
                </c:pt>
                <c:pt idx="39">
                  <c:v>Brioche</c:v>
                </c:pt>
                <c:pt idx="40">
                  <c:v>Croissant</c:v>
                </c:pt>
                <c:pt idx="41">
                  <c:v>Pain au chocolat</c:v>
                </c:pt>
                <c:pt idx="42">
                  <c:v>Pain de seigle</c:v>
                </c:pt>
                <c:pt idx="43">
                  <c:v>Gel douche</c:v>
                </c:pt>
                <c:pt idx="44">
                  <c:v>Brosse à dents</c:v>
                </c:pt>
                <c:pt idx="45">
                  <c:v>Déodorant</c:v>
                </c:pt>
                <c:pt idx="46">
                  <c:v>Coton-tige</c:v>
                </c:pt>
                <c:pt idx="47">
                  <c:v>Crème pour le corps</c:v>
                </c:pt>
                <c:pt idx="48">
                  <c:v>Shampooing</c:v>
                </c:pt>
                <c:pt idx="49">
                  <c:v>Savons liquide</c:v>
                </c:pt>
                <c:pt idx="50">
                  <c:v>Bain de bouche</c:v>
                </c:pt>
                <c:pt idx="51">
                  <c:v>Savons intime</c:v>
                </c:pt>
                <c:pt idx="52">
                  <c:v>Diago 1,5L</c:v>
                </c:pt>
                <c:pt idx="53">
                  <c:v>Sardine</c:v>
                </c:pt>
              </c:strCache>
            </c:strRef>
          </c:cat>
          <c:val>
            <c:numRef>
              <c:f>Stock!$K$2:$K$57</c:f>
              <c:numCache>
                <c:formatCode>General</c:formatCode>
                <c:ptCount val="56"/>
                <c:pt idx="0">
                  <c:v>2</c:v>
                </c:pt>
                <c:pt idx="1">
                  <c:v>205</c:v>
                </c:pt>
                <c:pt idx="2">
                  <c:v>66</c:v>
                </c:pt>
                <c:pt idx="3">
                  <c:v>232</c:v>
                </c:pt>
                <c:pt idx="4">
                  <c:v>214</c:v>
                </c:pt>
                <c:pt idx="5">
                  <c:v>200</c:v>
                </c:pt>
                <c:pt idx="6">
                  <c:v>183</c:v>
                </c:pt>
                <c:pt idx="7">
                  <c:v>196</c:v>
                </c:pt>
                <c:pt idx="8">
                  <c:v>189</c:v>
                </c:pt>
                <c:pt idx="9">
                  <c:v>225</c:v>
                </c:pt>
                <c:pt idx="10">
                  <c:v>191</c:v>
                </c:pt>
                <c:pt idx="11">
                  <c:v>185</c:v>
                </c:pt>
                <c:pt idx="12">
                  <c:v>201</c:v>
                </c:pt>
                <c:pt idx="13">
                  <c:v>230</c:v>
                </c:pt>
                <c:pt idx="14">
                  <c:v>209</c:v>
                </c:pt>
                <c:pt idx="15">
                  <c:v>189</c:v>
                </c:pt>
                <c:pt idx="16">
                  <c:v>199</c:v>
                </c:pt>
                <c:pt idx="17">
                  <c:v>61</c:v>
                </c:pt>
                <c:pt idx="18">
                  <c:v>223</c:v>
                </c:pt>
                <c:pt idx="19">
                  <c:v>194</c:v>
                </c:pt>
                <c:pt idx="20">
                  <c:v>190</c:v>
                </c:pt>
                <c:pt idx="21">
                  <c:v>174</c:v>
                </c:pt>
                <c:pt idx="22">
                  <c:v>183</c:v>
                </c:pt>
                <c:pt idx="23">
                  <c:v>92</c:v>
                </c:pt>
                <c:pt idx="24">
                  <c:v>190</c:v>
                </c:pt>
                <c:pt idx="25">
                  <c:v>239</c:v>
                </c:pt>
                <c:pt idx="26">
                  <c:v>188</c:v>
                </c:pt>
                <c:pt idx="27">
                  <c:v>216</c:v>
                </c:pt>
                <c:pt idx="28">
                  <c:v>168</c:v>
                </c:pt>
                <c:pt idx="29">
                  <c:v>181</c:v>
                </c:pt>
                <c:pt idx="30">
                  <c:v>201</c:v>
                </c:pt>
                <c:pt idx="31">
                  <c:v>236</c:v>
                </c:pt>
                <c:pt idx="32">
                  <c:v>222</c:v>
                </c:pt>
                <c:pt idx="33">
                  <c:v>233</c:v>
                </c:pt>
                <c:pt idx="34">
                  <c:v>229</c:v>
                </c:pt>
                <c:pt idx="35">
                  <c:v>230</c:v>
                </c:pt>
                <c:pt idx="36">
                  <c:v>201</c:v>
                </c:pt>
                <c:pt idx="37">
                  <c:v>211</c:v>
                </c:pt>
                <c:pt idx="38">
                  <c:v>218</c:v>
                </c:pt>
                <c:pt idx="39">
                  <c:v>207</c:v>
                </c:pt>
                <c:pt idx="40">
                  <c:v>188</c:v>
                </c:pt>
                <c:pt idx="41">
                  <c:v>220</c:v>
                </c:pt>
                <c:pt idx="42">
                  <c:v>196</c:v>
                </c:pt>
                <c:pt idx="43">
                  <c:v>230</c:v>
                </c:pt>
                <c:pt idx="44">
                  <c:v>200</c:v>
                </c:pt>
                <c:pt idx="45">
                  <c:v>191</c:v>
                </c:pt>
                <c:pt idx="46">
                  <c:v>208</c:v>
                </c:pt>
                <c:pt idx="47">
                  <c:v>193</c:v>
                </c:pt>
                <c:pt idx="48">
                  <c:v>216</c:v>
                </c:pt>
                <c:pt idx="49">
                  <c:v>221</c:v>
                </c:pt>
                <c:pt idx="50">
                  <c:v>192</c:v>
                </c:pt>
                <c:pt idx="51">
                  <c:v>186</c:v>
                </c:pt>
                <c:pt idx="52">
                  <c:v>179</c:v>
                </c:pt>
                <c:pt idx="53">
                  <c:v>106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58616"/>
        <c:axId val="258859000"/>
      </c:barChart>
      <c:catAx>
        <c:axId val="25885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8859000"/>
        <c:crosses val="autoZero"/>
        <c:auto val="1"/>
        <c:lblAlgn val="ctr"/>
        <c:lblOffset val="100"/>
        <c:noMultiLvlLbl val="0"/>
      </c:catAx>
      <c:valAx>
        <c:axId val="25885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885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[Caisse Enregistre.xlsm]Admin!Tableau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Chiffre</a:t>
            </a:r>
            <a:r>
              <a:rPr lang="en-US" sz="3200" baseline="0"/>
              <a:t> d'Affaires (FCFA) </a:t>
            </a:r>
            <a:endParaRPr lang="en-US" sz="3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6">
                  <a:shade val="30000"/>
                  <a:satMod val="115000"/>
                </a:schemeClr>
              </a:gs>
              <a:gs pos="50000">
                <a:schemeClr val="accent6">
                  <a:shade val="67500"/>
                  <a:satMod val="115000"/>
                </a:schemeClr>
              </a:gs>
              <a:gs pos="100000">
                <a:schemeClr val="accent6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2.1877101650516102E-2"/>
          <c:y val="0.17795897735005348"/>
          <c:w val="0.95147867840032896"/>
          <c:h val="0.46935329380123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Admin!$AL$8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trendline>
            <c:spPr>
              <a:ln w="762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Admin!$AK$9:$AK$30</c:f>
              <c:strCache>
                <c:ptCount val="21"/>
                <c:pt idx="0">
                  <c:v>01/12/2025</c:v>
                </c:pt>
                <c:pt idx="1">
                  <c:v>02/12/2025</c:v>
                </c:pt>
                <c:pt idx="2">
                  <c:v>03/12/2025</c:v>
                </c:pt>
                <c:pt idx="3">
                  <c:v>04/12/2025</c:v>
                </c:pt>
                <c:pt idx="4">
                  <c:v>05/12/2025</c:v>
                </c:pt>
                <c:pt idx="5">
                  <c:v>06/12/2025</c:v>
                </c:pt>
                <c:pt idx="6">
                  <c:v>07/12/2025</c:v>
                </c:pt>
                <c:pt idx="7">
                  <c:v>08/12/2025</c:v>
                </c:pt>
                <c:pt idx="8">
                  <c:v>09/12/2025</c:v>
                </c:pt>
                <c:pt idx="9">
                  <c:v>10/12/2025</c:v>
                </c:pt>
                <c:pt idx="10">
                  <c:v>11/12/2025</c:v>
                </c:pt>
                <c:pt idx="11">
                  <c:v>12/12/2025</c:v>
                </c:pt>
                <c:pt idx="12">
                  <c:v>13/12/2025</c:v>
                </c:pt>
                <c:pt idx="13">
                  <c:v>14/12/2025</c:v>
                </c:pt>
                <c:pt idx="14">
                  <c:v>15/12/2025</c:v>
                </c:pt>
                <c:pt idx="15">
                  <c:v>16/12/2025</c:v>
                </c:pt>
                <c:pt idx="16">
                  <c:v>17/12/2025</c:v>
                </c:pt>
                <c:pt idx="17">
                  <c:v>18/12/2025</c:v>
                </c:pt>
                <c:pt idx="18">
                  <c:v>19/12/2025</c:v>
                </c:pt>
                <c:pt idx="19">
                  <c:v>20/12/2025</c:v>
                </c:pt>
                <c:pt idx="20">
                  <c:v>25/12/2025</c:v>
                </c:pt>
              </c:strCache>
            </c:strRef>
          </c:cat>
          <c:val>
            <c:numRef>
              <c:f>Admin!$AL$9:$AL$30</c:f>
              <c:numCache>
                <c:formatCode>General</c:formatCode>
                <c:ptCount val="21"/>
                <c:pt idx="0">
                  <c:v>185500</c:v>
                </c:pt>
                <c:pt idx="1">
                  <c:v>101000</c:v>
                </c:pt>
                <c:pt idx="2">
                  <c:v>96375</c:v>
                </c:pt>
                <c:pt idx="3">
                  <c:v>103125</c:v>
                </c:pt>
                <c:pt idx="4">
                  <c:v>129625</c:v>
                </c:pt>
                <c:pt idx="5">
                  <c:v>94250</c:v>
                </c:pt>
                <c:pt idx="6">
                  <c:v>100250</c:v>
                </c:pt>
                <c:pt idx="7">
                  <c:v>145500</c:v>
                </c:pt>
                <c:pt idx="8">
                  <c:v>98000</c:v>
                </c:pt>
                <c:pt idx="9">
                  <c:v>142000</c:v>
                </c:pt>
                <c:pt idx="10">
                  <c:v>150500</c:v>
                </c:pt>
                <c:pt idx="11">
                  <c:v>98750</c:v>
                </c:pt>
                <c:pt idx="12">
                  <c:v>110125</c:v>
                </c:pt>
                <c:pt idx="13">
                  <c:v>95000</c:v>
                </c:pt>
                <c:pt idx="14">
                  <c:v>164000</c:v>
                </c:pt>
                <c:pt idx="15">
                  <c:v>241000</c:v>
                </c:pt>
                <c:pt idx="16">
                  <c:v>93750</c:v>
                </c:pt>
                <c:pt idx="17">
                  <c:v>100250</c:v>
                </c:pt>
                <c:pt idx="18">
                  <c:v>100375</c:v>
                </c:pt>
                <c:pt idx="19">
                  <c:v>99625</c:v>
                </c:pt>
                <c:pt idx="20">
                  <c:v>222875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85752"/>
        <c:axId val="259616304"/>
      </c:barChart>
      <c:catAx>
        <c:axId val="259485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9616304"/>
        <c:crosses val="autoZero"/>
        <c:auto val="1"/>
        <c:lblAlgn val="ctr"/>
        <c:lblOffset val="100"/>
        <c:noMultiLvlLbl val="0"/>
      </c:catAx>
      <c:valAx>
        <c:axId val="25961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948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[Caisse Enregistre.xlsm]Admin!Tableau croisé 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Dépenses</a:t>
            </a:r>
            <a:r>
              <a:rPr lang="en-US" sz="3200" baseline="0"/>
              <a:t> lié au stock vendu</a:t>
            </a:r>
            <a:endParaRPr lang="en-US" sz="32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4.0530440891852502E-2"/>
          <c:y val="0.2028312757201646"/>
          <c:w val="0.9536838920236318"/>
          <c:h val="0.492794659926768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Admin!$AO$8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Admin!$AN$9:$AN$30</c:f>
              <c:strCache>
                <c:ptCount val="21"/>
                <c:pt idx="0">
                  <c:v>01/12/2025</c:v>
                </c:pt>
                <c:pt idx="1">
                  <c:v>02/12/2025</c:v>
                </c:pt>
                <c:pt idx="2">
                  <c:v>03/12/2025</c:v>
                </c:pt>
                <c:pt idx="3">
                  <c:v>04/12/2025</c:v>
                </c:pt>
                <c:pt idx="4">
                  <c:v>05/12/2025</c:v>
                </c:pt>
                <c:pt idx="5">
                  <c:v>06/12/2025</c:v>
                </c:pt>
                <c:pt idx="6">
                  <c:v>07/12/2025</c:v>
                </c:pt>
                <c:pt idx="7">
                  <c:v>08/12/2025</c:v>
                </c:pt>
                <c:pt idx="8">
                  <c:v>09/12/2025</c:v>
                </c:pt>
                <c:pt idx="9">
                  <c:v>10/12/2025</c:v>
                </c:pt>
                <c:pt idx="10">
                  <c:v>11/12/2025</c:v>
                </c:pt>
                <c:pt idx="11">
                  <c:v>12/12/2025</c:v>
                </c:pt>
                <c:pt idx="12">
                  <c:v>13/12/2025</c:v>
                </c:pt>
                <c:pt idx="13">
                  <c:v>14/12/2025</c:v>
                </c:pt>
                <c:pt idx="14">
                  <c:v>15/12/2025</c:v>
                </c:pt>
                <c:pt idx="15">
                  <c:v>16/12/2025</c:v>
                </c:pt>
                <c:pt idx="16">
                  <c:v>17/12/2025</c:v>
                </c:pt>
                <c:pt idx="17">
                  <c:v>18/12/2025</c:v>
                </c:pt>
                <c:pt idx="18">
                  <c:v>19/12/2025</c:v>
                </c:pt>
                <c:pt idx="19">
                  <c:v>20/12/2025</c:v>
                </c:pt>
                <c:pt idx="20">
                  <c:v>25/12/2025</c:v>
                </c:pt>
              </c:strCache>
            </c:strRef>
          </c:cat>
          <c:val>
            <c:numRef>
              <c:f>Admin!$AO$9:$AO$30</c:f>
              <c:numCache>
                <c:formatCode>General</c:formatCode>
                <c:ptCount val="21"/>
                <c:pt idx="0">
                  <c:v>148400</c:v>
                </c:pt>
                <c:pt idx="1">
                  <c:v>80800</c:v>
                </c:pt>
                <c:pt idx="2">
                  <c:v>77100</c:v>
                </c:pt>
                <c:pt idx="3">
                  <c:v>82500</c:v>
                </c:pt>
                <c:pt idx="4">
                  <c:v>103700</c:v>
                </c:pt>
                <c:pt idx="5">
                  <c:v>75400</c:v>
                </c:pt>
                <c:pt idx="6">
                  <c:v>80200</c:v>
                </c:pt>
                <c:pt idx="7">
                  <c:v>116400</c:v>
                </c:pt>
                <c:pt idx="8">
                  <c:v>78400</c:v>
                </c:pt>
                <c:pt idx="9">
                  <c:v>113600</c:v>
                </c:pt>
                <c:pt idx="10">
                  <c:v>120400</c:v>
                </c:pt>
                <c:pt idx="11">
                  <c:v>79000</c:v>
                </c:pt>
                <c:pt idx="12">
                  <c:v>88100</c:v>
                </c:pt>
                <c:pt idx="13">
                  <c:v>76000</c:v>
                </c:pt>
                <c:pt idx="14">
                  <c:v>131200</c:v>
                </c:pt>
                <c:pt idx="15">
                  <c:v>192800</c:v>
                </c:pt>
                <c:pt idx="16">
                  <c:v>75000</c:v>
                </c:pt>
                <c:pt idx="17">
                  <c:v>80200</c:v>
                </c:pt>
                <c:pt idx="18">
                  <c:v>80300</c:v>
                </c:pt>
                <c:pt idx="19">
                  <c:v>79700</c:v>
                </c:pt>
                <c:pt idx="20">
                  <c:v>178300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606920"/>
        <c:axId val="259576352"/>
      </c:barChart>
      <c:catAx>
        <c:axId val="2596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7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9576352"/>
        <c:crosses val="autoZero"/>
        <c:auto val="1"/>
        <c:lblAlgn val="ctr"/>
        <c:lblOffset val="100"/>
        <c:noMultiLvlLbl val="0"/>
      </c:catAx>
      <c:valAx>
        <c:axId val="25957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960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microsoft.com/office/2007/relationships/hdphoto" Target="../media/hdphoto2.wdp"/><Relationship Id="rId12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microsoft.com/office/2007/relationships/hdphoto" Target="../media/hdphoto4.wdp"/><Relationship Id="rId5" Type="http://schemas.microsoft.com/office/2007/relationships/hdphoto" Target="../media/hdphoto1.wdp"/><Relationship Id="rId10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64249</xdr:colOff>
      <xdr:row>18</xdr:row>
      <xdr:rowOff>76198</xdr:rowOff>
    </xdr:from>
    <xdr:to>
      <xdr:col>20</xdr:col>
      <xdr:colOff>555626</xdr:colOff>
      <xdr:row>33</xdr:row>
      <xdr:rowOff>126999</xdr:rowOff>
    </xdr:to>
    <xdr:sp macro="" textlink="">
      <xdr:nvSpPr>
        <xdr:cNvPr id="3" name="Organigramme : Alternative 2"/>
        <xdr:cNvSpPr/>
      </xdr:nvSpPr>
      <xdr:spPr>
        <a:xfrm>
          <a:off x="64249" y="4378323"/>
          <a:ext cx="20795502" cy="3035301"/>
        </a:xfrm>
        <a:prstGeom prst="flowChartAlternateProcess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96104</xdr:colOff>
      <xdr:row>4</xdr:row>
      <xdr:rowOff>74865</xdr:rowOff>
    </xdr:from>
    <xdr:to>
      <xdr:col>20</xdr:col>
      <xdr:colOff>460375</xdr:colOff>
      <xdr:row>17</xdr:row>
      <xdr:rowOff>140607</xdr:rowOff>
    </xdr:to>
    <xdr:sp macro="" textlink="">
      <xdr:nvSpPr>
        <xdr:cNvPr id="6" name="Organigramme : Alternative 5"/>
        <xdr:cNvSpPr/>
      </xdr:nvSpPr>
      <xdr:spPr>
        <a:xfrm>
          <a:off x="11097479" y="1074990"/>
          <a:ext cx="9667021" cy="3177242"/>
        </a:xfrm>
        <a:prstGeom prst="flowChartAlternateProcess">
          <a:avLst/>
        </a:prstGeom>
        <a:solidFill>
          <a:schemeClr val="bg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101599</xdr:colOff>
      <xdr:row>4</xdr:row>
      <xdr:rowOff>127000</xdr:rowOff>
    </xdr:from>
    <xdr:to>
      <xdr:col>3</xdr:col>
      <xdr:colOff>653142</xdr:colOff>
      <xdr:row>17</xdr:row>
      <xdr:rowOff>176892</xdr:rowOff>
    </xdr:to>
    <xdr:sp macro="" textlink="">
      <xdr:nvSpPr>
        <xdr:cNvPr id="7" name="Rectangle à coins arrondis 6"/>
        <xdr:cNvSpPr/>
      </xdr:nvSpPr>
      <xdr:spPr>
        <a:xfrm>
          <a:off x="101599" y="1120321"/>
          <a:ext cx="2837543" cy="3111500"/>
        </a:xfrm>
        <a:prstGeom prst="roundRect">
          <a:avLst>
            <a:gd name="adj" fmla="val 9364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177799</xdr:colOff>
      <xdr:row>5</xdr:row>
      <xdr:rowOff>95249</xdr:rowOff>
    </xdr:from>
    <xdr:to>
      <xdr:col>3</xdr:col>
      <xdr:colOff>585106</xdr:colOff>
      <xdr:row>12</xdr:row>
      <xdr:rowOff>31750</xdr:rowOff>
    </xdr:to>
    <xdr:sp macro="[0]!Ouvrir_Caisse" textlink="">
      <xdr:nvSpPr>
        <xdr:cNvPr id="8" name="Rectangle à coins arrondis 7"/>
        <xdr:cNvSpPr/>
      </xdr:nvSpPr>
      <xdr:spPr>
        <a:xfrm>
          <a:off x="177799" y="1285874"/>
          <a:ext cx="3090182" cy="1270001"/>
        </a:xfrm>
        <a:prstGeom prst="roundRect">
          <a:avLst/>
        </a:prstGeom>
        <a:solidFill>
          <a:srgbClr val="339933"/>
        </a:solidFill>
        <a:ln w="28575">
          <a:solidFill>
            <a:sysClr val="windowText" lastClr="000000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800" b="1">
              <a:solidFill>
                <a:schemeClr val="bg1"/>
              </a:solidFill>
              <a:latin typeface="Georgia" panose="02040502050405020303" pitchFamily="18" charset="0"/>
            </a:rPr>
            <a:t>   FACTURE</a:t>
          </a:r>
        </a:p>
      </xdr:txBody>
    </xdr:sp>
    <xdr:clientData/>
  </xdr:twoCellAnchor>
  <xdr:twoCellAnchor>
    <xdr:from>
      <xdr:col>9</xdr:col>
      <xdr:colOff>6350</xdr:colOff>
      <xdr:row>4</xdr:row>
      <xdr:rowOff>122464</xdr:rowOff>
    </xdr:from>
    <xdr:to>
      <xdr:col>14</xdr:col>
      <xdr:colOff>13607</xdr:colOff>
      <xdr:row>11</xdr:row>
      <xdr:rowOff>108858</xdr:rowOff>
    </xdr:to>
    <xdr:sp macro="" textlink="">
      <xdr:nvSpPr>
        <xdr:cNvPr id="11" name="Rectangle à coins arrondis 10"/>
        <xdr:cNvSpPr/>
      </xdr:nvSpPr>
      <xdr:spPr>
        <a:xfrm>
          <a:off x="5843814" y="1115785"/>
          <a:ext cx="2592614" cy="1319894"/>
        </a:xfrm>
        <a:prstGeom prst="roundRect">
          <a:avLst/>
        </a:prstGeom>
        <a:solidFill>
          <a:schemeClr val="bg1">
            <a:lumMod val="5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1600" b="1">
              <a:solidFill>
                <a:schemeClr val="bg1"/>
              </a:solidFill>
              <a:latin typeface="Georgia" panose="02040502050405020303" pitchFamily="18" charset="0"/>
            </a:rPr>
            <a:t>CHIFFRE</a:t>
          </a:r>
          <a:r>
            <a:rPr lang="fr-FR" sz="1600" b="1" baseline="0">
              <a:solidFill>
                <a:schemeClr val="bg1"/>
              </a:solidFill>
              <a:latin typeface="Georgia" panose="02040502050405020303" pitchFamily="18" charset="0"/>
            </a:rPr>
            <a:t> D'AFFAIRE</a:t>
          </a:r>
          <a:endParaRPr lang="fr-FR" sz="1600" b="1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4</xdr:col>
      <xdr:colOff>907</xdr:colOff>
      <xdr:row>4</xdr:row>
      <xdr:rowOff>149678</xdr:rowOff>
    </xdr:from>
    <xdr:to>
      <xdr:col>8</xdr:col>
      <xdr:colOff>907</xdr:colOff>
      <xdr:row>11</xdr:row>
      <xdr:rowOff>136072</xdr:rowOff>
    </xdr:to>
    <xdr:sp macro="" textlink="">
      <xdr:nvSpPr>
        <xdr:cNvPr id="12" name="Rectangle à coins arrondis 11"/>
        <xdr:cNvSpPr/>
      </xdr:nvSpPr>
      <xdr:spPr>
        <a:xfrm>
          <a:off x="3443514" y="1142999"/>
          <a:ext cx="2286000" cy="1319894"/>
        </a:xfrm>
        <a:prstGeom prst="roundRect">
          <a:avLst/>
        </a:prstGeom>
        <a:solidFill>
          <a:schemeClr val="bg1">
            <a:lumMod val="5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600" b="1">
              <a:solidFill>
                <a:schemeClr val="bg1"/>
              </a:solidFill>
              <a:latin typeface="Georgia" panose="02040502050405020303" pitchFamily="18" charset="0"/>
            </a:rPr>
            <a:t>PRODUIT VENDU     </a:t>
          </a:r>
        </a:p>
      </xdr:txBody>
    </xdr:sp>
    <xdr:clientData/>
  </xdr:twoCellAnchor>
  <xdr:twoCellAnchor editAs="oneCell">
    <xdr:from>
      <xdr:col>0</xdr:col>
      <xdr:colOff>108858</xdr:colOff>
      <xdr:row>0</xdr:row>
      <xdr:rowOff>122465</xdr:rowOff>
    </xdr:from>
    <xdr:to>
      <xdr:col>1</xdr:col>
      <xdr:colOff>54430</xdr:colOff>
      <xdr:row>2</xdr:row>
      <xdr:rowOff>421823</xdr:rowOff>
    </xdr:to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58" y="122465"/>
          <a:ext cx="1104447" cy="680358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635000</xdr:colOff>
      <xdr:row>0</xdr:row>
      <xdr:rowOff>95250</xdr:rowOff>
    </xdr:from>
    <xdr:to>
      <xdr:col>16</xdr:col>
      <xdr:colOff>732970</xdr:colOff>
      <xdr:row>2</xdr:row>
      <xdr:rowOff>435429</xdr:rowOff>
    </xdr:to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32125" y="95250"/>
          <a:ext cx="859970" cy="721179"/>
        </a:xfrm>
        <a:prstGeom prst="rect">
          <a:avLst/>
        </a:prstGeom>
      </xdr:spPr>
    </xdr:pic>
    <xdr:clientData/>
  </xdr:twoCellAnchor>
  <xdr:twoCellAnchor editAs="oneCell">
    <xdr:from>
      <xdr:col>9</xdr:col>
      <xdr:colOff>2154465</xdr:colOff>
      <xdr:row>0</xdr:row>
      <xdr:rowOff>140608</xdr:rowOff>
    </xdr:from>
    <xdr:to>
      <xdr:col>12</xdr:col>
      <xdr:colOff>322818</xdr:colOff>
      <xdr:row>2</xdr:row>
      <xdr:rowOff>467179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2465" y="140608"/>
          <a:ext cx="1295728" cy="707571"/>
        </a:xfrm>
        <a:prstGeom prst="rect">
          <a:avLst/>
        </a:prstGeom>
      </xdr:spPr>
    </xdr:pic>
    <xdr:clientData/>
  </xdr:twoCellAnchor>
  <xdr:twoCellAnchor editAs="oneCell">
    <xdr:from>
      <xdr:col>0</xdr:col>
      <xdr:colOff>669017</xdr:colOff>
      <xdr:row>5</xdr:row>
      <xdr:rowOff>161018</xdr:rowOff>
    </xdr:from>
    <xdr:to>
      <xdr:col>1</xdr:col>
      <xdr:colOff>95250</xdr:colOff>
      <xdr:row>8</xdr:row>
      <xdr:rowOff>188232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colorTemperature colorTemp="8800"/>
                  </a14:imgEffect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17" y="1351643"/>
          <a:ext cx="585108" cy="598714"/>
        </a:xfrm>
        <a:prstGeom prst="rect">
          <a:avLst/>
        </a:prstGeom>
      </xdr:spPr>
    </xdr:pic>
    <xdr:clientData/>
  </xdr:twoCellAnchor>
  <xdr:twoCellAnchor editAs="oneCell">
    <xdr:from>
      <xdr:col>9</xdr:col>
      <xdr:colOff>299357</xdr:colOff>
      <xdr:row>5</xdr:row>
      <xdr:rowOff>108857</xdr:rowOff>
    </xdr:from>
    <xdr:to>
      <xdr:col>9</xdr:col>
      <xdr:colOff>884465</xdr:colOff>
      <xdr:row>9</xdr:row>
      <xdr:rowOff>54429</xdr:rowOff>
    </xdr:to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6821" y="1292678"/>
          <a:ext cx="585108" cy="707572"/>
        </a:xfrm>
        <a:prstGeom prst="rect">
          <a:avLst/>
        </a:prstGeom>
      </xdr:spPr>
    </xdr:pic>
    <xdr:clientData/>
  </xdr:twoCellAnchor>
  <xdr:twoCellAnchor editAs="oneCell">
    <xdr:from>
      <xdr:col>4</xdr:col>
      <xdr:colOff>136071</xdr:colOff>
      <xdr:row>5</xdr:row>
      <xdr:rowOff>40822</xdr:rowOff>
    </xdr:from>
    <xdr:to>
      <xdr:col>5</xdr:col>
      <xdr:colOff>54429</xdr:colOff>
      <xdr:row>9</xdr:row>
      <xdr:rowOff>70756</xdr:rowOff>
    </xdr:to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8678" y="1224643"/>
          <a:ext cx="680358" cy="791934"/>
        </a:xfrm>
        <a:prstGeom prst="rect">
          <a:avLst/>
        </a:prstGeom>
      </xdr:spPr>
    </xdr:pic>
    <xdr:clientData/>
  </xdr:twoCellAnchor>
  <xdr:twoCellAnchor>
    <xdr:from>
      <xdr:col>0</xdr:col>
      <xdr:colOff>177799</xdr:colOff>
      <xdr:row>13</xdr:row>
      <xdr:rowOff>24945</xdr:rowOff>
    </xdr:from>
    <xdr:to>
      <xdr:col>3</xdr:col>
      <xdr:colOff>585106</xdr:colOff>
      <xdr:row>16</xdr:row>
      <xdr:rowOff>136071</xdr:rowOff>
    </xdr:to>
    <xdr:sp macro="[0]!AllerStock" textlink="">
      <xdr:nvSpPr>
        <xdr:cNvPr id="21" name="Rectangle à coins arrondis 20"/>
        <xdr:cNvSpPr/>
      </xdr:nvSpPr>
      <xdr:spPr>
        <a:xfrm>
          <a:off x="177799" y="2739570"/>
          <a:ext cx="3090182" cy="1270001"/>
        </a:xfrm>
        <a:prstGeom prst="roundRect">
          <a:avLst/>
        </a:prstGeom>
        <a:solidFill>
          <a:srgbClr val="339933"/>
        </a:solidFill>
        <a:ln w="28575">
          <a:solidFill>
            <a:sysClr val="windowText" lastClr="000000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800" b="1">
              <a:solidFill>
                <a:schemeClr val="bg1"/>
              </a:solidFill>
              <a:latin typeface="Georgia" panose="02040502050405020303" pitchFamily="18" charset="0"/>
            </a:rPr>
            <a:t>   STOCK</a:t>
          </a:r>
        </a:p>
      </xdr:txBody>
    </xdr:sp>
    <xdr:clientData/>
  </xdr:twoCellAnchor>
  <xdr:twoCellAnchor editAs="oneCell">
    <xdr:from>
      <xdr:col>0</xdr:col>
      <xdr:colOff>635453</xdr:colOff>
      <xdr:row>13</xdr:row>
      <xdr:rowOff>127454</xdr:rowOff>
    </xdr:from>
    <xdr:to>
      <xdr:col>1</xdr:col>
      <xdr:colOff>44569</xdr:colOff>
      <xdr:row>13</xdr:row>
      <xdr:rowOff>809733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453" y="2842079"/>
          <a:ext cx="567991" cy="682279"/>
        </a:xfrm>
        <a:prstGeom prst="rect">
          <a:avLst/>
        </a:prstGeom>
      </xdr:spPr>
    </xdr:pic>
    <xdr:clientData/>
  </xdr:twoCellAnchor>
  <xdr:twoCellAnchor>
    <xdr:from>
      <xdr:col>14</xdr:col>
      <xdr:colOff>428625</xdr:colOff>
      <xdr:row>5</xdr:row>
      <xdr:rowOff>31750</xdr:rowOff>
    </xdr:from>
    <xdr:to>
      <xdr:col>20</xdr:col>
      <xdr:colOff>222250</xdr:colOff>
      <xdr:row>16</xdr:row>
      <xdr:rowOff>190499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269874</xdr:colOff>
      <xdr:row>19</xdr:row>
      <xdr:rowOff>0</xdr:rowOff>
    </xdr:from>
    <xdr:to>
      <xdr:col>20</xdr:col>
      <xdr:colOff>158750</xdr:colOff>
      <xdr:row>32</xdr:row>
      <xdr:rowOff>126999</xdr:rowOff>
    </xdr:to>
    <xdr:graphicFrame macro="">
      <xdr:nvGraphicFramePr>
        <xdr:cNvPr id="25" name="Graphique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18</xdr:col>
      <xdr:colOff>1317625</xdr:colOff>
      <xdr:row>8</xdr:row>
      <xdr:rowOff>15875</xdr:rowOff>
    </xdr:from>
    <xdr:to>
      <xdr:col>20</xdr:col>
      <xdr:colOff>285750</xdr:colOff>
      <xdr:row>13</xdr:row>
      <xdr:rowOff>793750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6" name="Date et heur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et heu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431000" y="1778000"/>
              <a:ext cx="1158875" cy="1730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ni redimensionner.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158750</xdr:colOff>
      <xdr:row>0</xdr:row>
      <xdr:rowOff>158750</xdr:rowOff>
    </xdr:from>
    <xdr:to>
      <xdr:col>9</xdr:col>
      <xdr:colOff>825818</xdr:colOff>
      <xdr:row>2</xdr:row>
      <xdr:rowOff>444818</xdr:rowOff>
    </xdr:to>
    <xdr:pic macro="[0]!actualiser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58750"/>
          <a:ext cx="667068" cy="6670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31216</xdr:colOff>
      <xdr:row>5</xdr:row>
      <xdr:rowOff>33618</xdr:rowOff>
    </xdr:from>
    <xdr:to>
      <xdr:col>1</xdr:col>
      <xdr:colOff>3309937</xdr:colOff>
      <xdr:row>9</xdr:row>
      <xdr:rowOff>34637</xdr:rowOff>
    </xdr:to>
    <xdr:sp macro="" textlink="">
      <xdr:nvSpPr>
        <xdr:cNvPr id="3" name="Rectangle à coins arrondis 2"/>
        <xdr:cNvSpPr/>
      </xdr:nvSpPr>
      <xdr:spPr>
        <a:xfrm>
          <a:off x="221716" y="1486181"/>
          <a:ext cx="3278721" cy="786831"/>
        </a:xfrm>
        <a:prstGeom prst="roundRect">
          <a:avLst/>
        </a:prstGeom>
        <a:solidFill>
          <a:schemeClr val="bg1">
            <a:lumMod val="5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800" b="1">
              <a:solidFill>
                <a:schemeClr val="bg1"/>
              </a:solidFill>
              <a:latin typeface="Georgia" panose="02040502050405020303" pitchFamily="18" charset="0"/>
              <a:ea typeface="+mn-ea"/>
              <a:cs typeface="+mn-cs"/>
            </a:rPr>
            <a:t>MOIS</a:t>
          </a:r>
        </a:p>
      </xdr:txBody>
    </xdr:sp>
    <xdr:clientData/>
  </xdr:twoCellAnchor>
  <xdr:twoCellAnchor>
    <xdr:from>
      <xdr:col>1</xdr:col>
      <xdr:colOff>1</xdr:colOff>
      <xdr:row>10</xdr:row>
      <xdr:rowOff>34636</xdr:rowOff>
    </xdr:from>
    <xdr:to>
      <xdr:col>4</xdr:col>
      <xdr:colOff>27215</xdr:colOff>
      <xdr:row>22</xdr:row>
      <xdr:rowOff>2</xdr:rowOff>
    </xdr:to>
    <xdr:sp macro="" textlink="">
      <xdr:nvSpPr>
        <xdr:cNvPr id="4" name="Rectangle à coins arrondis 3"/>
        <xdr:cNvSpPr/>
      </xdr:nvSpPr>
      <xdr:spPr>
        <a:xfrm>
          <a:off x="173183" y="2303318"/>
          <a:ext cx="4391396" cy="2251366"/>
        </a:xfrm>
        <a:prstGeom prst="roundRect">
          <a:avLst/>
        </a:prstGeom>
        <a:solidFill>
          <a:schemeClr val="bg1">
            <a:lumMod val="5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3200" b="1">
              <a:solidFill>
                <a:schemeClr val="bg1"/>
              </a:solidFill>
              <a:latin typeface="Georgia" panose="02040502050405020303" pitchFamily="18" charset="0"/>
            </a:rPr>
            <a:t>CHIFFRE</a:t>
          </a:r>
          <a:r>
            <a:rPr lang="fr-FR" sz="3200" b="1" baseline="0">
              <a:solidFill>
                <a:schemeClr val="bg1"/>
              </a:solidFill>
              <a:latin typeface="Georgia" panose="02040502050405020303" pitchFamily="18" charset="0"/>
            </a:rPr>
            <a:t> D'AFFAIRE</a:t>
          </a:r>
          <a:endParaRPr lang="fr-FR" sz="3200" b="1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0</xdr:col>
      <xdr:colOff>166007</xdr:colOff>
      <xdr:row>28</xdr:row>
      <xdr:rowOff>166007</xdr:rowOff>
    </xdr:from>
    <xdr:to>
      <xdr:col>4</xdr:col>
      <xdr:colOff>2721</xdr:colOff>
      <xdr:row>39</xdr:row>
      <xdr:rowOff>177585</xdr:rowOff>
    </xdr:to>
    <xdr:sp macro="" textlink="">
      <xdr:nvSpPr>
        <xdr:cNvPr id="6" name="Rectangle à coins arrondis 5"/>
        <xdr:cNvSpPr/>
      </xdr:nvSpPr>
      <xdr:spPr>
        <a:xfrm>
          <a:off x="166007" y="4767066"/>
          <a:ext cx="3130104" cy="1464544"/>
        </a:xfrm>
        <a:prstGeom prst="roundRect">
          <a:avLst/>
        </a:prstGeom>
        <a:solidFill>
          <a:schemeClr val="bg1">
            <a:lumMod val="5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3200" b="1">
              <a:solidFill>
                <a:schemeClr val="bg1"/>
              </a:solidFill>
              <a:latin typeface="Georgia" panose="02040502050405020303" pitchFamily="18" charset="0"/>
            </a:rPr>
            <a:t>DEPENSES</a:t>
          </a:r>
        </a:p>
      </xdr:txBody>
    </xdr:sp>
    <xdr:clientData/>
  </xdr:twoCellAnchor>
  <xdr:twoCellAnchor>
    <xdr:from>
      <xdr:col>4</xdr:col>
      <xdr:colOff>262083</xdr:colOff>
      <xdr:row>9</xdr:row>
      <xdr:rowOff>103909</xdr:rowOff>
    </xdr:from>
    <xdr:to>
      <xdr:col>23</xdr:col>
      <xdr:colOff>3550227</xdr:colOff>
      <xdr:row>28</xdr:row>
      <xdr:rowOff>57727</xdr:rowOff>
    </xdr:to>
    <xdr:sp macro="" textlink="">
      <xdr:nvSpPr>
        <xdr:cNvPr id="9" name="Organigramme : Alternative 8"/>
        <xdr:cNvSpPr/>
      </xdr:nvSpPr>
      <xdr:spPr>
        <a:xfrm>
          <a:off x="4764810" y="2203739"/>
          <a:ext cx="23788542" cy="3655579"/>
        </a:xfrm>
        <a:prstGeom prst="flowChartAlternateProcess">
          <a:avLst/>
        </a:prstGeom>
        <a:solidFill>
          <a:schemeClr val="bg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322010</xdr:colOff>
      <xdr:row>28</xdr:row>
      <xdr:rowOff>194353</xdr:rowOff>
    </xdr:from>
    <xdr:to>
      <xdr:col>23</xdr:col>
      <xdr:colOff>3550227</xdr:colOff>
      <xdr:row>48</xdr:row>
      <xdr:rowOff>6114</xdr:rowOff>
    </xdr:to>
    <xdr:sp macro="" textlink="">
      <xdr:nvSpPr>
        <xdr:cNvPr id="10" name="Organigramme : Alternative 9"/>
        <xdr:cNvSpPr/>
      </xdr:nvSpPr>
      <xdr:spPr>
        <a:xfrm>
          <a:off x="4824737" y="5995944"/>
          <a:ext cx="23728615" cy="3621761"/>
        </a:xfrm>
        <a:prstGeom prst="flowChartAlternateProcess">
          <a:avLst/>
        </a:prstGeom>
        <a:solidFill>
          <a:schemeClr val="bg1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205035</xdr:colOff>
      <xdr:row>12</xdr:row>
      <xdr:rowOff>129888</xdr:rowOff>
    </xdr:from>
    <xdr:to>
      <xdr:col>1</xdr:col>
      <xdr:colOff>790143</xdr:colOff>
      <xdr:row>18</xdr:row>
      <xdr:rowOff>133241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217" y="2814206"/>
          <a:ext cx="585108" cy="1172330"/>
        </a:xfrm>
        <a:prstGeom prst="rect">
          <a:avLst/>
        </a:prstGeom>
      </xdr:spPr>
    </xdr:pic>
    <xdr:clientData/>
  </xdr:twoCellAnchor>
  <xdr:twoCellAnchor editAs="oneCell">
    <xdr:from>
      <xdr:col>1</xdr:col>
      <xdr:colOff>167106</xdr:colOff>
      <xdr:row>29</xdr:row>
      <xdr:rowOff>86591</xdr:rowOff>
    </xdr:from>
    <xdr:to>
      <xdr:col>1</xdr:col>
      <xdr:colOff>752214</xdr:colOff>
      <xdr:row>36</xdr:row>
      <xdr:rowOff>129885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288" y="6775739"/>
          <a:ext cx="585108" cy="1407101"/>
        </a:xfrm>
        <a:prstGeom prst="rect">
          <a:avLst/>
        </a:prstGeom>
      </xdr:spPr>
    </xdr:pic>
    <xdr:clientData/>
  </xdr:twoCellAnchor>
  <xdr:twoCellAnchor>
    <xdr:from>
      <xdr:col>5</xdr:col>
      <xdr:colOff>-1</xdr:colOff>
      <xdr:row>10</xdr:row>
      <xdr:rowOff>95249</xdr:rowOff>
    </xdr:from>
    <xdr:to>
      <xdr:col>23</xdr:col>
      <xdr:colOff>3238500</xdr:colOff>
      <xdr:row>27</xdr:row>
      <xdr:rowOff>119061</xdr:rowOff>
    </xdr:to>
    <xdr:graphicFrame macro="">
      <xdr:nvGraphicFramePr>
        <xdr:cNvPr id="12" name="Graphique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23813</xdr:colOff>
      <xdr:row>29</xdr:row>
      <xdr:rowOff>71437</xdr:rowOff>
    </xdr:from>
    <xdr:to>
      <xdr:col>23</xdr:col>
      <xdr:colOff>3119437</xdr:colOff>
      <xdr:row>46</xdr:row>
      <xdr:rowOff>95250</xdr:rowOff>
    </xdr:to>
    <xdr:graphicFrame macro="">
      <xdr:nvGraphicFramePr>
        <xdr:cNvPr id="13" name="Graphique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23</xdr:col>
      <xdr:colOff>2057400</xdr:colOff>
      <xdr:row>0</xdr:row>
      <xdr:rowOff>109537</xdr:rowOff>
    </xdr:from>
    <xdr:to>
      <xdr:col>23</xdr:col>
      <xdr:colOff>3571875</xdr:colOff>
      <xdr:row>0</xdr:row>
      <xdr:rowOff>1033462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Dat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013275" y="109537"/>
              <a:ext cx="1514475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ni redimensionner.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SSE GSM" refreshedDate="46086.48408761574" createdVersion="5" refreshedVersion="5" minRefreshableVersion="3" recordCount="274">
  <cacheSource type="worksheet">
    <worksheetSource name="Base_données"/>
  </cacheSource>
  <cacheFields count="9">
    <cacheField name="Code" numFmtId="0">
      <sharedItems containsSemiMixedTypes="0" containsString="0" containsNumber="1" containsInteger="1" minValue="1000001" maxValue="1000054"/>
    </cacheField>
    <cacheField name="Désignation" numFmtId="0">
      <sharedItems containsBlank="1" count="63">
        <s v="café soluble"/>
        <s v="Jus d'anana IL"/>
        <s v="Ouef (12)"/>
        <s v="Riz 5kg"/>
        <s v="Pommes"/>
        <s v="pâtes 1kg"/>
        <s v="Viande de bœuf"/>
        <s v="huile végétale 1L"/>
        <s v="Sucré 50kg"/>
        <s v="Lait IL"/>
        <s v="Farine 50kg"/>
        <s v="Pommes de terre"/>
        <s v="Eau mineral 1,5L"/>
        <s v="poulet entier"/>
        <s v="Thé 100kg"/>
        <s v="Fromage 200g"/>
        <s v="Poisson frais 500g"/>
        <s v="Pain de mie 500kg"/>
        <s v="Buscuits 200g"/>
        <s v="Mayonnaise"/>
        <s v="Bain de bouche"/>
        <s v="Chocolat"/>
        <s v="Citrons"/>
        <s v="Dentifrice"/>
        <s v="Brioche"/>
        <s v="Coton-tige"/>
        <s v="Sel 25kg"/>
        <s v="Oignons 1kg"/>
        <s v="Tomate 1kg"/>
        <s v="Moutard"/>
        <s v="Beurre 250g"/>
        <s v="Yaourt sucre"/>
        <s v="Savons toilette"/>
        <s v="Pain de seigle"/>
        <s v="Sucre"/>
        <s v="Carottes 1kg"/>
        <s v="Tomates"/>
        <s v="Jus d'orange IL"/>
        <s v="Mangue 1kg"/>
        <s v="Fraises"/>
        <s v="Melon"/>
        <s v="Cacao"/>
        <s v="Chou-fleur"/>
        <s v="salade vert"/>
        <s v="Croissant"/>
        <s v="Pain au chocolat"/>
        <s v="Gel douche"/>
        <s v="Déodorant"/>
        <s v="Crème pour le corp"/>
        <s v="Savons intime"/>
        <s v="Shampooing"/>
        <s v="Savons liquide"/>
        <s v="Brosse à dents"/>
        <s v="Diago"/>
        <s v="Sardine"/>
        <s v="Diago 1,5L"/>
        <s v="Papier toilette"/>
        <s v="Pomms"/>
        <m u="1"/>
        <s v="café" u="1"/>
        <s v="Eau" u="1"/>
        <s v="Lait" u="1"/>
        <s v="Jus" u="1"/>
      </sharedItems>
    </cacheField>
    <cacheField name="Quantité" numFmtId="0">
      <sharedItems containsSemiMixedTypes="0" containsString="0" containsNumber="1" containsInteger="1" minValue="1" maxValue="100"/>
    </cacheField>
    <cacheField name="Prix de Vente Unitaire TTC" numFmtId="165">
      <sharedItems containsSemiMixedTypes="0" containsString="0" containsNumber="1" containsInteger="1" minValue="250" maxValue="43750"/>
    </cacheField>
    <cacheField name="Total" numFmtId="165">
      <sharedItems containsSemiMixedTypes="0" containsString="0" containsNumber="1" containsInteger="1" minValue="500" maxValue="175000"/>
    </cacheField>
    <cacheField name="Date et heure" numFmtId="22">
      <sharedItems containsSemiMixedTypes="0" containsNonDate="0" containsDate="1" containsString="0" minDate="2025-11-01T07:51:33" maxDate="2026-03-05T11:36:49" count="205">
        <d v="2025-11-01T07:51:33"/>
        <d v="2025-11-01T23:02:12"/>
        <d v="2025-11-01T23:03:15"/>
        <d v="2025-11-02T08:06:03"/>
        <d v="2025-11-02T08:07:50"/>
        <d v="2025-11-02T08:11:21"/>
        <d v="2025-11-02T08:12:50"/>
        <d v="2025-11-03T11:27:17"/>
        <d v="2025-11-03T11:28:33"/>
        <d v="2025-11-03T11:31:18"/>
        <d v="2025-11-03T11:32:19"/>
        <d v="2025-11-03T11:32:44"/>
        <d v="2025-11-04T20:48:48"/>
        <d v="2025-11-04T20:51:33"/>
        <d v="2025-11-04T20:51:55"/>
        <d v="2025-11-05T00:03:19"/>
        <d v="2025-11-05T00:03:40"/>
        <d v="2025-11-06T07:14:57"/>
        <d v="2025-11-06T07:15:29"/>
        <d v="2025-11-06T07:16:26"/>
        <d v="2025-11-06T07:16:56"/>
        <d v="2025-11-07T16:22:35"/>
        <d v="2025-11-07T16:23:13"/>
        <d v="2025-11-07T16:23:44"/>
        <d v="2025-11-07T16:25:38"/>
        <d v="2025-11-07T16:26:23"/>
        <d v="2025-11-07T16:27:03"/>
        <d v="2025-11-08T14:39:12"/>
        <d v="2025-11-09T21:58:29"/>
        <d v="2025-11-10T17:06:53"/>
        <d v="2025-11-10T17:07:34"/>
        <d v="2025-11-10T17:08:15"/>
        <d v="2025-11-10T17:09:24"/>
        <d v="2025-11-11T09:51:28"/>
        <d v="2025-11-12T22:35:56"/>
        <d v="2025-11-13T17:06:21"/>
        <d v="2025-11-14T08:28:16"/>
        <d v="2025-11-15T13:43:04"/>
        <d v="2025-11-16T23:21:05"/>
        <d v="2025-11-17T07:18:41"/>
        <d v="2025-11-18T20:06:30"/>
        <d v="2025-11-19T15:35:11"/>
        <d v="2025-11-20T21:54:34"/>
        <d v="2025-11-21T16:43:15"/>
        <d v="2025-11-21T16:45:19"/>
        <d v="2025-11-21T17:17:24"/>
        <d v="2025-11-21T18:02:30"/>
        <d v="2025-11-22T17:44:49"/>
        <d v="2025-11-22T17:46:15"/>
        <d v="2025-11-22T17:47:32"/>
        <d v="2025-11-22T17:48:47"/>
        <d v="2025-11-22T17:50:47"/>
        <d v="2025-11-22T17:52:27"/>
        <d v="2025-11-22T17:58:43"/>
        <d v="2025-11-22T17:59:10"/>
        <d v="2025-11-22T18:09:18"/>
        <d v="2025-11-23T09:33:10"/>
        <d v="2025-11-23T09:33:45"/>
        <d v="2025-11-23T09:39:21"/>
        <d v="2025-11-23T09:40:25"/>
        <d v="2025-11-23T09:41:09"/>
        <d v="2025-11-23T09:41:39"/>
        <d v="2025-11-23T16:24:33"/>
        <d v="2025-11-24T10:01:06"/>
        <d v="2025-11-24T10:14:36"/>
        <d v="2025-11-24T10:17:49"/>
        <d v="2025-11-24T10:19:58"/>
        <d v="2025-11-25T17:42:50"/>
        <d v="2025-11-25T17:43:11"/>
        <d v="2025-11-26T17:45:01"/>
        <d v="2025-11-26T17:45:23"/>
        <d v="2025-11-26T17:46:54"/>
        <d v="2025-11-26T17:47:34"/>
        <d v="2025-11-26T17:48:26"/>
        <d v="2025-11-27T17:50:13"/>
        <d v="2025-11-27T17:50:40"/>
        <d v="2025-11-28T17:15:17"/>
        <d v="2025-11-28T20:47:42"/>
        <d v="2025-11-28T20:48:22"/>
        <d v="2025-11-28T20:49:10"/>
        <d v="2025-11-29T09:50:46"/>
        <d v="2025-11-29T09:51:22"/>
        <d v="2025-11-29T09:52:07"/>
        <d v="2025-11-30T12:55:10"/>
        <d v="2025-11-30T12:59:38"/>
        <d v="2025-11-30T13:00:29"/>
        <d v="2025-12-01T15:11:33"/>
        <d v="2025-12-01T17:24:21"/>
        <d v="2025-12-01T17:26:54"/>
        <d v="2025-12-01T17:29:58"/>
        <d v="2025-12-02T20:35:02"/>
        <d v="2025-12-02T20:37:54"/>
        <d v="2025-12-02T20:38:51"/>
        <d v="2025-12-03T20:40:58"/>
        <d v="2025-12-04T18:42:20"/>
        <d v="2025-12-05T18:43:39"/>
        <d v="2025-12-06T18:45:49"/>
        <d v="2025-12-07T18:47:28"/>
        <d v="2025-12-07T18:47:29"/>
        <d v="2025-12-08T18:51:00"/>
        <d v="2025-12-08T18:51:01"/>
        <d v="2025-12-09T19:01:39"/>
        <d v="2025-12-10T19:04:31"/>
        <d v="2025-12-11T19:05:38"/>
        <d v="2025-12-11T19:07:19"/>
        <d v="2025-12-12T19:09:10"/>
        <d v="2025-12-13T22:11:32"/>
        <d v="2025-12-14T22:26:20"/>
        <d v="2025-12-15T22:32:04"/>
        <d v="2025-12-15T22:35:24"/>
        <d v="2025-12-15T22:37:07"/>
        <d v="2025-12-15T22:40:01"/>
        <d v="2025-12-15T22:43:16"/>
        <d v="2025-12-15T22:53:19"/>
        <d v="2025-12-16T22:57:13"/>
        <d v="2025-12-16T22:58:07"/>
        <d v="2025-12-16T23:00:46"/>
        <d v="2025-12-17T08:02:35"/>
        <d v="2025-12-17T08:02:36"/>
        <d v="2025-12-18T11:53:06"/>
        <d v="2025-12-19T12:04:28"/>
        <d v="2025-12-19T14:11:19"/>
        <d v="2025-12-19T14:11:45"/>
        <d v="2025-12-19T14:12:30"/>
        <d v="2025-12-19T14:13:06"/>
        <d v="2025-12-20T22:01:04"/>
        <d v="2025-12-20T22:01:05"/>
        <d v="2025-12-25T16:57:56"/>
        <d v="2025-12-25T16:58:36"/>
        <d v="2025-12-25T17:10:05"/>
        <d v="2025-12-25T17:10:56"/>
        <d v="2026-03-05T11:36:49"/>
        <d v="2025-11-06T15:59:51" u="1"/>
        <d v="2025-12-16T22:55:14" u="1"/>
        <d v="2026-02-14T20:54:21" u="1"/>
        <d v="2025-11-16T12:32:24" u="1"/>
        <d v="2025-11-07T19:02:03" u="1"/>
        <d v="2025-11-02T08:10:12" u="1"/>
        <d v="2025-11-09T20:04:49" u="1"/>
        <d v="2025-11-30T12:57:39" u="1"/>
        <d v="2025-11-18T11:23:38" u="1"/>
        <d v="2025-11-08T12:04:03" u="1"/>
        <d v="2025-12-01T10:06:24" u="1"/>
        <d v="2025-12-01T10:05:15" u="1"/>
        <d v="2025-11-03T12:57:45" u="1"/>
        <d v="2025-11-15T22:01:50" u="1"/>
        <d v="2025-11-08T12:03:37" u="1"/>
        <d v="2025-11-14T19:00:05" u="1"/>
        <d v="2025-11-10T10:06:32" u="1"/>
        <d v="2025-11-16T01:01:42" u="1"/>
        <d v="2025-11-18T11:23:54" u="1"/>
        <d v="2025-11-18T16:32:08" u="1"/>
        <d v="2025-11-12T07:09:07" u="1"/>
        <d v="2025-11-01T07:52:28" u="1"/>
        <d v="2025-11-01T07:52:08" u="1"/>
        <d v="2025-12-01T10:05:51" u="1"/>
        <d v="2025-11-14T19:00:38" u="1"/>
        <d v="2025-12-01T10:04:52" u="1"/>
        <d v="2025-11-09T20:05:07" u="1"/>
        <d v="2025-11-02T08:50:59" u="1"/>
        <d v="2025-11-30T12:55:40" u="1"/>
        <d v="2025-11-16T19:03:13" u="1"/>
        <d v="2025-11-16T19:02:44" u="1"/>
        <d v="2025-11-03T11:29:10" u="1"/>
        <d v="2025-11-10T10:07:07" u="1"/>
        <d v="2025-11-09T20:05:20" u="1"/>
        <d v="2025-11-05T22:57:39" u="1"/>
        <d v="2025-11-30T12:57:21" u="1"/>
        <d v="2025-11-15T22:01:39" u="1"/>
        <d v="2025-11-07T19:02:28" u="1"/>
        <d v="2025-11-18T23:16:54" u="1"/>
        <d v="2025-11-06T00:01:13" u="1"/>
        <d v="2025-11-05T22:57:02" u="1"/>
        <d v="2025-11-06T16:00:24" u="1"/>
        <d v="2025-11-13T10:13:01" u="1"/>
        <d v="2025-11-06T00:00:07" u="1"/>
        <d v="2025-11-14T19:00:17" u="1"/>
        <d v="2025-12-01T10:04:21" u="1"/>
        <d v="2025-11-03T12:57:10" u="1"/>
        <d v="2025-11-18T23:13:30" u="1"/>
        <d v="2025-11-06T15:58:43" u="1"/>
        <d v="2025-11-18T23:19:17" u="1"/>
        <d v="2025-11-15T22:01:25" u="1"/>
        <d v="2025-11-12T07:09:19" u="1"/>
        <d v="2025-11-16T19:03:02" u="1"/>
        <d v="2025-12-11T19:06:07" u="1"/>
        <d v="2025-11-04T19:03:42" u="1"/>
        <d v="2025-12-01T10:04:34" u="1"/>
        <d v="2025-11-18T11:24:08" u="1"/>
        <d v="2025-11-13T10:13:17" u="1"/>
        <d v="2025-11-18T11:15:24" u="1"/>
        <d v="2025-12-14T22:30:49" u="1"/>
        <d v="2025-11-11T21:07:55" u="1"/>
        <d v="2025-11-18T23:16:53" u="1"/>
        <d v="2025-11-11T21:07:45" u="1"/>
        <d v="2025-12-15T22:33:35" u="1"/>
        <d v="2025-12-15T22:32:36" u="1"/>
        <d v="2025-11-10T10:06:50" u="1"/>
        <d v="2025-11-05T22:58:00" u="1"/>
        <d v="2025-11-06T15:59:18" u="1"/>
        <d v="2025-11-02T08:51:33" u="1"/>
        <d v="2025-11-17T08:13:20" u="1"/>
        <d v="2025-11-17T08:13:00" u="1"/>
        <d v="2025-12-15T22:34:37" u="1"/>
        <d v="2025-11-04T19:04:27" u="1"/>
      </sharedItems>
    </cacheField>
    <cacheField name="Coût d'Achat Unitaire TTC" numFmtId="0">
      <sharedItems containsSemiMixedTypes="0" containsString="0" containsNumber="1" containsInteger="1" minValue="200" maxValue="35000"/>
    </cacheField>
    <cacheField name="Dépenses liées au Stock vendu" numFmtId="0">
      <sharedItems containsSemiMixedTypes="0" containsString="0" containsNumber="1" containsInteger="1" minValue="400" maxValue="140000"/>
    </cacheField>
    <cacheField name="Dates" numFmtId="14">
      <sharedItems containsSemiMixedTypes="0" containsNonDate="0" containsDate="1" containsString="0" minDate="1899-12-30T00:00:00" maxDate="2026-03-06T00:00:00" count="54"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5T00:00:00"/>
        <d v="2026-03-05T00:00:00"/>
        <d v="2026-02-14T00:00:00" u="1"/>
        <d v="1899-12-30T00:00:00"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4">
  <r>
    <n v="1000005"/>
    <x v="0"/>
    <n v="7"/>
    <n v="1875"/>
    <n v="13125"/>
    <x v="0"/>
    <n v="1500"/>
    <n v="10500"/>
    <x v="0"/>
  </r>
  <r>
    <n v="1000001"/>
    <x v="1"/>
    <n v="13"/>
    <n v="1250"/>
    <n v="16250"/>
    <x v="1"/>
    <n v="1000"/>
    <n v="13000"/>
    <x v="0"/>
  </r>
  <r>
    <n v="1000012"/>
    <x v="2"/>
    <n v="24"/>
    <n v="1500"/>
    <n v="36000"/>
    <x v="1"/>
    <n v="1200"/>
    <n v="28800"/>
    <x v="0"/>
  </r>
  <r>
    <n v="1000007"/>
    <x v="3"/>
    <n v="2"/>
    <n v="5000"/>
    <n v="10000"/>
    <x v="2"/>
    <n v="4000"/>
    <n v="8000"/>
    <x v="0"/>
  </r>
  <r>
    <n v="1000018"/>
    <x v="4"/>
    <n v="10"/>
    <n v="250"/>
    <n v="2500"/>
    <x v="3"/>
    <n v="200"/>
    <n v="2000"/>
    <x v="1"/>
  </r>
  <r>
    <n v="1000008"/>
    <x v="5"/>
    <n v="3"/>
    <n v="1250"/>
    <n v="3750"/>
    <x v="3"/>
    <n v="1000"/>
    <n v="3000"/>
    <x v="1"/>
  </r>
  <r>
    <n v="1000013"/>
    <x v="6"/>
    <n v="5"/>
    <n v="3125"/>
    <n v="15625"/>
    <x v="4"/>
    <n v="2500"/>
    <n v="12500"/>
    <x v="1"/>
  </r>
  <r>
    <n v="1000009"/>
    <x v="7"/>
    <n v="2"/>
    <n v="2250"/>
    <n v="4500"/>
    <x v="4"/>
    <n v="1800"/>
    <n v="3600"/>
    <x v="1"/>
  </r>
  <r>
    <n v="1000012"/>
    <x v="2"/>
    <n v="17"/>
    <n v="1500"/>
    <n v="25500"/>
    <x v="4"/>
    <n v="1200"/>
    <n v="20400"/>
    <x v="1"/>
  </r>
  <r>
    <n v="1000034"/>
    <x v="8"/>
    <n v="1"/>
    <n v="31250"/>
    <n v="31250"/>
    <x v="5"/>
    <n v="25000"/>
    <n v="25000"/>
    <x v="1"/>
  </r>
  <r>
    <n v="1000034"/>
    <x v="8"/>
    <n v="1"/>
    <n v="31250"/>
    <n v="31250"/>
    <x v="6"/>
    <n v="25000"/>
    <n v="25000"/>
    <x v="1"/>
  </r>
  <r>
    <n v="1000001"/>
    <x v="1"/>
    <n v="9"/>
    <n v="1250"/>
    <n v="11250"/>
    <x v="7"/>
    <n v="1000"/>
    <n v="9000"/>
    <x v="2"/>
  </r>
  <r>
    <n v="1000012"/>
    <x v="2"/>
    <n v="17"/>
    <n v="1500"/>
    <n v="25500"/>
    <x v="7"/>
    <n v="1200"/>
    <n v="20400"/>
    <x v="2"/>
  </r>
  <r>
    <n v="1000002"/>
    <x v="9"/>
    <n v="2"/>
    <n v="1250"/>
    <n v="2500"/>
    <x v="8"/>
    <n v="1000"/>
    <n v="2000"/>
    <x v="2"/>
  </r>
  <r>
    <n v="1000026"/>
    <x v="10"/>
    <n v="1"/>
    <n v="31250"/>
    <n v="31250"/>
    <x v="9"/>
    <n v="1000"/>
    <n v="1000"/>
    <x v="2"/>
  </r>
  <r>
    <n v="1000026"/>
    <x v="11"/>
    <n v="4"/>
    <n v="2125"/>
    <n v="8500"/>
    <x v="10"/>
    <n v="1000"/>
    <n v="4000"/>
    <x v="2"/>
  </r>
  <r>
    <n v="1000003"/>
    <x v="12"/>
    <n v="13"/>
    <n v="500"/>
    <n v="6500"/>
    <x v="11"/>
    <n v="400"/>
    <n v="5200"/>
    <x v="2"/>
  </r>
  <r>
    <n v="1000014"/>
    <x v="13"/>
    <n v="2"/>
    <n v="43750"/>
    <n v="87500"/>
    <x v="12"/>
    <n v="35000"/>
    <n v="70000"/>
    <x v="3"/>
  </r>
  <r>
    <n v="1000003"/>
    <x v="12"/>
    <n v="3"/>
    <n v="500"/>
    <n v="1500"/>
    <x v="13"/>
    <n v="400"/>
    <n v="1200"/>
    <x v="3"/>
  </r>
  <r>
    <n v="1000002"/>
    <x v="9"/>
    <n v="1"/>
    <n v="1250"/>
    <n v="1250"/>
    <x v="14"/>
    <n v="1000"/>
    <n v="1000"/>
    <x v="3"/>
  </r>
  <r>
    <n v="1000003"/>
    <x v="12"/>
    <n v="28"/>
    <n v="500"/>
    <n v="14000"/>
    <x v="15"/>
    <n v="400"/>
    <n v="11200"/>
    <x v="4"/>
  </r>
  <r>
    <n v="1000006"/>
    <x v="14"/>
    <n v="31"/>
    <n v="1500"/>
    <n v="46500"/>
    <x v="16"/>
    <n v="1200"/>
    <n v="37200"/>
    <x v="4"/>
  </r>
  <r>
    <n v="1000035"/>
    <x v="10"/>
    <n v="1"/>
    <n v="31250"/>
    <n v="31250"/>
    <x v="17"/>
    <n v="25000"/>
    <n v="25000"/>
    <x v="5"/>
  </r>
  <r>
    <n v="1000011"/>
    <x v="15"/>
    <n v="5"/>
    <n v="1875"/>
    <n v="9375"/>
    <x v="18"/>
    <n v="1500"/>
    <n v="7500"/>
    <x v="5"/>
  </r>
  <r>
    <n v="1000015"/>
    <x v="16"/>
    <n v="9"/>
    <n v="2500"/>
    <n v="22500"/>
    <x v="19"/>
    <n v="2000"/>
    <n v="18000"/>
    <x v="5"/>
  </r>
  <r>
    <n v="1000007"/>
    <x v="3"/>
    <n v="6"/>
    <n v="5000"/>
    <n v="30000"/>
    <x v="20"/>
    <n v="4000"/>
    <n v="24000"/>
    <x v="5"/>
  </r>
  <r>
    <n v="1000020"/>
    <x v="17"/>
    <n v="10"/>
    <n v="250"/>
    <n v="2500"/>
    <x v="21"/>
    <n v="200"/>
    <n v="2000"/>
    <x v="6"/>
  </r>
  <r>
    <n v="1000034"/>
    <x v="8"/>
    <n v="2"/>
    <n v="31250"/>
    <n v="62500"/>
    <x v="22"/>
    <n v="25000"/>
    <n v="50000"/>
    <x v="6"/>
  </r>
  <r>
    <n v="1000022"/>
    <x v="18"/>
    <n v="23"/>
    <n v="750"/>
    <n v="17250"/>
    <x v="23"/>
    <n v="600"/>
    <n v="13800"/>
    <x v="6"/>
  </r>
  <r>
    <n v="1000038"/>
    <x v="19"/>
    <n v="11"/>
    <n v="1250"/>
    <n v="13750"/>
    <x v="24"/>
    <n v="1000"/>
    <n v="11000"/>
    <x v="6"/>
  </r>
  <r>
    <n v="1000051"/>
    <x v="20"/>
    <n v="13"/>
    <n v="1500"/>
    <n v="19500"/>
    <x v="25"/>
    <n v="1200"/>
    <n v="15600"/>
    <x v="6"/>
  </r>
  <r>
    <n v="1000002"/>
    <x v="9"/>
    <n v="7"/>
    <n v="1250"/>
    <n v="8750"/>
    <x v="26"/>
    <n v="1000"/>
    <n v="7000"/>
    <x v="6"/>
  </r>
  <r>
    <n v="1000023"/>
    <x v="21"/>
    <n v="27"/>
    <n v="1500"/>
    <n v="40500"/>
    <x v="27"/>
    <n v="1200"/>
    <n v="32400"/>
    <x v="7"/>
  </r>
  <r>
    <n v="1000028"/>
    <x v="22"/>
    <n v="17"/>
    <n v="500"/>
    <n v="8500"/>
    <x v="27"/>
    <n v="400"/>
    <n v="6800"/>
    <x v="7"/>
  </r>
  <r>
    <n v="1000005"/>
    <x v="0"/>
    <n v="9"/>
    <n v="1875"/>
    <n v="16875"/>
    <x v="27"/>
    <n v="1500"/>
    <n v="13500"/>
    <x v="7"/>
  </r>
  <r>
    <n v="1000024"/>
    <x v="23"/>
    <n v="13"/>
    <n v="500"/>
    <n v="6500"/>
    <x v="28"/>
    <n v="600"/>
    <n v="7800"/>
    <x v="8"/>
  </r>
  <r>
    <n v="1000040"/>
    <x v="24"/>
    <n v="17"/>
    <n v="1250"/>
    <n v="21250"/>
    <x v="28"/>
    <n v="1000"/>
    <n v="17000"/>
    <x v="8"/>
  </r>
  <r>
    <n v="1000047"/>
    <x v="25"/>
    <n v="23"/>
    <n v="500"/>
    <n v="11500"/>
    <x v="28"/>
    <n v="400"/>
    <n v="9200"/>
    <x v="8"/>
  </r>
  <r>
    <n v="1000009"/>
    <x v="7"/>
    <n v="4"/>
    <n v="2250"/>
    <n v="9000"/>
    <x v="28"/>
    <n v="1800"/>
    <n v="7200"/>
    <x v="8"/>
  </r>
  <r>
    <n v="1000034"/>
    <x v="8"/>
    <n v="1"/>
    <n v="31250"/>
    <n v="31250"/>
    <x v="28"/>
    <n v="25000"/>
    <n v="25000"/>
    <x v="8"/>
  </r>
  <r>
    <n v="1000007"/>
    <x v="3"/>
    <n v="1"/>
    <n v="5000"/>
    <n v="5000"/>
    <x v="28"/>
    <n v="4000"/>
    <n v="4000"/>
    <x v="8"/>
  </r>
  <r>
    <n v="1000003"/>
    <x v="12"/>
    <n v="3"/>
    <n v="500"/>
    <n v="1500"/>
    <x v="28"/>
    <n v="400"/>
    <n v="1200"/>
    <x v="8"/>
  </r>
  <r>
    <n v="1000007"/>
    <x v="3"/>
    <n v="1"/>
    <n v="5000"/>
    <n v="5000"/>
    <x v="28"/>
    <n v="4000"/>
    <n v="4000"/>
    <x v="8"/>
  </r>
  <r>
    <n v="1000036"/>
    <x v="26"/>
    <n v="5"/>
    <n v="9375"/>
    <n v="46875"/>
    <x v="29"/>
    <n v="7500"/>
    <n v="37500"/>
    <x v="9"/>
  </r>
  <r>
    <n v="1000017"/>
    <x v="27"/>
    <n v="12"/>
    <n v="875"/>
    <n v="10500"/>
    <x v="30"/>
    <n v="700"/>
    <n v="8400"/>
    <x v="9"/>
  </r>
  <r>
    <n v="1000016"/>
    <x v="28"/>
    <n v="7"/>
    <n v="1000"/>
    <n v="7000"/>
    <x v="31"/>
    <n v="800"/>
    <n v="5600"/>
    <x v="9"/>
  </r>
  <r>
    <n v="1000037"/>
    <x v="29"/>
    <n v="8"/>
    <n v="1250"/>
    <n v="10000"/>
    <x v="32"/>
    <n v="1000"/>
    <n v="8000"/>
    <x v="9"/>
  </r>
  <r>
    <n v="1000034"/>
    <x v="8"/>
    <n v="2"/>
    <n v="31250"/>
    <n v="62500"/>
    <x v="33"/>
    <n v="25000"/>
    <n v="50000"/>
    <x v="10"/>
  </r>
  <r>
    <n v="1000001"/>
    <x v="1"/>
    <n v="12"/>
    <n v="1250"/>
    <n v="15000"/>
    <x v="33"/>
    <n v="1000"/>
    <n v="12000"/>
    <x v="10"/>
  </r>
  <r>
    <n v="1000010"/>
    <x v="30"/>
    <n v="9"/>
    <n v="1500"/>
    <n v="13500"/>
    <x v="33"/>
    <n v="1200"/>
    <n v="10800"/>
    <x v="10"/>
  </r>
  <r>
    <n v="1000011"/>
    <x v="15"/>
    <n v="4"/>
    <n v="1875"/>
    <n v="7500"/>
    <x v="33"/>
    <n v="1500"/>
    <n v="6000"/>
    <x v="10"/>
  </r>
  <r>
    <n v="1000002"/>
    <x v="9"/>
    <n v="6"/>
    <n v="1250"/>
    <n v="7500"/>
    <x v="33"/>
    <n v="1000"/>
    <n v="6000"/>
    <x v="10"/>
  </r>
  <r>
    <n v="1000021"/>
    <x v="31"/>
    <n v="21"/>
    <n v="500"/>
    <n v="10500"/>
    <x v="33"/>
    <n v="400"/>
    <n v="8400"/>
    <x v="10"/>
  </r>
  <r>
    <n v="1000024"/>
    <x v="32"/>
    <n v="17"/>
    <n v="750"/>
    <n v="12750"/>
    <x v="34"/>
    <n v="600"/>
    <n v="10200"/>
    <x v="11"/>
  </r>
  <r>
    <n v="1000003"/>
    <x v="12"/>
    <n v="12"/>
    <n v="500"/>
    <n v="6000"/>
    <x v="34"/>
    <n v="400"/>
    <n v="4800"/>
    <x v="11"/>
  </r>
  <r>
    <n v="1000043"/>
    <x v="33"/>
    <n v="10"/>
    <n v="500"/>
    <n v="5000"/>
    <x v="34"/>
    <n v="400"/>
    <n v="4000"/>
    <x v="11"/>
  </r>
  <r>
    <n v="1000009"/>
    <x v="7"/>
    <n v="3"/>
    <n v="2250"/>
    <n v="6750"/>
    <x v="34"/>
    <n v="1800"/>
    <n v="5400"/>
    <x v="11"/>
  </r>
  <r>
    <n v="1000007"/>
    <x v="3"/>
    <n v="1"/>
    <n v="5000"/>
    <n v="5000"/>
    <x v="34"/>
    <n v="4000"/>
    <n v="4000"/>
    <x v="11"/>
  </r>
  <r>
    <n v="1000013"/>
    <x v="6"/>
    <n v="1"/>
    <n v="3125"/>
    <n v="3125"/>
    <x v="34"/>
    <n v="2500"/>
    <n v="2500"/>
    <x v="11"/>
  </r>
  <r>
    <n v="1000035"/>
    <x v="10"/>
    <n v="2"/>
    <n v="31250"/>
    <n v="62500"/>
    <x v="35"/>
    <n v="25000"/>
    <n v="50000"/>
    <x v="12"/>
  </r>
  <r>
    <n v="1000035"/>
    <x v="10"/>
    <n v="1"/>
    <n v="31250"/>
    <n v="31250"/>
    <x v="35"/>
    <n v="25000"/>
    <n v="25000"/>
    <x v="12"/>
  </r>
  <r>
    <n v="1000009"/>
    <x v="7"/>
    <n v="1"/>
    <n v="2250"/>
    <n v="2250"/>
    <x v="35"/>
    <n v="1800"/>
    <n v="1800"/>
    <x v="12"/>
  </r>
  <r>
    <n v="1000013"/>
    <x v="6"/>
    <n v="1"/>
    <n v="3125"/>
    <n v="3125"/>
    <x v="35"/>
    <n v="2500"/>
    <n v="2500"/>
    <x v="12"/>
  </r>
  <r>
    <n v="1000007"/>
    <x v="3"/>
    <n v="4"/>
    <n v="5000"/>
    <n v="20000"/>
    <x v="35"/>
    <n v="4000"/>
    <n v="16000"/>
    <x v="12"/>
  </r>
  <r>
    <n v="1000003"/>
    <x v="12"/>
    <n v="2"/>
    <n v="500"/>
    <n v="1000"/>
    <x v="35"/>
    <n v="400"/>
    <n v="800"/>
    <x v="12"/>
  </r>
  <r>
    <n v="1000034"/>
    <x v="34"/>
    <n v="3"/>
    <n v="31250"/>
    <n v="93750"/>
    <x v="36"/>
    <n v="25000"/>
    <n v="75000"/>
    <x v="13"/>
  </r>
  <r>
    <n v="1000036"/>
    <x v="26"/>
    <n v="1"/>
    <n v="9375"/>
    <n v="9375"/>
    <x v="36"/>
    <n v="7500"/>
    <n v="7500"/>
    <x v="13"/>
  </r>
  <r>
    <n v="1000031"/>
    <x v="11"/>
    <n v="2"/>
    <n v="2125"/>
    <n v="4250"/>
    <x v="36"/>
    <n v="1700"/>
    <n v="3400"/>
    <x v="13"/>
  </r>
  <r>
    <n v="1000012"/>
    <x v="2"/>
    <n v="2"/>
    <n v="1500"/>
    <n v="3000"/>
    <x v="36"/>
    <n v="1200"/>
    <n v="2400"/>
    <x v="13"/>
  </r>
  <r>
    <n v="1000014"/>
    <x v="13"/>
    <n v="2"/>
    <n v="43750"/>
    <n v="87500"/>
    <x v="37"/>
    <n v="35000"/>
    <n v="70000"/>
    <x v="14"/>
  </r>
  <r>
    <n v="1000014"/>
    <x v="13"/>
    <n v="2"/>
    <n v="43750"/>
    <n v="87500"/>
    <x v="38"/>
    <n v="35000"/>
    <n v="70000"/>
    <x v="15"/>
  </r>
  <r>
    <n v="1000009"/>
    <x v="7"/>
    <n v="9"/>
    <n v="2250"/>
    <n v="20250"/>
    <x v="38"/>
    <n v="1800"/>
    <n v="16200"/>
    <x v="15"/>
  </r>
  <r>
    <n v="1000027"/>
    <x v="35"/>
    <n v="12"/>
    <n v="500"/>
    <n v="6000"/>
    <x v="39"/>
    <n v="400"/>
    <n v="4800"/>
    <x v="16"/>
  </r>
  <r>
    <n v="1000016"/>
    <x v="36"/>
    <n v="8"/>
    <n v="1000"/>
    <n v="8000"/>
    <x v="39"/>
    <n v="800"/>
    <n v="6400"/>
    <x v="16"/>
  </r>
  <r>
    <n v="1000017"/>
    <x v="27"/>
    <n v="15"/>
    <n v="875"/>
    <n v="13125"/>
    <x v="39"/>
    <n v="700"/>
    <n v="10500"/>
    <x v="16"/>
  </r>
  <r>
    <n v="1000024"/>
    <x v="32"/>
    <n v="13"/>
    <n v="750"/>
    <n v="9750"/>
    <x v="39"/>
    <n v="600"/>
    <n v="7800"/>
    <x v="16"/>
  </r>
  <r>
    <n v="1000031"/>
    <x v="11"/>
    <n v="5"/>
    <n v="2125"/>
    <n v="10625"/>
    <x v="39"/>
    <n v="1700"/>
    <n v="8500"/>
    <x v="16"/>
  </r>
  <r>
    <n v="1000009"/>
    <x v="7"/>
    <n v="4"/>
    <n v="2250"/>
    <n v="9000"/>
    <x v="39"/>
    <n v="1800"/>
    <n v="7200"/>
    <x v="16"/>
  </r>
  <r>
    <n v="1000018"/>
    <x v="4"/>
    <n v="19"/>
    <n v="250"/>
    <n v="4750"/>
    <x v="39"/>
    <n v="200"/>
    <n v="3800"/>
    <x v="16"/>
  </r>
  <r>
    <n v="1000022"/>
    <x v="18"/>
    <n v="23"/>
    <n v="750"/>
    <n v="17250"/>
    <x v="40"/>
    <n v="600"/>
    <n v="13800"/>
    <x v="17"/>
  </r>
  <r>
    <n v="1000005"/>
    <x v="0"/>
    <n v="12"/>
    <n v="1875"/>
    <n v="22500"/>
    <x v="40"/>
    <n v="1500"/>
    <n v="18000"/>
    <x v="17"/>
  </r>
  <r>
    <n v="1000023"/>
    <x v="21"/>
    <n v="7"/>
    <n v="1500"/>
    <n v="10500"/>
    <x v="40"/>
    <n v="1200"/>
    <n v="8400"/>
    <x v="17"/>
  </r>
  <r>
    <n v="1000043"/>
    <x v="33"/>
    <n v="10"/>
    <n v="500"/>
    <n v="5000"/>
    <x v="40"/>
    <n v="400"/>
    <n v="4000"/>
    <x v="17"/>
  </r>
  <r>
    <n v="1000011"/>
    <x v="15"/>
    <n v="3"/>
    <n v="1875"/>
    <n v="5625"/>
    <x v="40"/>
    <n v="1500"/>
    <n v="4500"/>
    <x v="17"/>
  </r>
  <r>
    <n v="1000003"/>
    <x v="12"/>
    <n v="16"/>
    <n v="500"/>
    <n v="8000"/>
    <x v="41"/>
    <n v="400"/>
    <n v="6400"/>
    <x v="18"/>
  </r>
  <r>
    <n v="1000001"/>
    <x v="1"/>
    <n v="12"/>
    <n v="1250"/>
    <n v="15000"/>
    <x v="41"/>
    <n v="1000"/>
    <n v="12000"/>
    <x v="18"/>
  </r>
  <r>
    <n v="1000002"/>
    <x v="9"/>
    <n v="21"/>
    <n v="1250"/>
    <n v="26250"/>
    <x v="41"/>
    <n v="1000"/>
    <n v="21000"/>
    <x v="18"/>
  </r>
  <r>
    <n v="1000004"/>
    <x v="37"/>
    <n v="5"/>
    <n v="1500"/>
    <n v="7500"/>
    <x v="41"/>
    <n v="1200"/>
    <n v="6000"/>
    <x v="18"/>
  </r>
  <r>
    <n v="1000005"/>
    <x v="0"/>
    <n v="2"/>
    <n v="1875"/>
    <n v="3750"/>
    <x v="41"/>
    <n v="1500"/>
    <n v="3000"/>
    <x v="18"/>
  </r>
  <r>
    <n v="1000006"/>
    <x v="14"/>
    <n v="17"/>
    <n v="1500"/>
    <n v="25500"/>
    <x v="42"/>
    <n v="1200"/>
    <n v="20400"/>
    <x v="19"/>
  </r>
  <r>
    <n v="1000005"/>
    <x v="0"/>
    <n v="4"/>
    <n v="1875"/>
    <n v="7500"/>
    <x v="42"/>
    <n v="1500"/>
    <n v="6000"/>
    <x v="19"/>
  </r>
  <r>
    <n v="1000023"/>
    <x v="21"/>
    <n v="7"/>
    <n v="1500"/>
    <n v="10500"/>
    <x v="42"/>
    <n v="1200"/>
    <n v="8400"/>
    <x v="19"/>
  </r>
  <r>
    <n v="1000038"/>
    <x v="19"/>
    <n v="12"/>
    <n v="1250"/>
    <n v="15000"/>
    <x v="42"/>
    <n v="1000"/>
    <n v="12000"/>
    <x v="19"/>
  </r>
  <r>
    <n v="1000003"/>
    <x v="12"/>
    <n v="10"/>
    <n v="500"/>
    <n v="5000"/>
    <x v="42"/>
    <n v="400"/>
    <n v="4000"/>
    <x v="19"/>
  </r>
  <r>
    <n v="1000007"/>
    <x v="3"/>
    <n v="5"/>
    <n v="5000"/>
    <n v="25000"/>
    <x v="43"/>
    <n v="4000"/>
    <n v="20000"/>
    <x v="20"/>
  </r>
  <r>
    <n v="1000003"/>
    <x v="12"/>
    <n v="3"/>
    <n v="500"/>
    <n v="1500"/>
    <x v="43"/>
    <n v="400"/>
    <n v="1200"/>
    <x v="20"/>
  </r>
  <r>
    <n v="1000001"/>
    <x v="1"/>
    <n v="2"/>
    <n v="1250"/>
    <n v="2500"/>
    <x v="43"/>
    <n v="1000"/>
    <n v="2000"/>
    <x v="20"/>
  </r>
  <r>
    <n v="1000035"/>
    <x v="10"/>
    <n v="1"/>
    <n v="31250"/>
    <n v="31250"/>
    <x v="44"/>
    <n v="25000"/>
    <n v="25000"/>
    <x v="20"/>
  </r>
  <r>
    <n v="1000034"/>
    <x v="8"/>
    <n v="1"/>
    <n v="31250"/>
    <n v="31250"/>
    <x v="44"/>
    <n v="25000"/>
    <n v="25000"/>
    <x v="20"/>
  </r>
  <r>
    <n v="1000022"/>
    <x v="18"/>
    <n v="2"/>
    <n v="750"/>
    <n v="1500"/>
    <x v="45"/>
    <n v="600"/>
    <n v="1200"/>
    <x v="20"/>
  </r>
  <r>
    <n v="1000001"/>
    <x v="1"/>
    <n v="12"/>
    <n v="1250"/>
    <n v="15000"/>
    <x v="46"/>
    <n v="1000"/>
    <n v="12000"/>
    <x v="20"/>
  </r>
  <r>
    <n v="1000019"/>
    <x v="38"/>
    <n v="12"/>
    <n v="1500"/>
    <n v="18000"/>
    <x v="47"/>
    <n v="1200"/>
    <n v="14400"/>
    <x v="21"/>
  </r>
  <r>
    <n v="1000025"/>
    <x v="23"/>
    <n v="5"/>
    <n v="500"/>
    <n v="2500"/>
    <x v="48"/>
    <n v="400"/>
    <n v="2000"/>
    <x v="21"/>
  </r>
  <r>
    <n v="1000029"/>
    <x v="39"/>
    <n v="3"/>
    <n v="1125"/>
    <n v="3375"/>
    <x v="49"/>
    <n v="900"/>
    <n v="2700"/>
    <x v="21"/>
  </r>
  <r>
    <n v="1000030"/>
    <x v="40"/>
    <n v="7"/>
    <n v="500"/>
    <n v="3500"/>
    <x v="49"/>
    <n v="400"/>
    <n v="2800"/>
    <x v="21"/>
  </r>
  <r>
    <n v="1000039"/>
    <x v="41"/>
    <n v="14"/>
    <n v="1250"/>
    <n v="17500"/>
    <x v="49"/>
    <n v="1000"/>
    <n v="14000"/>
    <x v="21"/>
  </r>
  <r>
    <n v="1000032"/>
    <x v="42"/>
    <n v="1"/>
    <n v="500"/>
    <n v="500"/>
    <x v="50"/>
    <n v="400"/>
    <n v="400"/>
    <x v="21"/>
  </r>
  <r>
    <n v="1000033"/>
    <x v="43"/>
    <n v="9"/>
    <n v="500"/>
    <n v="4500"/>
    <x v="50"/>
    <n v="400"/>
    <n v="3600"/>
    <x v="21"/>
  </r>
  <r>
    <n v="1000041"/>
    <x v="44"/>
    <n v="2"/>
    <n v="1250"/>
    <n v="2500"/>
    <x v="51"/>
    <n v="1000"/>
    <n v="2000"/>
    <x v="21"/>
  </r>
  <r>
    <n v="1000042"/>
    <x v="45"/>
    <n v="17"/>
    <n v="1250"/>
    <n v="21250"/>
    <x v="51"/>
    <n v="1000"/>
    <n v="17000"/>
    <x v="21"/>
  </r>
  <r>
    <n v="1000044"/>
    <x v="46"/>
    <n v="1"/>
    <n v="1875"/>
    <n v="1875"/>
    <x v="52"/>
    <n v="1500"/>
    <n v="1500"/>
    <x v="21"/>
  </r>
  <r>
    <n v="1000040"/>
    <x v="24"/>
    <n v="1"/>
    <n v="1250"/>
    <n v="1250"/>
    <x v="52"/>
    <n v="1000"/>
    <n v="1000"/>
    <x v="21"/>
  </r>
  <r>
    <n v="1000046"/>
    <x v="47"/>
    <n v="1"/>
    <n v="500"/>
    <n v="500"/>
    <x v="52"/>
    <n v="400"/>
    <n v="400"/>
    <x v="21"/>
  </r>
  <r>
    <n v="1000048"/>
    <x v="48"/>
    <n v="1"/>
    <n v="1250"/>
    <n v="1250"/>
    <x v="52"/>
    <n v="1000"/>
    <n v="1000"/>
    <x v="21"/>
  </r>
  <r>
    <n v="1000024"/>
    <x v="32"/>
    <n v="2"/>
    <n v="750"/>
    <n v="1500"/>
    <x v="52"/>
    <n v="600"/>
    <n v="1200"/>
    <x v="21"/>
  </r>
  <r>
    <n v="1000024"/>
    <x v="32"/>
    <n v="6"/>
    <n v="750"/>
    <n v="4500"/>
    <x v="52"/>
    <n v="600"/>
    <n v="3600"/>
    <x v="21"/>
  </r>
  <r>
    <n v="1000052"/>
    <x v="49"/>
    <n v="2"/>
    <n v="1500"/>
    <n v="3000"/>
    <x v="53"/>
    <n v="1200"/>
    <n v="2400"/>
    <x v="21"/>
  </r>
  <r>
    <n v="1000049"/>
    <x v="50"/>
    <n v="1"/>
    <n v="1250"/>
    <n v="1250"/>
    <x v="53"/>
    <n v="1000"/>
    <n v="1000"/>
    <x v="21"/>
  </r>
  <r>
    <n v="1000050"/>
    <x v="51"/>
    <n v="1"/>
    <n v="1250"/>
    <n v="1250"/>
    <x v="53"/>
    <n v="1000"/>
    <n v="1000"/>
    <x v="21"/>
  </r>
  <r>
    <n v="1000045"/>
    <x v="52"/>
    <n v="4"/>
    <n v="500"/>
    <n v="2000"/>
    <x v="54"/>
    <n v="400"/>
    <n v="1600"/>
    <x v="21"/>
  </r>
  <r>
    <n v="1000035"/>
    <x v="10"/>
    <n v="2"/>
    <n v="31250"/>
    <n v="62500"/>
    <x v="55"/>
    <n v="25000"/>
    <n v="50000"/>
    <x v="21"/>
  </r>
  <r>
    <n v="1000053"/>
    <x v="53"/>
    <n v="2"/>
    <n v="500"/>
    <n v="1000"/>
    <x v="56"/>
    <n v="400"/>
    <n v="800"/>
    <x v="22"/>
  </r>
  <r>
    <n v="1000053"/>
    <x v="53"/>
    <n v="8"/>
    <n v="500"/>
    <n v="4000"/>
    <x v="57"/>
    <n v="400"/>
    <n v="3200"/>
    <x v="22"/>
  </r>
  <r>
    <n v="1000054"/>
    <x v="54"/>
    <n v="7"/>
    <n v="500"/>
    <n v="3500"/>
    <x v="58"/>
    <n v="400"/>
    <n v="2800"/>
    <x v="22"/>
  </r>
  <r>
    <n v="1000014"/>
    <x v="13"/>
    <n v="4"/>
    <n v="43750"/>
    <n v="175000"/>
    <x v="59"/>
    <n v="35000"/>
    <n v="140000"/>
    <x v="22"/>
  </r>
  <r>
    <n v="1000054"/>
    <x v="54"/>
    <n v="13"/>
    <n v="500"/>
    <n v="6500"/>
    <x v="60"/>
    <n v="400"/>
    <n v="5200"/>
    <x v="22"/>
  </r>
  <r>
    <n v="1000054"/>
    <x v="54"/>
    <n v="2"/>
    <n v="500"/>
    <n v="1000"/>
    <x v="61"/>
    <n v="400"/>
    <n v="800"/>
    <x v="22"/>
  </r>
  <r>
    <n v="1000003"/>
    <x v="12"/>
    <n v="1"/>
    <n v="500"/>
    <n v="500"/>
    <x v="62"/>
    <n v="400"/>
    <n v="400"/>
    <x v="22"/>
  </r>
  <r>
    <n v="1000020"/>
    <x v="17"/>
    <n v="27"/>
    <n v="250"/>
    <n v="6750"/>
    <x v="63"/>
    <n v="200"/>
    <n v="5400"/>
    <x v="23"/>
  </r>
  <r>
    <n v="1000014"/>
    <x v="13"/>
    <n v="2"/>
    <n v="43750"/>
    <n v="87500"/>
    <x v="63"/>
    <n v="35000"/>
    <n v="70000"/>
    <x v="23"/>
  </r>
  <r>
    <n v="1000034"/>
    <x v="8"/>
    <n v="2"/>
    <n v="31250"/>
    <n v="62500"/>
    <x v="63"/>
    <n v="25000"/>
    <n v="50000"/>
    <x v="23"/>
  </r>
  <r>
    <n v="1000003"/>
    <x v="12"/>
    <n v="2"/>
    <n v="500"/>
    <n v="1000"/>
    <x v="64"/>
    <n v="400"/>
    <n v="800"/>
    <x v="23"/>
  </r>
  <r>
    <n v="1000023"/>
    <x v="21"/>
    <n v="1"/>
    <n v="1500"/>
    <n v="1500"/>
    <x v="64"/>
    <n v="1200"/>
    <n v="1200"/>
    <x v="23"/>
  </r>
  <r>
    <n v="1000038"/>
    <x v="19"/>
    <n v="1"/>
    <n v="1250"/>
    <n v="1250"/>
    <x v="64"/>
    <n v="1000"/>
    <n v="1000"/>
    <x v="23"/>
  </r>
  <r>
    <n v="1000003"/>
    <x v="12"/>
    <n v="2"/>
    <n v="500"/>
    <n v="1000"/>
    <x v="65"/>
    <n v="400"/>
    <n v="800"/>
    <x v="23"/>
  </r>
  <r>
    <n v="1000038"/>
    <x v="19"/>
    <n v="1"/>
    <n v="1250"/>
    <n v="1250"/>
    <x v="65"/>
    <n v="1000"/>
    <n v="1000"/>
    <x v="23"/>
  </r>
  <r>
    <n v="1000023"/>
    <x v="21"/>
    <n v="4"/>
    <n v="1500"/>
    <n v="6000"/>
    <x v="65"/>
    <n v="1200"/>
    <n v="4800"/>
    <x v="23"/>
  </r>
  <r>
    <n v="1000003"/>
    <x v="12"/>
    <n v="2"/>
    <n v="500"/>
    <n v="1000"/>
    <x v="66"/>
    <n v="400"/>
    <n v="800"/>
    <x v="23"/>
  </r>
  <r>
    <n v="1000023"/>
    <x v="21"/>
    <n v="4"/>
    <n v="1500"/>
    <n v="6000"/>
    <x v="66"/>
    <n v="1200"/>
    <n v="4800"/>
    <x v="23"/>
  </r>
  <r>
    <n v="1000038"/>
    <x v="19"/>
    <n v="1"/>
    <n v="1250"/>
    <n v="1250"/>
    <x v="66"/>
    <n v="1000"/>
    <n v="1000"/>
    <x v="23"/>
  </r>
  <r>
    <n v="1000054"/>
    <x v="54"/>
    <n v="10"/>
    <n v="500"/>
    <n v="5000"/>
    <x v="67"/>
    <n v="400"/>
    <n v="4000"/>
    <x v="24"/>
  </r>
  <r>
    <n v="1000053"/>
    <x v="55"/>
    <n v="13"/>
    <n v="500"/>
    <n v="6500"/>
    <x v="67"/>
    <n v="400"/>
    <n v="5200"/>
    <x v="24"/>
  </r>
  <r>
    <n v="1000052"/>
    <x v="49"/>
    <n v="17"/>
    <n v="1500"/>
    <n v="25500"/>
    <x v="67"/>
    <n v="1200"/>
    <n v="20400"/>
    <x v="24"/>
  </r>
  <r>
    <n v="1000014"/>
    <x v="13"/>
    <n v="3"/>
    <n v="43750"/>
    <n v="131250"/>
    <x v="68"/>
    <n v="35000"/>
    <n v="105000"/>
    <x v="24"/>
  </r>
  <r>
    <n v="1000030"/>
    <x v="40"/>
    <n v="30"/>
    <n v="500"/>
    <n v="15000"/>
    <x v="69"/>
    <n v="400"/>
    <n v="12000"/>
    <x v="25"/>
  </r>
  <r>
    <n v="1000027"/>
    <x v="35"/>
    <n v="30"/>
    <n v="500"/>
    <n v="15000"/>
    <x v="69"/>
    <n v="400"/>
    <n v="12000"/>
    <x v="25"/>
  </r>
  <r>
    <n v="1000046"/>
    <x v="47"/>
    <n v="24"/>
    <n v="500"/>
    <n v="12000"/>
    <x v="70"/>
    <n v="400"/>
    <n v="9600"/>
    <x v="25"/>
  </r>
  <r>
    <n v="1000007"/>
    <x v="3"/>
    <n v="3"/>
    <n v="5000"/>
    <n v="15000"/>
    <x v="71"/>
    <n v="4000"/>
    <n v="12000"/>
    <x v="25"/>
  </r>
  <r>
    <n v="1000009"/>
    <x v="7"/>
    <n v="8"/>
    <n v="2250"/>
    <n v="18000"/>
    <x v="72"/>
    <n v="1800"/>
    <n v="14400"/>
    <x v="25"/>
  </r>
  <r>
    <n v="1000025"/>
    <x v="23"/>
    <n v="30"/>
    <n v="500"/>
    <n v="15000"/>
    <x v="73"/>
    <n v="400"/>
    <n v="12000"/>
    <x v="25"/>
  </r>
  <r>
    <n v="1000035"/>
    <x v="10"/>
    <n v="2"/>
    <n v="31250"/>
    <n v="62500"/>
    <x v="74"/>
    <n v="25000"/>
    <n v="50000"/>
    <x v="26"/>
  </r>
  <r>
    <n v="1000031"/>
    <x v="11"/>
    <n v="13"/>
    <n v="2125"/>
    <n v="27625"/>
    <x v="74"/>
    <n v="1700"/>
    <n v="22100"/>
    <x v="26"/>
  </r>
  <r>
    <n v="1000035"/>
    <x v="10"/>
    <n v="2"/>
    <n v="31250"/>
    <n v="62500"/>
    <x v="75"/>
    <n v="25000"/>
    <n v="50000"/>
    <x v="26"/>
  </r>
  <r>
    <n v="1000031"/>
    <x v="11"/>
    <n v="13"/>
    <n v="2125"/>
    <n v="27625"/>
    <x v="75"/>
    <n v="1700"/>
    <n v="22100"/>
    <x v="26"/>
  </r>
  <r>
    <n v="1000049"/>
    <x v="50"/>
    <n v="10"/>
    <n v="1250"/>
    <n v="12500"/>
    <x v="75"/>
    <n v="1000"/>
    <n v="10000"/>
    <x v="26"/>
  </r>
  <r>
    <n v="1000013"/>
    <x v="6"/>
    <n v="14"/>
    <n v="3125"/>
    <n v="43750"/>
    <x v="76"/>
    <n v="2500"/>
    <n v="35000"/>
    <x v="27"/>
  </r>
  <r>
    <n v="1000037"/>
    <x v="29"/>
    <n v="23"/>
    <n v="1250"/>
    <n v="28750"/>
    <x v="77"/>
    <n v="1000"/>
    <n v="23000"/>
    <x v="27"/>
  </r>
  <r>
    <n v="1000048"/>
    <x v="48"/>
    <n v="27"/>
    <n v="1250"/>
    <n v="33750"/>
    <x v="78"/>
    <n v="1000"/>
    <n v="27000"/>
    <x v="27"/>
  </r>
  <r>
    <n v="1000008"/>
    <x v="5"/>
    <n v="17"/>
    <n v="1250"/>
    <n v="21250"/>
    <x v="79"/>
    <n v="1000"/>
    <n v="17000"/>
    <x v="27"/>
  </r>
  <r>
    <n v="1000029"/>
    <x v="39"/>
    <n v="38"/>
    <n v="1125"/>
    <n v="42750"/>
    <x v="80"/>
    <n v="900"/>
    <n v="34200"/>
    <x v="28"/>
  </r>
  <r>
    <n v="1000041"/>
    <x v="44"/>
    <n v="27"/>
    <n v="1250"/>
    <n v="33750"/>
    <x v="81"/>
    <n v="1000"/>
    <n v="27000"/>
    <x v="28"/>
  </r>
  <r>
    <n v="1000050"/>
    <x v="51"/>
    <n v="15"/>
    <n v="1250"/>
    <n v="18750"/>
    <x v="82"/>
    <n v="1000"/>
    <n v="15000"/>
    <x v="28"/>
  </r>
  <r>
    <n v="1000051"/>
    <x v="20"/>
    <n v="18"/>
    <n v="1500"/>
    <n v="27000"/>
    <x v="82"/>
    <n v="1200"/>
    <n v="21600"/>
    <x v="28"/>
  </r>
  <r>
    <n v="1000015"/>
    <x v="16"/>
    <n v="17"/>
    <n v="2500"/>
    <n v="42500"/>
    <x v="83"/>
    <n v="2000"/>
    <n v="34000"/>
    <x v="29"/>
  </r>
  <r>
    <n v="1000045"/>
    <x v="52"/>
    <n v="14"/>
    <n v="500"/>
    <n v="7000"/>
    <x v="83"/>
    <n v="400"/>
    <n v="5600"/>
    <x v="29"/>
  </r>
  <r>
    <n v="1000009"/>
    <x v="7"/>
    <n v="10"/>
    <n v="2250"/>
    <n v="22500"/>
    <x v="84"/>
    <n v="1800"/>
    <n v="18000"/>
    <x v="29"/>
  </r>
  <r>
    <n v="1000001"/>
    <x v="1"/>
    <n v="17"/>
    <n v="1250"/>
    <n v="21250"/>
    <x v="85"/>
    <n v="1000"/>
    <n v="17000"/>
    <x v="29"/>
  </r>
  <r>
    <n v="1000001"/>
    <x v="1"/>
    <n v="23"/>
    <n v="1250"/>
    <n v="28750"/>
    <x v="86"/>
    <n v="1000"/>
    <n v="23000"/>
    <x v="30"/>
  </r>
  <r>
    <n v="1000002"/>
    <x v="9"/>
    <n v="6"/>
    <n v="1250"/>
    <n v="7500"/>
    <x v="87"/>
    <n v="1000"/>
    <n v="6000"/>
    <x v="30"/>
  </r>
  <r>
    <n v="1000003"/>
    <x v="12"/>
    <n v="17"/>
    <n v="500"/>
    <n v="8500"/>
    <x v="88"/>
    <n v="400"/>
    <n v="6800"/>
    <x v="30"/>
  </r>
  <r>
    <n v="1000004"/>
    <x v="37"/>
    <n v="13"/>
    <n v="1500"/>
    <n v="19500"/>
    <x v="88"/>
    <n v="1200"/>
    <n v="15600"/>
    <x v="30"/>
  </r>
  <r>
    <n v="1000005"/>
    <x v="0"/>
    <n v="2"/>
    <n v="1875"/>
    <n v="3750"/>
    <x v="89"/>
    <n v="1500"/>
    <n v="3000"/>
    <x v="30"/>
  </r>
  <r>
    <n v="1000006"/>
    <x v="14"/>
    <n v="15"/>
    <n v="1500"/>
    <n v="22500"/>
    <x v="89"/>
    <n v="1200"/>
    <n v="18000"/>
    <x v="30"/>
  </r>
  <r>
    <n v="1000007"/>
    <x v="3"/>
    <n v="19"/>
    <n v="5000"/>
    <n v="95000"/>
    <x v="89"/>
    <n v="4000"/>
    <n v="76000"/>
    <x v="30"/>
  </r>
  <r>
    <n v="1000008"/>
    <x v="5"/>
    <n v="29"/>
    <n v="1250"/>
    <n v="36250"/>
    <x v="90"/>
    <n v="1000"/>
    <n v="29000"/>
    <x v="31"/>
  </r>
  <r>
    <n v="1000009"/>
    <x v="7"/>
    <n v="22"/>
    <n v="2250"/>
    <n v="49500"/>
    <x v="90"/>
    <n v="1800"/>
    <n v="39600"/>
    <x v="31"/>
  </r>
  <r>
    <n v="1000009"/>
    <x v="7"/>
    <n v="4"/>
    <n v="2250"/>
    <n v="9000"/>
    <x v="91"/>
    <n v="1800"/>
    <n v="7200"/>
    <x v="31"/>
  </r>
  <r>
    <n v="1000008"/>
    <x v="5"/>
    <n v="5"/>
    <n v="1250"/>
    <n v="6250"/>
    <x v="92"/>
    <n v="1000"/>
    <n v="5000"/>
    <x v="31"/>
  </r>
  <r>
    <n v="1000010"/>
    <x v="30"/>
    <n v="16"/>
    <n v="1500"/>
    <n v="24000"/>
    <x v="93"/>
    <n v="1200"/>
    <n v="19200"/>
    <x v="32"/>
  </r>
  <r>
    <n v="1000011"/>
    <x v="15"/>
    <n v="31"/>
    <n v="1875"/>
    <n v="58125"/>
    <x v="93"/>
    <n v="1500"/>
    <n v="46500"/>
    <x v="32"/>
  </r>
  <r>
    <n v="1000012"/>
    <x v="2"/>
    <n v="5"/>
    <n v="1500"/>
    <n v="7500"/>
    <x v="93"/>
    <n v="1200"/>
    <n v="6000"/>
    <x v="32"/>
  </r>
  <r>
    <n v="1000009"/>
    <x v="7"/>
    <n v="3"/>
    <n v="2250"/>
    <n v="6750"/>
    <x v="93"/>
    <n v="1800"/>
    <n v="5400"/>
    <x v="32"/>
  </r>
  <r>
    <n v="1000014"/>
    <x v="13"/>
    <n v="2"/>
    <n v="43750"/>
    <n v="87500"/>
    <x v="94"/>
    <n v="35000"/>
    <n v="70000"/>
    <x v="33"/>
  </r>
  <r>
    <n v="1000013"/>
    <x v="6"/>
    <n v="5"/>
    <n v="3125"/>
    <n v="15625"/>
    <x v="94"/>
    <n v="2500"/>
    <n v="12500"/>
    <x v="33"/>
  </r>
  <r>
    <n v="1000015"/>
    <x v="16"/>
    <n v="15"/>
    <n v="2500"/>
    <n v="37500"/>
    <x v="95"/>
    <n v="2000"/>
    <n v="30000"/>
    <x v="34"/>
  </r>
  <r>
    <n v="1000016"/>
    <x v="28"/>
    <n v="39"/>
    <n v="1000"/>
    <n v="39000"/>
    <x v="95"/>
    <n v="800"/>
    <n v="31200"/>
    <x v="34"/>
  </r>
  <r>
    <n v="1000013"/>
    <x v="6"/>
    <n v="17"/>
    <n v="3125"/>
    <n v="53125"/>
    <x v="95"/>
    <n v="2500"/>
    <n v="42500"/>
    <x v="34"/>
  </r>
  <r>
    <n v="1000017"/>
    <x v="27"/>
    <n v="24"/>
    <n v="875"/>
    <n v="21000"/>
    <x v="96"/>
    <n v="700"/>
    <n v="16800"/>
    <x v="35"/>
  </r>
  <r>
    <n v="1000018"/>
    <x v="4"/>
    <n v="37"/>
    <n v="250"/>
    <n v="9250"/>
    <x v="96"/>
    <n v="200"/>
    <n v="7400"/>
    <x v="35"/>
  </r>
  <r>
    <n v="1000019"/>
    <x v="38"/>
    <n v="15"/>
    <n v="1500"/>
    <n v="22500"/>
    <x v="96"/>
    <n v="1200"/>
    <n v="18000"/>
    <x v="35"/>
  </r>
  <r>
    <n v="1000020"/>
    <x v="17"/>
    <n v="19"/>
    <n v="250"/>
    <n v="4750"/>
    <x v="96"/>
    <n v="200"/>
    <n v="3800"/>
    <x v="35"/>
  </r>
  <r>
    <n v="1000013"/>
    <x v="6"/>
    <n v="6"/>
    <n v="3125"/>
    <n v="18750"/>
    <x v="96"/>
    <n v="2500"/>
    <n v="15000"/>
    <x v="35"/>
  </r>
  <r>
    <n v="1000009"/>
    <x v="7"/>
    <n v="8"/>
    <n v="2250"/>
    <n v="18000"/>
    <x v="96"/>
    <n v="1800"/>
    <n v="14400"/>
    <x v="35"/>
  </r>
  <r>
    <n v="1000021"/>
    <x v="31"/>
    <n v="22"/>
    <n v="500"/>
    <n v="11000"/>
    <x v="97"/>
    <n v="400"/>
    <n v="8800"/>
    <x v="36"/>
  </r>
  <r>
    <n v="1000022"/>
    <x v="18"/>
    <n v="13"/>
    <n v="750"/>
    <n v="9750"/>
    <x v="97"/>
    <n v="600"/>
    <n v="7800"/>
    <x v="36"/>
  </r>
  <r>
    <n v="1000014"/>
    <x v="13"/>
    <n v="1"/>
    <n v="43750"/>
    <n v="43750"/>
    <x v="97"/>
    <n v="35000"/>
    <n v="35000"/>
    <x v="36"/>
  </r>
  <r>
    <n v="1000007"/>
    <x v="3"/>
    <n v="4"/>
    <n v="5000"/>
    <n v="20000"/>
    <x v="98"/>
    <n v="4000"/>
    <n v="16000"/>
    <x v="36"/>
  </r>
  <r>
    <n v="1000009"/>
    <x v="7"/>
    <n v="7"/>
    <n v="2250"/>
    <n v="15750"/>
    <x v="98"/>
    <n v="1800"/>
    <n v="12600"/>
    <x v="36"/>
  </r>
  <r>
    <n v="1000023"/>
    <x v="21"/>
    <n v="17"/>
    <n v="1500"/>
    <n v="25500"/>
    <x v="99"/>
    <n v="1200"/>
    <n v="20400"/>
    <x v="37"/>
  </r>
  <r>
    <n v="1000024"/>
    <x v="32"/>
    <n v="19"/>
    <n v="750"/>
    <n v="14250"/>
    <x v="99"/>
    <n v="600"/>
    <n v="11400"/>
    <x v="37"/>
  </r>
  <r>
    <n v="1000025"/>
    <x v="23"/>
    <n v="25"/>
    <n v="500"/>
    <n v="12500"/>
    <x v="99"/>
    <n v="400"/>
    <n v="10000"/>
    <x v="37"/>
  </r>
  <r>
    <n v="1000026"/>
    <x v="56"/>
    <n v="6"/>
    <n v="1250"/>
    <n v="7500"/>
    <x v="99"/>
    <n v="1000"/>
    <n v="6000"/>
    <x v="37"/>
  </r>
  <r>
    <n v="1000027"/>
    <x v="35"/>
    <n v="20"/>
    <n v="500"/>
    <n v="10000"/>
    <x v="99"/>
    <n v="400"/>
    <n v="8000"/>
    <x v="37"/>
  </r>
  <r>
    <n v="1000028"/>
    <x v="22"/>
    <n v="12"/>
    <n v="500"/>
    <n v="6000"/>
    <x v="100"/>
    <n v="400"/>
    <n v="4800"/>
    <x v="37"/>
  </r>
  <r>
    <n v="1000030"/>
    <x v="40"/>
    <n v="8"/>
    <n v="500"/>
    <n v="4000"/>
    <x v="100"/>
    <n v="400"/>
    <n v="3200"/>
    <x v="37"/>
  </r>
  <r>
    <n v="1000007"/>
    <x v="3"/>
    <n v="10"/>
    <n v="5000"/>
    <n v="50000"/>
    <x v="100"/>
    <n v="4000"/>
    <n v="40000"/>
    <x v="37"/>
  </r>
  <r>
    <n v="1000009"/>
    <x v="7"/>
    <n v="7"/>
    <n v="2250"/>
    <n v="15750"/>
    <x v="100"/>
    <n v="1800"/>
    <n v="12600"/>
    <x v="37"/>
  </r>
  <r>
    <n v="1000029"/>
    <x v="39"/>
    <n v="32"/>
    <n v="1125"/>
    <n v="36000"/>
    <x v="101"/>
    <n v="900"/>
    <n v="28800"/>
    <x v="38"/>
  </r>
  <r>
    <n v="1000030"/>
    <x v="40"/>
    <n v="24"/>
    <n v="500"/>
    <n v="12000"/>
    <x v="101"/>
    <n v="400"/>
    <n v="9600"/>
    <x v="38"/>
  </r>
  <r>
    <n v="1000031"/>
    <x v="11"/>
    <n v="16"/>
    <n v="2125"/>
    <n v="34000"/>
    <x v="101"/>
    <n v="1700"/>
    <n v="27200"/>
    <x v="38"/>
  </r>
  <r>
    <n v="1000032"/>
    <x v="42"/>
    <n v="13"/>
    <n v="500"/>
    <n v="6500"/>
    <x v="101"/>
    <n v="400"/>
    <n v="5200"/>
    <x v="38"/>
  </r>
  <r>
    <n v="1000033"/>
    <x v="43"/>
    <n v="19"/>
    <n v="500"/>
    <n v="9500"/>
    <x v="101"/>
    <n v="400"/>
    <n v="7600"/>
    <x v="38"/>
  </r>
  <r>
    <n v="1000034"/>
    <x v="8"/>
    <n v="4"/>
    <n v="31250"/>
    <n v="125000"/>
    <x v="102"/>
    <n v="25000"/>
    <n v="100000"/>
    <x v="39"/>
  </r>
  <r>
    <n v="1000003"/>
    <x v="12"/>
    <n v="34"/>
    <n v="500"/>
    <n v="17000"/>
    <x v="102"/>
    <n v="400"/>
    <n v="13600"/>
    <x v="39"/>
  </r>
  <r>
    <n v="1000035"/>
    <x v="10"/>
    <n v="2"/>
    <n v="31250"/>
    <n v="62500"/>
    <x v="103"/>
    <n v="25000"/>
    <n v="50000"/>
    <x v="40"/>
  </r>
  <r>
    <n v="1000036"/>
    <x v="26"/>
    <n v="8"/>
    <n v="9375"/>
    <n v="75000"/>
    <x v="103"/>
    <n v="7500"/>
    <n v="60000"/>
    <x v="40"/>
  </r>
  <r>
    <n v="1000003"/>
    <x v="12"/>
    <n v="26"/>
    <n v="500"/>
    <n v="13000"/>
    <x v="104"/>
    <n v="400"/>
    <n v="10400"/>
    <x v="40"/>
  </r>
  <r>
    <n v="1000037"/>
    <x v="29"/>
    <n v="23"/>
    <n v="1250"/>
    <n v="28750"/>
    <x v="105"/>
    <n v="1000"/>
    <n v="23000"/>
    <x v="41"/>
  </r>
  <r>
    <n v="1000038"/>
    <x v="19"/>
    <n v="13"/>
    <n v="1250"/>
    <n v="16250"/>
    <x v="105"/>
    <n v="1000"/>
    <n v="13000"/>
    <x v="41"/>
  </r>
  <r>
    <n v="1000039"/>
    <x v="41"/>
    <n v="18"/>
    <n v="1250"/>
    <n v="22500"/>
    <x v="105"/>
    <n v="1000"/>
    <n v="18000"/>
    <x v="41"/>
  </r>
  <r>
    <n v="1000040"/>
    <x v="24"/>
    <n v="15"/>
    <n v="1250"/>
    <n v="18750"/>
    <x v="105"/>
    <n v="1000"/>
    <n v="15000"/>
    <x v="41"/>
  </r>
  <r>
    <n v="1000041"/>
    <x v="44"/>
    <n v="10"/>
    <n v="1250"/>
    <n v="12500"/>
    <x v="105"/>
    <n v="1000"/>
    <n v="10000"/>
    <x v="41"/>
  </r>
  <r>
    <n v="1000041"/>
    <x v="44"/>
    <n v="23"/>
    <n v="1250"/>
    <n v="28750"/>
    <x v="106"/>
    <n v="1000"/>
    <n v="23000"/>
    <x v="42"/>
  </r>
  <r>
    <n v="1000042"/>
    <x v="45"/>
    <n v="13"/>
    <n v="1250"/>
    <n v="16250"/>
    <x v="106"/>
    <n v="1000"/>
    <n v="13000"/>
    <x v="42"/>
  </r>
  <r>
    <n v="1000043"/>
    <x v="33"/>
    <n v="34"/>
    <n v="500"/>
    <n v="17000"/>
    <x v="106"/>
    <n v="400"/>
    <n v="13600"/>
    <x v="42"/>
  </r>
  <r>
    <n v="1000044"/>
    <x v="46"/>
    <n v="19"/>
    <n v="1875"/>
    <n v="35625"/>
    <x v="106"/>
    <n v="1500"/>
    <n v="28500"/>
    <x v="42"/>
  </r>
  <r>
    <n v="1000040"/>
    <x v="24"/>
    <n v="10"/>
    <n v="1250"/>
    <n v="12500"/>
    <x v="106"/>
    <n v="1000"/>
    <n v="10000"/>
    <x v="42"/>
  </r>
  <r>
    <n v="1000045"/>
    <x v="52"/>
    <n v="32"/>
    <n v="500"/>
    <n v="16000"/>
    <x v="107"/>
    <n v="400"/>
    <n v="12800"/>
    <x v="43"/>
  </r>
  <r>
    <n v="1000046"/>
    <x v="47"/>
    <n v="15"/>
    <n v="500"/>
    <n v="7500"/>
    <x v="107"/>
    <n v="400"/>
    <n v="6000"/>
    <x v="43"/>
  </r>
  <r>
    <n v="1000047"/>
    <x v="25"/>
    <n v="19"/>
    <n v="500"/>
    <n v="9500"/>
    <x v="107"/>
    <n v="400"/>
    <n v="7600"/>
    <x v="43"/>
  </r>
  <r>
    <n v="1000048"/>
    <x v="48"/>
    <n v="14"/>
    <n v="1250"/>
    <n v="17500"/>
    <x v="107"/>
    <n v="1000"/>
    <n v="14000"/>
    <x v="43"/>
  </r>
  <r>
    <n v="1000049"/>
    <x v="50"/>
    <n v="23"/>
    <n v="1250"/>
    <n v="28750"/>
    <x v="107"/>
    <n v="1000"/>
    <n v="23000"/>
    <x v="43"/>
  </r>
  <r>
    <n v="1000024"/>
    <x v="32"/>
    <n v="21"/>
    <n v="750"/>
    <n v="15750"/>
    <x v="107"/>
    <n v="600"/>
    <n v="12600"/>
    <x v="43"/>
  </r>
  <r>
    <n v="1000051"/>
    <x v="20"/>
    <n v="27"/>
    <n v="1500"/>
    <n v="40500"/>
    <x v="108"/>
    <n v="1200"/>
    <n v="32400"/>
    <x v="44"/>
  </r>
  <r>
    <n v="1000053"/>
    <x v="55"/>
    <n v="2"/>
    <n v="500"/>
    <n v="1000"/>
    <x v="109"/>
    <n v="400"/>
    <n v="800"/>
    <x v="44"/>
  </r>
  <r>
    <n v="1000035"/>
    <x v="10"/>
    <n v="2"/>
    <n v="31250"/>
    <n v="62500"/>
    <x v="110"/>
    <n v="25000"/>
    <n v="50000"/>
    <x v="44"/>
  </r>
  <r>
    <n v="1000050"/>
    <x v="51"/>
    <n v="13"/>
    <n v="1250"/>
    <n v="16250"/>
    <x v="111"/>
    <n v="1000"/>
    <n v="13000"/>
    <x v="44"/>
  </r>
  <r>
    <n v="1000001"/>
    <x v="1"/>
    <n v="7"/>
    <n v="1250"/>
    <n v="8750"/>
    <x v="112"/>
    <n v="1000"/>
    <n v="7000"/>
    <x v="44"/>
  </r>
  <r>
    <n v="1000052"/>
    <x v="49"/>
    <n v="20"/>
    <n v="1500"/>
    <n v="30000"/>
    <x v="113"/>
    <n v="1200"/>
    <n v="24000"/>
    <x v="44"/>
  </r>
  <r>
    <n v="1000054"/>
    <x v="54"/>
    <n v="10"/>
    <n v="500"/>
    <n v="5000"/>
    <x v="113"/>
    <n v="400"/>
    <n v="4000"/>
    <x v="44"/>
  </r>
  <r>
    <n v="1000035"/>
    <x v="10"/>
    <n v="3"/>
    <n v="31250"/>
    <n v="93750"/>
    <x v="114"/>
    <n v="25000"/>
    <n v="75000"/>
    <x v="45"/>
  </r>
  <r>
    <n v="1000024"/>
    <x v="32"/>
    <n v="35"/>
    <n v="750"/>
    <n v="26250"/>
    <x v="115"/>
    <n v="600"/>
    <n v="21000"/>
    <x v="45"/>
  </r>
  <r>
    <n v="1000035"/>
    <x v="10"/>
    <n v="2"/>
    <n v="31250"/>
    <n v="62500"/>
    <x v="116"/>
    <n v="25000"/>
    <n v="50000"/>
    <x v="45"/>
  </r>
  <r>
    <n v="1000024"/>
    <x v="32"/>
    <n v="32"/>
    <n v="750"/>
    <n v="24000"/>
    <x v="116"/>
    <n v="600"/>
    <n v="19200"/>
    <x v="45"/>
  </r>
  <r>
    <n v="1000052"/>
    <x v="49"/>
    <n v="23"/>
    <n v="1500"/>
    <n v="34500"/>
    <x v="116"/>
    <n v="1200"/>
    <n v="27600"/>
    <x v="45"/>
  </r>
  <r>
    <n v="1000014"/>
    <x v="13"/>
    <n v="1"/>
    <n v="43750"/>
    <n v="43750"/>
    <x v="117"/>
    <n v="35000"/>
    <n v="35000"/>
    <x v="46"/>
  </r>
  <r>
    <n v="1000001"/>
    <x v="1"/>
    <n v="40"/>
    <n v="1250"/>
    <n v="50000"/>
    <x v="118"/>
    <n v="1000"/>
    <n v="40000"/>
    <x v="46"/>
  </r>
  <r>
    <n v="1000018"/>
    <x v="57"/>
    <n v="13"/>
    <n v="250"/>
    <n v="3250"/>
    <x v="119"/>
    <n v="200"/>
    <n v="2600"/>
    <x v="47"/>
  </r>
  <r>
    <n v="1000011"/>
    <x v="15"/>
    <n v="16"/>
    <n v="1875"/>
    <n v="30000"/>
    <x v="119"/>
    <n v="1500"/>
    <n v="24000"/>
    <x v="47"/>
  </r>
  <r>
    <n v="1000007"/>
    <x v="3"/>
    <n v="12"/>
    <n v="5000"/>
    <n v="60000"/>
    <x v="119"/>
    <n v="4000"/>
    <n v="48000"/>
    <x v="47"/>
  </r>
  <r>
    <n v="1000016"/>
    <x v="28"/>
    <n v="7"/>
    <n v="1000"/>
    <n v="7000"/>
    <x v="119"/>
    <n v="800"/>
    <n v="5600"/>
    <x v="47"/>
  </r>
  <r>
    <n v="1000006"/>
    <x v="14"/>
    <n v="12"/>
    <n v="1500"/>
    <n v="18000"/>
    <x v="120"/>
    <n v="1200"/>
    <n v="14400"/>
    <x v="48"/>
  </r>
  <r>
    <n v="1000021"/>
    <x v="31"/>
    <n v="17"/>
    <n v="500"/>
    <n v="8500"/>
    <x v="120"/>
    <n v="400"/>
    <n v="6800"/>
    <x v="48"/>
  </r>
  <r>
    <n v="1000014"/>
    <x v="13"/>
    <n v="1"/>
    <n v="43750"/>
    <n v="43750"/>
    <x v="120"/>
    <n v="35000"/>
    <n v="35000"/>
    <x v="48"/>
  </r>
  <r>
    <n v="1000029"/>
    <x v="39"/>
    <n v="9"/>
    <n v="1125"/>
    <n v="10125"/>
    <x v="120"/>
    <n v="900"/>
    <n v="8100"/>
    <x v="48"/>
  </r>
  <r>
    <n v="1000022"/>
    <x v="18"/>
    <n v="15"/>
    <n v="750"/>
    <n v="11250"/>
    <x v="120"/>
    <n v="600"/>
    <n v="9000"/>
    <x v="48"/>
  </r>
  <r>
    <n v="1000001"/>
    <x v="1"/>
    <n v="1"/>
    <n v="1250"/>
    <n v="1250"/>
    <x v="121"/>
    <n v="1000"/>
    <n v="1000"/>
    <x v="48"/>
  </r>
  <r>
    <n v="1000002"/>
    <x v="9"/>
    <n v="2"/>
    <n v="1250"/>
    <n v="2500"/>
    <x v="122"/>
    <n v="1000"/>
    <n v="2000"/>
    <x v="48"/>
  </r>
  <r>
    <n v="1000052"/>
    <x v="49"/>
    <n v="2"/>
    <n v="1500"/>
    <n v="3000"/>
    <x v="123"/>
    <n v="1200"/>
    <n v="2400"/>
    <x v="48"/>
  </r>
  <r>
    <n v="1000053"/>
    <x v="55"/>
    <n v="2"/>
    <n v="500"/>
    <n v="1000"/>
    <x v="124"/>
    <n v="400"/>
    <n v="800"/>
    <x v="48"/>
  </r>
  <r>
    <n v="1000054"/>
    <x v="54"/>
    <n v="2"/>
    <n v="500"/>
    <n v="1000"/>
    <x v="124"/>
    <n v="400"/>
    <n v="800"/>
    <x v="48"/>
  </r>
  <r>
    <n v="1000048"/>
    <x v="48"/>
    <n v="15"/>
    <n v="1250"/>
    <n v="18750"/>
    <x v="125"/>
    <n v="1000"/>
    <n v="15000"/>
    <x v="49"/>
  </r>
  <r>
    <n v="1000053"/>
    <x v="55"/>
    <n v="24"/>
    <n v="500"/>
    <n v="12000"/>
    <x v="125"/>
    <n v="400"/>
    <n v="9600"/>
    <x v="49"/>
  </r>
  <r>
    <n v="1000046"/>
    <x v="47"/>
    <n v="19"/>
    <n v="500"/>
    <n v="9500"/>
    <x v="125"/>
    <n v="400"/>
    <n v="7600"/>
    <x v="49"/>
  </r>
  <r>
    <n v="1000035"/>
    <x v="10"/>
    <n v="1"/>
    <n v="31250"/>
    <n v="31250"/>
    <x v="126"/>
    <n v="25000"/>
    <n v="25000"/>
    <x v="49"/>
  </r>
  <r>
    <n v="1000036"/>
    <x v="26"/>
    <n v="3"/>
    <n v="9375"/>
    <n v="28125"/>
    <x v="126"/>
    <n v="7500"/>
    <n v="22500"/>
    <x v="49"/>
  </r>
  <r>
    <n v="1000007"/>
    <x v="3"/>
    <n v="2"/>
    <n v="5000"/>
    <n v="10000"/>
    <x v="127"/>
    <n v="4000"/>
    <n v="8000"/>
    <x v="50"/>
  </r>
  <r>
    <n v="1000036"/>
    <x v="26"/>
    <n v="3"/>
    <n v="9375"/>
    <n v="28125"/>
    <x v="127"/>
    <n v="7500"/>
    <n v="22500"/>
    <x v="50"/>
  </r>
  <r>
    <n v="1000009"/>
    <x v="7"/>
    <n v="1"/>
    <n v="2250"/>
    <n v="2250"/>
    <x v="127"/>
    <n v="1800"/>
    <n v="1800"/>
    <x v="50"/>
  </r>
  <r>
    <n v="1000028"/>
    <x v="22"/>
    <n v="5"/>
    <n v="500"/>
    <n v="2500"/>
    <x v="128"/>
    <n v="400"/>
    <n v="2000"/>
    <x v="50"/>
  </r>
  <r>
    <n v="1000003"/>
    <x v="12"/>
    <n v="10"/>
    <n v="500"/>
    <n v="5000"/>
    <x v="128"/>
    <n v="400"/>
    <n v="4000"/>
    <x v="50"/>
  </r>
  <r>
    <n v="1000001"/>
    <x v="1"/>
    <n v="100"/>
    <n v="1250"/>
    <n v="125000"/>
    <x v="129"/>
    <n v="1000"/>
    <n v="100000"/>
    <x v="50"/>
  </r>
  <r>
    <n v="1000054"/>
    <x v="54"/>
    <n v="100"/>
    <n v="500"/>
    <n v="50000"/>
    <x v="130"/>
    <n v="400"/>
    <n v="40000"/>
    <x v="50"/>
  </r>
  <r>
    <n v="1000053"/>
    <x v="55"/>
    <n v="20"/>
    <n v="500"/>
    <n v="10000"/>
    <x v="131"/>
    <n v="400"/>
    <n v="8000"/>
    <x v="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4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1">
  <location ref="AN8:AO30" firstHeaderRow="1" firstDataRow="1" firstDataCol="1"/>
  <pivotFields count="9">
    <pivotField showAll="0"/>
    <pivotField showAll="0"/>
    <pivotField showAll="0"/>
    <pivotField numFmtId="165" showAll="0"/>
    <pivotField numFmtId="165" showAll="0"/>
    <pivotField numFmtId="22" showAll="0"/>
    <pivotField showAll="0"/>
    <pivotField dataField="1" showAll="0" defaultSubtotal="0"/>
    <pivotField axis="axisRow" numFmtId="14" showAll="0">
      <items count="55"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m="1" x="52"/>
        <item x="51"/>
        <item t="default"/>
      </items>
    </pivotField>
  </pivotFields>
  <rowFields count="1">
    <field x="8"/>
  </rowFields>
  <rowItems count="22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Somme de Dépenses liées au Stock vendu" fld="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dateBetween" evalOrder="-1" id="337" name="Dates">
      <autoFilter ref="A1">
        <filterColumn colId="0">
          <customFilters and="1">
            <customFilter operator="greaterThanOrEqual" val="45992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2">
  <location ref="AK8:AL30" firstHeaderRow="1" firstDataRow="1" firstDataCol="1"/>
  <pivotFields count="9">
    <pivotField showAll="0"/>
    <pivotField showAll="0"/>
    <pivotField showAll="0"/>
    <pivotField numFmtId="165" showAll="0"/>
    <pivotField dataField="1" numFmtId="165" showAll="0"/>
    <pivotField numFmtId="22" showAll="0"/>
    <pivotField showAll="0"/>
    <pivotField showAll="0" defaultSubtotal="0"/>
    <pivotField axis="axisRow" numFmtId="14" showAll="0">
      <items count="55"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m="1" x="52"/>
        <item x="51"/>
        <item t="default"/>
      </items>
    </pivotField>
  </pivotFields>
  <rowFields count="1">
    <field x="8"/>
  </rowFields>
  <rowItems count="22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Somme de Total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dateBetween" evalOrder="-1" id="354" name="Dates">
      <autoFilter ref="A1">
        <filterColumn colId="0">
          <customFilters and="1">
            <customFilter operator="greaterThanOrEqual" val="45992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6">
  <location ref="AQ10:AR18" firstHeaderRow="1" firstDataRow="1" firstDataCol="1" rowPageCount="1" colPageCount="1"/>
  <pivotFields count="9">
    <pivotField showAll="0"/>
    <pivotField axis="axisRow" showAll="0" measureFilter="1">
      <items count="64">
        <item m="1" x="59"/>
        <item m="1" x="60"/>
        <item x="12"/>
        <item x="7"/>
        <item m="1" x="62"/>
        <item x="1"/>
        <item m="1" x="61"/>
        <item x="9"/>
        <item x="16"/>
        <item x="13"/>
        <item x="3"/>
        <item x="14"/>
        <item x="28"/>
        <item x="6"/>
        <item m="1" x="58"/>
        <item x="0"/>
        <item x="30"/>
        <item x="4"/>
        <item x="5"/>
        <item x="2"/>
        <item x="37"/>
        <item x="27"/>
        <item x="8"/>
        <item x="10"/>
        <item x="11"/>
        <item x="15"/>
        <item x="17"/>
        <item x="18"/>
        <item x="19"/>
        <item x="20"/>
        <item x="21"/>
        <item x="22"/>
        <item x="23"/>
        <item x="24"/>
        <item x="25"/>
        <item x="26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dataField="1" showAll="0"/>
    <pivotField numFmtId="165" showAll="0" defaultSubtotal="0"/>
    <pivotField showAll="0"/>
    <pivotField axis="axisPage" numFmtId="22" showAll="0">
      <items count="206">
        <item m="1" x="149"/>
        <item m="1" x="135"/>
        <item m="1" x="190"/>
        <item m="1" x="151"/>
        <item m="1" x="179"/>
        <item m="1" x="193"/>
        <item m="1" x="170"/>
        <item m="1" x="181"/>
        <item x="0"/>
        <item m="1" x="154"/>
        <item m="1" x="153"/>
        <item m="1" x="159"/>
        <item m="1" x="200"/>
        <item m="1" x="178"/>
        <item m="1" x="144"/>
        <item m="1" x="186"/>
        <item m="1" x="204"/>
        <item m="1" x="172"/>
        <item m="1" x="166"/>
        <item m="1" x="198"/>
        <item m="1" x="180"/>
        <item m="1" x="199"/>
        <item m="1" x="132"/>
        <item m="1" x="173"/>
        <item m="1" x="136"/>
        <item m="1" x="169"/>
        <item m="1" x="146"/>
        <item m="1" x="141"/>
        <item m="1" x="138"/>
        <item m="1" x="158"/>
        <item m="1" x="165"/>
        <item m="1" x="148"/>
        <item m="1" x="197"/>
        <item m="1" x="164"/>
        <item m="1" x="194"/>
        <item m="1" x="192"/>
        <item m="1" x="152"/>
        <item m="1" x="183"/>
        <item m="1" x="174"/>
        <item m="1" x="189"/>
        <item m="1" x="147"/>
        <item m="1" x="176"/>
        <item m="1" x="156"/>
        <item m="1" x="182"/>
        <item m="1" x="168"/>
        <item m="1" x="145"/>
        <item m="1" x="162"/>
        <item m="1" x="184"/>
        <item m="1" x="161"/>
        <item m="1" x="202"/>
        <item m="1" x="201"/>
        <item m="1" x="140"/>
        <item m="1" x="150"/>
        <item m="1" x="188"/>
        <item x="1"/>
        <item x="2"/>
        <item x="3"/>
        <item x="4"/>
        <item m="1" x="137"/>
        <item x="5"/>
        <item x="6"/>
        <item x="7"/>
        <item x="8"/>
        <item m="1" x="163"/>
        <item x="9"/>
        <item x="10"/>
        <item x="11"/>
        <item x="12"/>
        <item x="13"/>
        <item x="14"/>
        <item m="1" x="175"/>
        <item m="1" x="171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160"/>
        <item m="1" x="167"/>
        <item m="1" x="139"/>
        <item x="84"/>
        <item x="85"/>
        <item m="1" x="177"/>
        <item m="1" x="187"/>
        <item m="1" x="157"/>
        <item m="1" x="143"/>
        <item m="1" x="155"/>
        <item m="1" x="142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85"/>
        <item x="104"/>
        <item x="105"/>
        <item x="106"/>
        <item x="107"/>
        <item m="1" x="191"/>
        <item x="108"/>
        <item m="1" x="196"/>
        <item m="1" x="195"/>
        <item m="1" x="203"/>
        <item x="109"/>
        <item x="110"/>
        <item x="111"/>
        <item x="112"/>
        <item x="113"/>
        <item m="1" x="13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m="1" x="134"/>
        <item x="131"/>
        <item t="default"/>
      </items>
    </pivotField>
    <pivotField showAll="0" defaultSubtotal="0"/>
    <pivotField showAll="0" defaultSubtotal="0"/>
    <pivotField numFmtId="14" showAll="0" defaultSubtotal="0"/>
  </pivotFields>
  <rowFields count="1">
    <field x="1"/>
  </rowFields>
  <rowItems count="8">
    <i>
      <x v="5"/>
    </i>
    <i>
      <x v="23"/>
    </i>
    <i>
      <x v="29"/>
    </i>
    <i>
      <x v="54"/>
    </i>
    <i>
      <x v="56"/>
    </i>
    <i>
      <x v="59"/>
    </i>
    <i>
      <x v="60"/>
    </i>
    <i t="grand">
      <x/>
    </i>
  </rowItems>
  <colItems count="1">
    <i/>
  </colItems>
  <pageFields count="1">
    <pageField fld="5" hier="-1"/>
  </pageFields>
  <dataFields count="1">
    <dataField name="Somme de Quantité" fld="2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5" type="dateEqual" evalOrder="-1" id="457" name="Date et heure">
      <autoFilter ref="A1">
        <filterColumn colId="0">
          <customFilters>
            <customFilter val="4600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" type="count" evalOrder="-1" id="1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AF8:AH16" firstHeaderRow="0" firstDataRow="1" firstDataCol="1"/>
  <pivotFields count="9">
    <pivotField showAll="0"/>
    <pivotField axis="axisRow" showAll="0">
      <items count="64">
        <item m="1" x="59"/>
        <item m="1" x="60"/>
        <item m="1" x="62"/>
        <item m="1" x="61"/>
        <item x="9"/>
        <item x="12"/>
        <item x="3"/>
        <item x="1"/>
        <item x="28"/>
        <item x="7"/>
        <item x="16"/>
        <item x="14"/>
        <item x="13"/>
        <item x="6"/>
        <item m="1" x="58"/>
        <item x="0"/>
        <item x="30"/>
        <item x="4"/>
        <item x="5"/>
        <item x="2"/>
        <item x="37"/>
        <item x="27"/>
        <item x="8"/>
        <item x="10"/>
        <item x="11"/>
        <item x="15"/>
        <item x="17"/>
        <item x="18"/>
        <item x="19"/>
        <item x="20"/>
        <item x="21"/>
        <item x="22"/>
        <item x="23"/>
        <item x="24"/>
        <item x="25"/>
        <item x="26"/>
        <item x="29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</pivotField>
    <pivotField dataField="1" showAll="0"/>
    <pivotField numFmtId="165" showAll="0" defaultSubtotal="0"/>
    <pivotField dataField="1" showAll="0"/>
    <pivotField numFmtId="22" showAll="0">
      <items count="206">
        <item x="0"/>
        <item m="1" x="154"/>
        <item m="1" x="153"/>
        <item x="1"/>
        <item x="2"/>
        <item x="3"/>
        <item x="4"/>
        <item m="1" x="137"/>
        <item x="5"/>
        <item x="6"/>
        <item m="1" x="159"/>
        <item m="1" x="200"/>
        <item x="7"/>
        <item x="8"/>
        <item m="1" x="163"/>
        <item x="9"/>
        <item x="10"/>
        <item x="11"/>
        <item m="1" x="178"/>
        <item m="1" x="144"/>
        <item m="1" x="186"/>
        <item m="1" x="204"/>
        <item x="12"/>
        <item x="13"/>
        <item x="14"/>
        <item x="15"/>
        <item x="16"/>
        <item m="1" x="172"/>
        <item m="1" x="166"/>
        <item m="1" x="198"/>
        <item m="1" x="175"/>
        <item m="1" x="171"/>
        <item x="17"/>
        <item x="18"/>
        <item x="19"/>
        <item x="20"/>
        <item m="1" x="180"/>
        <item m="1" x="199"/>
        <item m="1" x="132"/>
        <item m="1" x="173"/>
        <item x="21"/>
        <item x="22"/>
        <item x="23"/>
        <item x="24"/>
        <item x="25"/>
        <item x="26"/>
        <item m="1" x="136"/>
        <item m="1" x="169"/>
        <item m="1" x="146"/>
        <item m="1" x="141"/>
        <item x="27"/>
        <item m="1" x="138"/>
        <item m="1" x="158"/>
        <item m="1" x="165"/>
        <item x="28"/>
        <item m="1" x="148"/>
        <item m="1" x="197"/>
        <item m="1" x="164"/>
        <item x="29"/>
        <item x="30"/>
        <item x="31"/>
        <item x="32"/>
        <item x="33"/>
        <item m="1" x="194"/>
        <item m="1" x="192"/>
        <item m="1" x="152"/>
        <item m="1" x="183"/>
        <item x="34"/>
        <item m="1" x="174"/>
        <item m="1" x="189"/>
        <item x="35"/>
        <item x="36"/>
        <item m="1" x="147"/>
        <item m="1" x="176"/>
        <item m="1" x="156"/>
        <item x="37"/>
        <item m="1" x="182"/>
        <item m="1" x="168"/>
        <item m="1" x="145"/>
        <item m="1" x="149"/>
        <item m="1" x="135"/>
        <item m="1" x="162"/>
        <item m="1" x="184"/>
        <item m="1" x="161"/>
        <item x="38"/>
        <item x="39"/>
        <item m="1" x="202"/>
        <item m="1" x="201"/>
        <item m="1" x="190"/>
        <item m="1" x="140"/>
        <item m="1" x="150"/>
        <item m="1" x="188"/>
        <item m="1" x="151"/>
        <item x="40"/>
        <item m="1" x="179"/>
        <item m="1" x="193"/>
        <item m="1" x="170"/>
        <item m="1" x="181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160"/>
        <item m="1" x="167"/>
        <item m="1" x="139"/>
        <item x="84"/>
        <item x="85"/>
        <item m="1" x="177"/>
        <item m="1" x="187"/>
        <item m="1" x="157"/>
        <item m="1" x="143"/>
        <item m="1" x="155"/>
        <item m="1" x="142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185"/>
        <item x="104"/>
        <item x="105"/>
        <item x="106"/>
        <item x="107"/>
        <item m="1" x="191"/>
        <item x="108"/>
        <item m="1" x="196"/>
        <item m="1" x="195"/>
        <item m="1" x="203"/>
        <item x="109"/>
        <item x="110"/>
        <item x="111"/>
        <item x="112"/>
        <item x="113"/>
        <item m="1" x="13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m="1" x="134"/>
        <item x="131"/>
        <item t="default"/>
      </items>
    </pivotField>
    <pivotField showAll="0" defaultSubtotal="0"/>
    <pivotField showAll="0" defaultSubtotal="0"/>
    <pivotField numFmtId="14" showAll="0" defaultSubtotal="0"/>
  </pivotFields>
  <rowFields count="1">
    <field x="1"/>
  </rowFields>
  <rowItems count="8">
    <i>
      <x v="7"/>
    </i>
    <i>
      <x v="23"/>
    </i>
    <i>
      <x v="29"/>
    </i>
    <i>
      <x v="54"/>
    </i>
    <i>
      <x v="56"/>
    </i>
    <i>
      <x v="59"/>
    </i>
    <i>
      <x v="60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4" baseField="0" baseItem="0" numFmtId="165"/>
    <dataField name="Somme de Quantité" fld="2" baseField="0" baseItem="0"/>
  </dataFields>
  <formats count="6">
    <format dxfId="24">
      <pivotArea collapsedLevelsAreSubtotals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23">
      <pivotArea collapsedLevelsAreSubtotals="1" fieldPosition="0">
        <references count="2">
          <reference field="4294967294" count="1" selected="0">
            <x v="0"/>
          </reference>
          <reference field="1" count="3">
            <x v="1"/>
            <x v="2"/>
            <x v="3"/>
          </reference>
        </references>
      </pivotArea>
    </format>
    <format dxfId="22">
      <pivotArea field="1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dateEqual" evalOrder="-1" id="629" name="Date et heure">
      <autoFilter ref="A1">
        <filterColumn colId="0">
          <customFilters>
            <customFilter val="4600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Stock_Magasin" displayName="Stock_Magasin" ref="A1:K55" totalsRowShown="0" headerRowDxfId="51" dataDxfId="49" headerRowBorderDxfId="50" tableBorderDxfId="48" totalsRowBorderDxfId="47">
  <autoFilter ref="A1:K55"/>
  <tableColumns count="11">
    <tableColumn id="1" name="Code" dataDxfId="46" totalsRowDxfId="45"/>
    <tableColumn id="2" name="Référence article" dataDxfId="44" totalsRowDxfId="43"/>
    <tableColumn id="3" name="Désignation" dataDxfId="42" totalsRowDxfId="41"/>
    <tableColumn id="4" name="Coût d'Achat Unitaire TTC  (FCFA)" dataDxfId="40" totalsRowDxfId="39" dataCellStyle="Milliers"/>
    <tableColumn id="5" name="Prix de Ventes TTC (FCFA)" dataDxfId="38" totalsRowDxfId="37" dataCellStyle="Milliers">
      <calculatedColumnFormula>Stock_Magasin[[#This Row],[Coût d''Achat Unitaire TTC  (FCFA)]]*25%+Stock_Magasin[[#This Row],[Coût d''Achat Unitaire TTC  (FCFA)]]</calculatedColumnFormula>
    </tableColumn>
    <tableColumn id="6" name="Catégorie" dataDxfId="36" totalsRowDxfId="35"/>
    <tableColumn id="7" name="Sock de base au fin du Mois" dataDxfId="34" totalsRowDxfId="33"/>
    <tableColumn id="11" name="Nouveau entré au cours du Mois" dataDxfId="32" totalsRowDxfId="31"/>
    <tableColumn id="8" name="Dernières date de mise à jour" dataDxfId="30" totalsRowDxfId="29"/>
    <tableColumn id="10" name="Stock vendu" dataDxfId="28" totalsRowDxfId="27">
      <calculatedColumnFormula>IFERROR(SUMIFS('Base de données'!C170:C2000,'Base de données'!A170:A2000,Stock_Magasin[Code]),0)</calculatedColumnFormula>
    </tableColumn>
    <tableColumn id="9" name="Stock disponible" dataDxfId="26" totalsRowDxfId="25">
      <calculatedColumnFormula>Stock_Magasin[[#This Row],[Sock de base au fin du Mois]]-Stock_Magasin[[#This Row],[Stock vendu]]+Stock_Magasin[[#This Row],[Nouveau entré au cours du Mois]]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Base_données" displayName="Base_données" ref="A2:I276" totalsRowShown="0" headerRowDxfId="18">
  <autoFilter ref="A2:I276"/>
  <tableColumns count="9">
    <tableColumn id="1" name="Code" dataDxfId="17" totalsRowDxfId="16"/>
    <tableColumn id="2" name="Désignation" dataDxfId="15" totalsRowDxfId="14"/>
    <tableColumn id="3" name="Quantité" dataDxfId="13" totalsRowDxfId="12"/>
    <tableColumn id="4" name="Prix de Vente Unitaire TTC" dataDxfId="11" totalsRowDxfId="10" dataCellStyle="Milliers"/>
    <tableColumn id="5" name="Total" dataDxfId="9" totalsRowDxfId="8" dataCellStyle="Milliers"/>
    <tableColumn id="6" name="Date et heure" dataDxfId="7" totalsRowDxfId="6"/>
    <tableColumn id="9" name="Coût d'Achat Unitaire TTC" dataDxfId="5" totalsRowDxfId="4">
      <calculatedColumnFormula>VLOOKUP(Base_données[Code],Stock_Magasin[],4,0)</calculatedColumnFormula>
    </tableColumn>
    <tableColumn id="10" name="Dépenses liées au Stock vendu" dataDxfId="3" totalsRowDxfId="2">
      <calculatedColumnFormula>Base_données[[#This Row],[Quantité]]*Base_données[[#This Row],[Coût d''Achat Unitaire TTC]]</calculatedColumnFormula>
    </tableColumn>
    <tableColumn id="7" name="Dates" dataDxfId="1" totalsRowDxfId="0">
      <calculatedColumnFormula>INT(F3)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ChronologieNative_Date_et_heure" sourceName="Date et heure">
  <pivotTables>
    <pivotTable tabId="3" name="Tableau croisé dynamique1"/>
    <pivotTable tabId="3" name="Tableau croisé dynamique2"/>
  </pivotTables>
  <state minimalRefreshVersion="6" lastRefreshVersion="6" pivotCacheId="1" filterType="dateEqual">
    <selection startDate="2025-12-15T00:00:00" endDate="2025-12-15T00:00:00"/>
    <bounds startDate="2025-01-01T07:51:33" endDate="2027-01-01T11:36:49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ChronologieNative_Dates" sourceName="Dates">
  <pivotTables>
    <pivotTable tabId="3" name="Tableau croisé dynamique3"/>
    <pivotTable tabId="3" name="Tableau croisé dynamique4"/>
  </pivotTables>
  <state minimalRefreshVersion="6" lastRefreshVersion="6" pivotCacheId="1" filterType="dateBetween">
    <selection startDate="2025-12-01T00:00:00" endDate="2025-12-31T00:00:00"/>
    <bounds startDate="1899-12-3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 et heure" cache="ChronologieNative_Date_et_heure" caption="Calendrier" level="3" selectionLevel="3" scrollPosition="2025-12-14T00:00:00" style="TimeSlicerStyleLight3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s" cache="ChronologieNative_Dates" caption="Période" showHeader="0" showHorizontalScrollbar="0" level="2" selectionLevel="2" scrollPosition="2025-1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002060"/>
  </sheetPr>
  <dimension ref="A1:Y34"/>
  <sheetViews>
    <sheetView showGridLines="0" tabSelected="1" zoomScale="60" zoomScaleNormal="60" workbookViewId="0">
      <selection activeCell="A38" sqref="A38"/>
    </sheetView>
  </sheetViews>
  <sheetFormatPr baseColWidth="10" defaultRowHeight="15" x14ac:dyDescent="0.25"/>
  <cols>
    <col min="1" max="1" width="17.42578125" customWidth="1"/>
    <col min="4" max="4" width="11.42578125" customWidth="1"/>
    <col min="7" max="7" width="14.42578125" customWidth="1"/>
    <col min="8" max="8" width="11" style="11" customWidth="1"/>
    <col min="9" max="9" width="2.85546875" customWidth="1"/>
    <col min="10" max="10" width="41.140625" customWidth="1"/>
    <col min="11" max="11" width="0.28515625" style="11" customWidth="1"/>
    <col min="12" max="12" width="5.5703125" style="11" customWidth="1"/>
    <col min="13" max="13" width="5.28515625" customWidth="1"/>
    <col min="14" max="14" width="10" customWidth="1"/>
    <col min="15" max="15" width="61.42578125" bestFit="1" customWidth="1"/>
    <col min="18" max="18" width="22.28515625" customWidth="1"/>
    <col min="19" max="19" width="21.42578125" customWidth="1"/>
    <col min="24" max="24" width="11.42578125" customWidth="1"/>
    <col min="25" max="25" width="5.42578125" customWidth="1"/>
  </cols>
  <sheetData>
    <row r="1" spans="1:22" ht="15" customHeight="1" x14ac:dyDescent="0.25">
      <c r="A1" s="6"/>
      <c r="B1" s="75" t="s">
        <v>17</v>
      </c>
      <c r="C1" s="75"/>
      <c r="D1" s="75"/>
      <c r="E1" s="75"/>
      <c r="F1" s="75"/>
      <c r="G1" s="75"/>
      <c r="H1" s="24"/>
      <c r="I1" s="6"/>
      <c r="J1" s="6"/>
      <c r="K1" s="6"/>
      <c r="L1" s="6"/>
      <c r="M1" s="6"/>
      <c r="N1" s="79">
        <f ca="1">TODAY()</f>
        <v>46258</v>
      </c>
      <c r="O1" s="79"/>
      <c r="P1" s="12"/>
      <c r="Q1" s="12"/>
      <c r="R1" s="76">
        <f ca="1">NOW()</f>
        <v>46258.858958217592</v>
      </c>
      <c r="S1" s="76"/>
      <c r="T1" s="77" t="s">
        <v>52</v>
      </c>
      <c r="U1" s="78"/>
      <c r="V1" s="5"/>
    </row>
    <row r="2" spans="1:22" ht="15" customHeight="1" x14ac:dyDescent="0.25">
      <c r="A2" s="6"/>
      <c r="B2" s="75"/>
      <c r="C2" s="75"/>
      <c r="D2" s="75"/>
      <c r="E2" s="75"/>
      <c r="F2" s="75"/>
      <c r="G2" s="75"/>
      <c r="H2" s="24"/>
      <c r="I2" s="6"/>
      <c r="J2" s="6"/>
      <c r="K2" s="6"/>
      <c r="L2" s="6"/>
      <c r="M2" s="6"/>
      <c r="N2" s="79"/>
      <c r="O2" s="79"/>
      <c r="P2" s="12"/>
      <c r="Q2" s="12"/>
      <c r="R2" s="76"/>
      <c r="S2" s="76"/>
      <c r="T2" s="78"/>
      <c r="U2" s="78"/>
      <c r="V2" s="5"/>
    </row>
    <row r="3" spans="1:22" ht="39.75" customHeight="1" x14ac:dyDescent="0.25">
      <c r="A3" s="6"/>
      <c r="B3" s="75"/>
      <c r="C3" s="75"/>
      <c r="D3" s="75"/>
      <c r="E3" s="75"/>
      <c r="F3" s="75"/>
      <c r="G3" s="75"/>
      <c r="H3" s="24"/>
      <c r="I3" s="6"/>
      <c r="J3" s="6"/>
      <c r="K3" s="6"/>
      <c r="L3" s="6"/>
      <c r="M3" s="6"/>
      <c r="N3" s="79"/>
      <c r="O3" s="79"/>
      <c r="P3" s="12"/>
      <c r="Q3" s="12"/>
      <c r="R3" s="76"/>
      <c r="S3" s="76"/>
      <c r="T3" s="78"/>
      <c r="U3" s="78"/>
      <c r="V3" s="5"/>
    </row>
    <row r="4" spans="1:22" ht="8.25" customHeight="1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22" x14ac:dyDescent="0.25">
      <c r="A5" s="9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1:22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</row>
    <row r="7" spans="1:2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 x14ac:dyDescent="0.25">
      <c r="A8" s="5"/>
      <c r="B8" s="5"/>
      <c r="C8" s="5"/>
      <c r="D8" s="5"/>
      <c r="E8" s="7"/>
      <c r="F8" s="7"/>
      <c r="G8" s="7"/>
      <c r="H8" s="7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 x14ac:dyDescent="0.25">
      <c r="A9" s="5"/>
      <c r="B9" s="5"/>
      <c r="C9" s="5"/>
      <c r="D9" s="5"/>
      <c r="E9" s="7"/>
      <c r="F9" s="7"/>
      <c r="G9" s="7"/>
      <c r="H9" s="7"/>
      <c r="I9" s="5"/>
      <c r="J9" s="7"/>
      <c r="K9" s="7"/>
      <c r="L9" s="7"/>
      <c r="M9" s="7"/>
      <c r="N9" s="7"/>
      <c r="O9" s="5"/>
      <c r="P9" s="5"/>
      <c r="Q9" s="5"/>
      <c r="R9" s="5"/>
      <c r="S9" s="5"/>
      <c r="T9" s="5"/>
      <c r="U9" s="5"/>
      <c r="V9" s="5"/>
    </row>
    <row r="10" spans="1:22" x14ac:dyDescent="0.25">
      <c r="A10" s="5"/>
      <c r="B10" s="5"/>
      <c r="C10" s="5"/>
      <c r="D10" s="5"/>
      <c r="E10" s="7"/>
      <c r="F10" s="7"/>
      <c r="G10" s="7"/>
      <c r="H10" s="7"/>
      <c r="I10" s="5"/>
      <c r="J10" s="7"/>
      <c r="K10" s="7"/>
      <c r="L10" s="7"/>
      <c r="M10" s="7"/>
      <c r="N10" s="7"/>
      <c r="O10" s="5"/>
      <c r="P10" s="5"/>
      <c r="Q10" s="5"/>
      <c r="R10" s="5"/>
      <c r="S10" s="5"/>
      <c r="T10" s="5"/>
      <c r="U10" s="5"/>
      <c r="V10" s="5"/>
    </row>
    <row r="11" spans="1:22" x14ac:dyDescent="0.25">
      <c r="A11" s="5"/>
      <c r="B11" s="5"/>
      <c r="C11" s="5"/>
      <c r="D11" s="5"/>
      <c r="E11" s="7"/>
      <c r="F11" s="7"/>
      <c r="G11" s="7"/>
      <c r="H11" s="7"/>
      <c r="I11" s="5"/>
      <c r="J11" s="7"/>
      <c r="K11" s="7"/>
      <c r="L11" s="7"/>
      <c r="M11" s="7"/>
      <c r="N11" s="7"/>
      <c r="O11" s="5"/>
      <c r="P11" s="5"/>
      <c r="Q11" s="5"/>
      <c r="R11" s="5"/>
      <c r="S11" s="5"/>
      <c r="T11" s="5"/>
      <c r="U11" s="5"/>
      <c r="V11" s="5"/>
    </row>
    <row r="12" spans="1:22" x14ac:dyDescent="0.25">
      <c r="A12" s="5"/>
      <c r="B12" s="5"/>
      <c r="C12" s="5"/>
      <c r="D12" s="5"/>
      <c r="E12" s="7"/>
      <c r="F12" s="7"/>
      <c r="G12" s="7"/>
      <c r="H12" s="7"/>
      <c r="I12" s="5"/>
      <c r="J12" s="8"/>
      <c r="K12" s="8"/>
      <c r="L12" s="8"/>
      <c r="M12" s="8"/>
      <c r="N12" s="8"/>
      <c r="O12" s="5"/>
      <c r="P12" s="5"/>
      <c r="Q12" s="5"/>
      <c r="R12" s="5"/>
      <c r="S12" s="5"/>
      <c r="T12" s="5"/>
      <c r="U12" s="5"/>
      <c r="V12" s="5"/>
    </row>
    <row r="13" spans="1:22" x14ac:dyDescent="0.25">
      <c r="A13" s="5"/>
      <c r="B13" s="5"/>
      <c r="C13" s="5"/>
      <c r="D13" s="5"/>
      <c r="E13" s="7"/>
      <c r="F13" s="7"/>
      <c r="G13" s="7"/>
      <c r="H13" s="7"/>
      <c r="I13" s="5"/>
      <c r="J13" s="7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</row>
    <row r="14" spans="1:22" ht="64.5" x14ac:dyDescent="0.95">
      <c r="A14" s="5"/>
      <c r="B14" s="5"/>
      <c r="C14" s="5"/>
      <c r="D14" s="5"/>
      <c r="E14" s="15">
        <f>GETPIVOTDATA("Somme de Quantité",Admin!$AF$8)</f>
        <v>81</v>
      </c>
      <c r="F14" s="10"/>
      <c r="G14" s="10"/>
      <c r="H14" s="10"/>
      <c r="I14" s="5"/>
      <c r="J14" s="33">
        <f>GETPIVOTDATA("Somme de Total",Admin!$AF$8)</f>
        <v>164000</v>
      </c>
      <c r="K14" s="34"/>
      <c r="L14" s="35" t="s">
        <v>58</v>
      </c>
      <c r="M14" s="35"/>
      <c r="N14" s="35"/>
      <c r="O14" s="5"/>
      <c r="P14" s="5"/>
      <c r="Q14" s="5"/>
      <c r="R14" s="5"/>
      <c r="S14" s="5"/>
      <c r="T14" s="5"/>
      <c r="U14" s="5"/>
      <c r="V14" s="5"/>
    </row>
    <row r="15" spans="1:22" x14ac:dyDescent="0.25">
      <c r="A15" s="5"/>
      <c r="B15" s="5"/>
      <c r="C15" s="5"/>
      <c r="D15" s="5"/>
      <c r="E15" s="7"/>
      <c r="F15" s="7"/>
      <c r="G15" s="7"/>
      <c r="H15" s="7"/>
      <c r="I15" s="5"/>
      <c r="J15" s="7"/>
      <c r="K15" s="7"/>
      <c r="L15" s="7"/>
      <c r="M15" s="7"/>
      <c r="N15" s="7"/>
      <c r="O15" s="5"/>
      <c r="P15" s="5"/>
      <c r="Q15" s="5"/>
      <c r="R15" s="5"/>
      <c r="S15" s="5"/>
      <c r="T15" s="5"/>
      <c r="U15" s="5"/>
      <c r="V15" s="5"/>
    </row>
    <row r="16" spans="1:22" x14ac:dyDescent="0.25">
      <c r="A16" s="5"/>
      <c r="B16" s="5"/>
      <c r="C16" s="5"/>
      <c r="D16" s="5"/>
      <c r="E16" s="7"/>
      <c r="F16" s="7"/>
      <c r="G16" s="7"/>
      <c r="H16" s="7"/>
      <c r="I16" s="5"/>
      <c r="J16" s="7"/>
      <c r="K16" s="7"/>
      <c r="L16" s="7"/>
      <c r="M16" s="7"/>
      <c r="N16" s="7"/>
      <c r="O16" s="5"/>
      <c r="P16" s="5"/>
      <c r="Q16" s="5"/>
      <c r="R16" s="5"/>
      <c r="S16" s="5"/>
      <c r="T16" s="5"/>
      <c r="U16" s="5"/>
      <c r="V16" s="5"/>
    </row>
    <row r="17" spans="1:25" x14ac:dyDescent="0.25">
      <c r="A17" s="5"/>
      <c r="B17" s="5"/>
      <c r="C17" s="5"/>
      <c r="D17" s="5"/>
      <c r="E17" s="7"/>
      <c r="F17" s="7"/>
      <c r="G17" s="7"/>
      <c r="H17" s="7"/>
      <c r="I17" s="5"/>
      <c r="J17" s="7"/>
      <c r="K17" s="7"/>
      <c r="L17" s="7"/>
      <c r="M17" s="7"/>
      <c r="N17" s="7"/>
      <c r="O17" s="5"/>
      <c r="P17" s="5"/>
      <c r="Q17" s="5"/>
      <c r="R17" s="5"/>
      <c r="S17" s="5"/>
      <c r="T17" s="5"/>
      <c r="U17" s="5"/>
      <c r="V17" s="5"/>
    </row>
    <row r="18" spans="1:25" x14ac:dyDescent="0.25">
      <c r="A18" s="5"/>
      <c r="B18" s="5"/>
      <c r="C18" s="5"/>
      <c r="D18" s="5"/>
      <c r="E18" s="7"/>
      <c r="F18" s="7"/>
      <c r="G18" s="7"/>
      <c r="H18" s="7"/>
      <c r="I18" s="5"/>
      <c r="J18" s="7"/>
      <c r="K18" s="7"/>
      <c r="L18" s="7"/>
      <c r="M18" s="7"/>
      <c r="N18" s="7"/>
      <c r="O18" s="5"/>
      <c r="P18" s="5"/>
      <c r="Q18" s="5"/>
      <c r="R18" s="5"/>
      <c r="S18" s="5"/>
      <c r="T18" s="5"/>
      <c r="U18" s="5"/>
      <c r="V18" s="5"/>
    </row>
    <row r="19" spans="1:25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5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5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5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5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4" spans="1:25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</row>
    <row r="25" spans="1:25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</row>
    <row r="26" spans="1:25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spans="1:25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</row>
    <row r="28" spans="1:25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</row>
    <row r="29" spans="1:25" ht="25.5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</row>
    <row r="30" spans="1:25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</row>
    <row r="31" spans="1:25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8"/>
      <c r="X31" s="8"/>
      <c r="Y31" s="8"/>
    </row>
    <row r="32" spans="1:25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</row>
    <row r="33" spans="1:2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spans="1:2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</row>
  </sheetData>
  <mergeCells count="4">
    <mergeCell ref="B1:G3"/>
    <mergeCell ref="R1:S3"/>
    <mergeCell ref="T1:U3"/>
    <mergeCell ref="N1:O3"/>
  </mergeCells>
  <pageMargins left="0.7" right="0.7" top="0.75" bottom="0.75" header="0.3" footer="0.3"/>
  <pageSetup paperSize="9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4" tint="-0.249977111117893"/>
  </sheetPr>
  <dimension ref="A1:K59"/>
  <sheetViews>
    <sheetView zoomScale="40" zoomScaleNormal="40" workbookViewId="0">
      <pane ySplit="1" topLeftCell="A2" activePane="bottomLeft" state="frozen"/>
      <selection pane="bottomLeft" activeCell="D77" sqref="D77"/>
    </sheetView>
  </sheetViews>
  <sheetFormatPr baseColWidth="10" defaultRowHeight="15" x14ac:dyDescent="0.25"/>
  <cols>
    <col min="1" max="1" width="29.42578125" style="74" bestFit="1" customWidth="1"/>
    <col min="2" max="2" width="33.28515625" customWidth="1"/>
    <col min="3" max="3" width="46.7109375" customWidth="1"/>
    <col min="4" max="4" width="53.7109375" customWidth="1"/>
    <col min="5" max="5" width="45.42578125" style="30" customWidth="1"/>
    <col min="6" max="6" width="39.85546875" customWidth="1"/>
    <col min="7" max="7" width="48.7109375" customWidth="1"/>
    <col min="8" max="8" width="39.28515625" customWidth="1"/>
    <col min="9" max="9" width="48" style="25" customWidth="1"/>
    <col min="10" max="10" width="47.85546875" style="25" customWidth="1"/>
    <col min="11" max="11" width="39.85546875" bestFit="1" customWidth="1"/>
  </cols>
  <sheetData>
    <row r="1" spans="1:11" ht="114.75" customHeight="1" x14ac:dyDescent="0.25">
      <c r="A1" s="70" t="s">
        <v>9</v>
      </c>
      <c r="B1" s="63" t="s">
        <v>0</v>
      </c>
      <c r="C1" s="63" t="s">
        <v>1</v>
      </c>
      <c r="D1" s="63" t="s">
        <v>59</v>
      </c>
      <c r="E1" s="63" t="s">
        <v>60</v>
      </c>
      <c r="F1" s="63" t="s">
        <v>2</v>
      </c>
      <c r="G1" s="63" t="s">
        <v>154</v>
      </c>
      <c r="H1" s="63" t="s">
        <v>153</v>
      </c>
      <c r="I1" s="63" t="s">
        <v>156</v>
      </c>
      <c r="J1" s="64" t="s">
        <v>143</v>
      </c>
      <c r="K1" s="65" t="s">
        <v>3</v>
      </c>
    </row>
    <row r="2" spans="1:11" ht="33.75" x14ac:dyDescent="0.5">
      <c r="A2" s="71">
        <v>1000001</v>
      </c>
      <c r="B2" s="42" t="s">
        <v>4</v>
      </c>
      <c r="C2" s="43" t="s">
        <v>47</v>
      </c>
      <c r="D2" s="44">
        <v>1000</v>
      </c>
      <c r="E2" s="45">
        <f>Stock_Magasin[[#This Row],[Coût d''Achat Unitaire TTC  (FCFA)]]*25%+Stock_Magasin[[#This Row],[Coût d''Achat Unitaire TTC  (FCFA)]]</f>
        <v>1250</v>
      </c>
      <c r="F2" s="42" t="s">
        <v>8</v>
      </c>
      <c r="G2" s="42">
        <v>123</v>
      </c>
      <c r="H2" s="42">
        <v>50</v>
      </c>
      <c r="I2" s="46">
        <v>45991.875</v>
      </c>
      <c r="J2" s="47">
        <f>IFERROR(SUMIFS('Base de données'!C170:C2000,'Base de données'!A170:A2000,Stock_Magasin[Code]),0)</f>
        <v>171</v>
      </c>
      <c r="K2" s="48">
        <f>Stock_Magasin[[#This Row],[Sock de base au fin du Mois]]-Stock_Magasin[[#This Row],[Stock vendu]]+Stock_Magasin[[#This Row],[Nouveau entré au cours du Mois]]</f>
        <v>2</v>
      </c>
    </row>
    <row r="3" spans="1:11" ht="33.75" x14ac:dyDescent="0.5">
      <c r="A3" s="72">
        <v>1000002</v>
      </c>
      <c r="B3" s="42" t="s">
        <v>5</v>
      </c>
      <c r="C3" s="49" t="s">
        <v>29</v>
      </c>
      <c r="D3" s="44">
        <v>1000</v>
      </c>
      <c r="E3" s="45">
        <f>Stock_Magasin[[#This Row],[Coût d''Achat Unitaire TTC  (FCFA)]]*25%+Stock_Magasin[[#This Row],[Coût d''Achat Unitaire TTC  (FCFA)]]</f>
        <v>1250</v>
      </c>
      <c r="F3" s="50" t="s">
        <v>8</v>
      </c>
      <c r="G3" s="50">
        <v>163</v>
      </c>
      <c r="H3" s="42">
        <v>50</v>
      </c>
      <c r="I3" s="46">
        <v>45991.875</v>
      </c>
      <c r="J3" s="47">
        <f>IFERROR(SUMIFS('Base de données'!C171:C2001,'Base de données'!A171:A2001,Stock_Magasin[Code]),0)</f>
        <v>8</v>
      </c>
      <c r="K3" s="48">
        <f>Stock_Magasin[[#This Row],[Sock de base au fin du Mois]]-Stock_Magasin[[#This Row],[Stock vendu]]+Stock_Magasin[[#This Row],[Nouveau entré au cours du Mois]]</f>
        <v>205</v>
      </c>
    </row>
    <row r="4" spans="1:11" ht="33.75" x14ac:dyDescent="0.5">
      <c r="A4" s="72">
        <v>1000003</v>
      </c>
      <c r="B4" s="42" t="s">
        <v>6</v>
      </c>
      <c r="C4" s="49" t="s">
        <v>30</v>
      </c>
      <c r="D4" s="44">
        <v>400</v>
      </c>
      <c r="E4" s="45">
        <f>Stock_Magasin[[#This Row],[Coût d''Achat Unitaire TTC  (FCFA)]]*25%+Stock_Magasin[[#This Row],[Coût d''Achat Unitaire TTC  (FCFA)]]</f>
        <v>500</v>
      </c>
      <c r="F4" s="50" t="s">
        <v>8</v>
      </c>
      <c r="G4" s="50">
        <v>103</v>
      </c>
      <c r="H4" s="42">
        <v>50</v>
      </c>
      <c r="I4" s="51">
        <v>45991.875</v>
      </c>
      <c r="J4" s="47">
        <f>IFERROR(SUMIFS('Base de données'!C172:C2002,'Base de données'!A172:A2002,Stock_Magasin[Code]),0)</f>
        <v>87</v>
      </c>
      <c r="K4" s="48">
        <f>Stock_Magasin[[#This Row],[Sock de base au fin du Mois]]-Stock_Magasin[[#This Row],[Stock vendu]]+Stock_Magasin[[#This Row],[Nouveau entré au cours du Mois]]</f>
        <v>66</v>
      </c>
    </row>
    <row r="5" spans="1:11" ht="33.75" x14ac:dyDescent="0.5">
      <c r="A5" s="72">
        <v>1000004</v>
      </c>
      <c r="B5" s="42" t="s">
        <v>7</v>
      </c>
      <c r="C5" s="49" t="s">
        <v>31</v>
      </c>
      <c r="D5" s="44">
        <v>1200</v>
      </c>
      <c r="E5" s="45">
        <f>Stock_Magasin[[#This Row],[Coût d''Achat Unitaire TTC  (FCFA)]]*25%+Stock_Magasin[[#This Row],[Coût d''Achat Unitaire TTC  (FCFA)]]</f>
        <v>1500</v>
      </c>
      <c r="F5" s="50" t="s">
        <v>8</v>
      </c>
      <c r="G5" s="50">
        <v>195</v>
      </c>
      <c r="H5" s="42">
        <v>50</v>
      </c>
      <c r="I5" s="51">
        <v>45991.875</v>
      </c>
      <c r="J5" s="47">
        <f>IFERROR(SUMIFS('Base de données'!C173:C2003,'Base de données'!A173:A2003,Stock_Magasin[Code]),0)</f>
        <v>13</v>
      </c>
      <c r="K5" s="48">
        <f>Stock_Magasin[[#This Row],[Sock de base au fin du Mois]]-Stock_Magasin[[#This Row],[Stock vendu]]+Stock_Magasin[[#This Row],[Nouveau entré au cours du Mois]]</f>
        <v>232</v>
      </c>
    </row>
    <row r="6" spans="1:11" ht="33.75" x14ac:dyDescent="0.5">
      <c r="A6" s="72">
        <v>1000005</v>
      </c>
      <c r="B6" s="42" t="s">
        <v>22</v>
      </c>
      <c r="C6" s="49" t="s">
        <v>32</v>
      </c>
      <c r="D6" s="44">
        <v>1500</v>
      </c>
      <c r="E6" s="45">
        <f>Stock_Magasin[[#This Row],[Coût d''Achat Unitaire TTC  (FCFA)]]*25%+Stock_Magasin[[#This Row],[Coût d''Achat Unitaire TTC  (FCFA)]]</f>
        <v>1875</v>
      </c>
      <c r="F6" s="50" t="s">
        <v>8</v>
      </c>
      <c r="G6" s="50">
        <v>166</v>
      </c>
      <c r="H6" s="42">
        <v>50</v>
      </c>
      <c r="I6" s="51">
        <v>45991.875</v>
      </c>
      <c r="J6" s="47">
        <f>IFERROR(SUMIFS('Base de données'!C174:C2004,'Base de données'!A174:A2004,Stock_Magasin[Code]),0)</f>
        <v>2</v>
      </c>
      <c r="K6" s="48">
        <f>Stock_Magasin[[#This Row],[Sock de base au fin du Mois]]-Stock_Magasin[[#This Row],[Stock vendu]]+Stock_Magasin[[#This Row],[Nouveau entré au cours du Mois]]</f>
        <v>214</v>
      </c>
    </row>
    <row r="7" spans="1:11" ht="33.75" x14ac:dyDescent="0.5">
      <c r="A7" s="72">
        <v>1000006</v>
      </c>
      <c r="B7" s="42" t="s">
        <v>18</v>
      </c>
      <c r="C7" s="49" t="s">
        <v>33</v>
      </c>
      <c r="D7" s="44">
        <v>1200</v>
      </c>
      <c r="E7" s="45">
        <f>Stock_Magasin[[#This Row],[Coût d''Achat Unitaire TTC  (FCFA)]]*25%+Stock_Magasin[[#This Row],[Coût d''Achat Unitaire TTC  (FCFA)]]</f>
        <v>1500</v>
      </c>
      <c r="F7" s="50" t="s">
        <v>8</v>
      </c>
      <c r="G7" s="50">
        <v>177</v>
      </c>
      <c r="H7" s="42">
        <v>50</v>
      </c>
      <c r="I7" s="51">
        <v>45991.875</v>
      </c>
      <c r="J7" s="47">
        <f>IFERROR(SUMIFS('Base de données'!C175:C2005,'Base de données'!A175:A2005,Stock_Magasin[Code]),0)</f>
        <v>27</v>
      </c>
      <c r="K7" s="48">
        <f>Stock_Magasin[[#This Row],[Sock de base au fin du Mois]]-Stock_Magasin[[#This Row],[Stock vendu]]+Stock_Magasin[[#This Row],[Nouveau entré au cours du Mois]]</f>
        <v>200</v>
      </c>
    </row>
    <row r="8" spans="1:11" ht="33.75" x14ac:dyDescent="0.5">
      <c r="A8" s="72">
        <v>1000007</v>
      </c>
      <c r="B8" s="42" t="s">
        <v>19</v>
      </c>
      <c r="C8" s="49" t="s">
        <v>34</v>
      </c>
      <c r="D8" s="44">
        <v>4000</v>
      </c>
      <c r="E8" s="45">
        <f>Stock_Magasin[[#This Row],[Coût d''Achat Unitaire TTC  (FCFA)]]*25%+Stock_Magasin[[#This Row],[Coût d''Achat Unitaire TTC  (FCFA)]]</f>
        <v>5000</v>
      </c>
      <c r="F8" s="50" t="s">
        <v>48</v>
      </c>
      <c r="G8" s="50">
        <v>180</v>
      </c>
      <c r="H8" s="42">
        <v>50</v>
      </c>
      <c r="I8" s="51">
        <v>45991.875</v>
      </c>
      <c r="J8" s="47">
        <f>IFERROR(SUMIFS('Base de données'!C176:C2006,'Base de données'!A176:A2006,Stock_Magasin[Code]),0)</f>
        <v>47</v>
      </c>
      <c r="K8" s="48">
        <f>Stock_Magasin[[#This Row],[Sock de base au fin du Mois]]-Stock_Magasin[[#This Row],[Stock vendu]]+Stock_Magasin[[#This Row],[Nouveau entré au cours du Mois]]</f>
        <v>183</v>
      </c>
    </row>
    <row r="9" spans="1:11" ht="33.75" x14ac:dyDescent="0.5">
      <c r="A9" s="72">
        <v>1000008</v>
      </c>
      <c r="B9" s="42" t="s">
        <v>20</v>
      </c>
      <c r="C9" s="49" t="s">
        <v>35</v>
      </c>
      <c r="D9" s="44">
        <v>1000</v>
      </c>
      <c r="E9" s="45">
        <f>Stock_Magasin[[#This Row],[Coût d''Achat Unitaire TTC  (FCFA)]]*25%+Stock_Magasin[[#This Row],[Coût d''Achat Unitaire TTC  (FCFA)]]</f>
        <v>1250</v>
      </c>
      <c r="F9" s="50" t="s">
        <v>48</v>
      </c>
      <c r="G9" s="50">
        <v>180</v>
      </c>
      <c r="H9" s="42">
        <v>50</v>
      </c>
      <c r="I9" s="51">
        <v>45991.875</v>
      </c>
      <c r="J9" s="47">
        <f>IFERROR(SUMIFS('Base de données'!C177:C2007,'Base de données'!A177:A2007,Stock_Magasin[Code]),0)</f>
        <v>34</v>
      </c>
      <c r="K9" s="48">
        <f>Stock_Magasin[[#This Row],[Sock de base au fin du Mois]]-Stock_Magasin[[#This Row],[Stock vendu]]+Stock_Magasin[[#This Row],[Nouveau entré au cours du Mois]]</f>
        <v>196</v>
      </c>
    </row>
    <row r="10" spans="1:11" ht="33.75" x14ac:dyDescent="0.5">
      <c r="A10" s="72">
        <v>1000009</v>
      </c>
      <c r="B10" s="42" t="s">
        <v>21</v>
      </c>
      <c r="C10" s="49" t="s">
        <v>36</v>
      </c>
      <c r="D10" s="44">
        <v>1800</v>
      </c>
      <c r="E10" s="45">
        <f>Stock_Magasin[[#This Row],[Coût d''Achat Unitaire TTC  (FCFA)]]*25%+Stock_Magasin[[#This Row],[Coût d''Achat Unitaire TTC  (FCFA)]]</f>
        <v>2250</v>
      </c>
      <c r="F10" s="50" t="s">
        <v>48</v>
      </c>
      <c r="G10" s="50">
        <v>191</v>
      </c>
      <c r="H10" s="42">
        <v>50</v>
      </c>
      <c r="I10" s="51">
        <v>45991.875</v>
      </c>
      <c r="J10" s="47">
        <f>IFERROR(SUMIFS('Base de données'!C178:C2008,'Base de données'!A178:A2008,Stock_Magasin[Code]),0)</f>
        <v>52</v>
      </c>
      <c r="K10" s="48">
        <f>Stock_Magasin[[#This Row],[Sock de base au fin du Mois]]-Stock_Magasin[[#This Row],[Stock vendu]]+Stock_Magasin[[#This Row],[Nouveau entré au cours du Mois]]</f>
        <v>189</v>
      </c>
    </row>
    <row r="11" spans="1:11" ht="33.75" x14ac:dyDescent="0.5">
      <c r="A11" s="72">
        <v>1000010</v>
      </c>
      <c r="B11" s="42" t="s">
        <v>23</v>
      </c>
      <c r="C11" s="49" t="s">
        <v>37</v>
      </c>
      <c r="D11" s="44">
        <v>1200</v>
      </c>
      <c r="E11" s="45">
        <f>Stock_Magasin[[#This Row],[Coût d''Achat Unitaire TTC  (FCFA)]]*25%+Stock_Magasin[[#This Row],[Coût d''Achat Unitaire TTC  (FCFA)]]</f>
        <v>1500</v>
      </c>
      <c r="F11" s="50" t="s">
        <v>49</v>
      </c>
      <c r="G11" s="50">
        <v>191</v>
      </c>
      <c r="H11" s="42">
        <v>50</v>
      </c>
      <c r="I11" s="51">
        <v>45991.875</v>
      </c>
      <c r="J11" s="47">
        <f>IFERROR(SUMIFS('Base de données'!C179:C2009,'Base de données'!A179:A2009,Stock_Magasin[Code]),0)</f>
        <v>16</v>
      </c>
      <c r="K11" s="48">
        <f>Stock_Magasin[[#This Row],[Sock de base au fin du Mois]]-Stock_Magasin[[#This Row],[Stock vendu]]+Stock_Magasin[[#This Row],[Nouveau entré au cours du Mois]]</f>
        <v>225</v>
      </c>
    </row>
    <row r="12" spans="1:11" ht="33.75" x14ac:dyDescent="0.5">
      <c r="A12" s="72">
        <v>1000011</v>
      </c>
      <c r="B12" s="42" t="s">
        <v>24</v>
      </c>
      <c r="C12" s="49" t="s">
        <v>38</v>
      </c>
      <c r="D12" s="44">
        <v>1500</v>
      </c>
      <c r="E12" s="45">
        <f>Stock_Magasin[[#This Row],[Coût d''Achat Unitaire TTC  (FCFA)]]*25%+Stock_Magasin[[#This Row],[Coût d''Achat Unitaire TTC  (FCFA)]]</f>
        <v>1875</v>
      </c>
      <c r="F12" s="50" t="s">
        <v>49</v>
      </c>
      <c r="G12" s="50">
        <v>188</v>
      </c>
      <c r="H12" s="42">
        <v>50</v>
      </c>
      <c r="I12" s="51">
        <v>45991.875</v>
      </c>
      <c r="J12" s="47">
        <f>IFERROR(SUMIFS('Base de données'!C180:C2010,'Base de données'!A180:A2010,Stock_Magasin[Code]),0)</f>
        <v>47</v>
      </c>
      <c r="K12" s="48">
        <f>Stock_Magasin[[#This Row],[Sock de base au fin du Mois]]-Stock_Magasin[[#This Row],[Stock vendu]]+Stock_Magasin[[#This Row],[Nouveau entré au cours du Mois]]</f>
        <v>191</v>
      </c>
    </row>
    <row r="13" spans="1:11" ht="33.75" x14ac:dyDescent="0.5">
      <c r="A13" s="72">
        <v>1000012</v>
      </c>
      <c r="B13" s="42" t="s">
        <v>25</v>
      </c>
      <c r="C13" s="49" t="s">
        <v>39</v>
      </c>
      <c r="D13" s="44">
        <v>1200</v>
      </c>
      <c r="E13" s="45">
        <f>Stock_Magasin[[#This Row],[Coût d''Achat Unitaire TTC  (FCFA)]]*25%+Stock_Magasin[[#This Row],[Coût d''Achat Unitaire TTC  (FCFA)]]</f>
        <v>1500</v>
      </c>
      <c r="F13" s="50" t="s">
        <v>49</v>
      </c>
      <c r="G13" s="50">
        <v>140</v>
      </c>
      <c r="H13" s="42">
        <v>50</v>
      </c>
      <c r="I13" s="51">
        <v>45991.875</v>
      </c>
      <c r="J13" s="47">
        <f>IFERROR(SUMIFS('Base de données'!C181:C2011,'Base de données'!A181:A2011,Stock_Magasin[Code]),0)</f>
        <v>5</v>
      </c>
      <c r="K13" s="48">
        <f>Stock_Magasin[[#This Row],[Sock de base au fin du Mois]]-Stock_Magasin[[#This Row],[Stock vendu]]+Stock_Magasin[[#This Row],[Nouveau entré au cours du Mois]]</f>
        <v>185</v>
      </c>
    </row>
    <row r="14" spans="1:11" ht="33.75" x14ac:dyDescent="0.5">
      <c r="A14" s="72">
        <v>1000013</v>
      </c>
      <c r="B14" s="42" t="s">
        <v>26</v>
      </c>
      <c r="C14" s="49" t="s">
        <v>45</v>
      </c>
      <c r="D14" s="44">
        <v>2500</v>
      </c>
      <c r="E14" s="45">
        <f>Stock_Magasin[[#This Row],[Coût d''Achat Unitaire TTC  (FCFA)]]*25%+Stock_Magasin[[#This Row],[Coût d''Achat Unitaire TTC  (FCFA)]]</f>
        <v>3125</v>
      </c>
      <c r="F14" s="50" t="s">
        <v>50</v>
      </c>
      <c r="G14" s="50">
        <v>179</v>
      </c>
      <c r="H14" s="42">
        <v>50</v>
      </c>
      <c r="I14" s="51">
        <v>45991.875</v>
      </c>
      <c r="J14" s="47">
        <f>IFERROR(SUMIFS('Base de données'!C182:C2012,'Base de données'!A182:A2012,Stock_Magasin[Code]),0)</f>
        <v>28</v>
      </c>
      <c r="K14" s="48">
        <f>Stock_Magasin[[#This Row],[Sock de base au fin du Mois]]-Stock_Magasin[[#This Row],[Stock vendu]]+Stock_Magasin[[#This Row],[Nouveau entré au cours du Mois]]</f>
        <v>201</v>
      </c>
    </row>
    <row r="15" spans="1:11" ht="33.75" x14ac:dyDescent="0.5">
      <c r="A15" s="72">
        <v>1000014</v>
      </c>
      <c r="B15" s="42" t="s">
        <v>27</v>
      </c>
      <c r="C15" s="49" t="s">
        <v>44</v>
      </c>
      <c r="D15" s="44">
        <v>35000</v>
      </c>
      <c r="E15" s="45">
        <f>Stock_Magasin[[#This Row],[Coût d''Achat Unitaire TTC  (FCFA)]]*25%+Stock_Magasin[[#This Row],[Coût d''Achat Unitaire TTC  (FCFA)]]</f>
        <v>43750</v>
      </c>
      <c r="F15" s="50" t="s">
        <v>50</v>
      </c>
      <c r="G15" s="50">
        <v>185</v>
      </c>
      <c r="H15" s="42">
        <v>50</v>
      </c>
      <c r="I15" s="51">
        <v>45991.875</v>
      </c>
      <c r="J15" s="47">
        <f>IFERROR(SUMIFS('Base de données'!C183:C2013,'Base de données'!A183:A2013,Stock_Magasin[Code]),0)</f>
        <v>5</v>
      </c>
      <c r="K15" s="48">
        <f>Stock_Magasin[[#This Row],[Sock de base au fin du Mois]]-Stock_Magasin[[#This Row],[Stock vendu]]+Stock_Magasin[[#This Row],[Nouveau entré au cours du Mois]]</f>
        <v>230</v>
      </c>
    </row>
    <row r="16" spans="1:11" ht="33.75" x14ac:dyDescent="0.5">
      <c r="A16" s="72">
        <v>1000015</v>
      </c>
      <c r="B16" s="42" t="s">
        <v>28</v>
      </c>
      <c r="C16" s="49" t="s">
        <v>40</v>
      </c>
      <c r="D16" s="44">
        <v>2000</v>
      </c>
      <c r="E16" s="45">
        <f>Stock_Magasin[[#This Row],[Coût d''Achat Unitaire TTC  (FCFA)]]*25%+Stock_Magasin[[#This Row],[Coût d''Achat Unitaire TTC  (FCFA)]]</f>
        <v>2500</v>
      </c>
      <c r="F16" s="50" t="s">
        <v>51</v>
      </c>
      <c r="G16" s="50">
        <v>174</v>
      </c>
      <c r="H16" s="42">
        <v>50</v>
      </c>
      <c r="I16" s="51">
        <v>45991.875</v>
      </c>
      <c r="J16" s="47">
        <f>IFERROR(SUMIFS('Base de données'!C184:C2014,'Base de données'!A184:A2014,Stock_Magasin[Code]),0)</f>
        <v>15</v>
      </c>
      <c r="K16" s="48">
        <f>Stock_Magasin[[#This Row],[Sock de base au fin du Mois]]-Stock_Magasin[[#This Row],[Stock vendu]]+Stock_Magasin[[#This Row],[Nouveau entré au cours du Mois]]</f>
        <v>209</v>
      </c>
    </row>
    <row r="17" spans="1:11" ht="33.75" x14ac:dyDescent="0.5">
      <c r="A17" s="72">
        <v>1000016</v>
      </c>
      <c r="B17" s="42" t="s">
        <v>43</v>
      </c>
      <c r="C17" s="49" t="s">
        <v>41</v>
      </c>
      <c r="D17" s="44">
        <v>800</v>
      </c>
      <c r="E17" s="45">
        <f>Stock_Magasin[[#This Row],[Coût d''Achat Unitaire TTC  (FCFA)]]*25%+Stock_Magasin[[#This Row],[Coût d''Achat Unitaire TTC  (FCFA)]]</f>
        <v>1000</v>
      </c>
      <c r="F17" s="50" t="s">
        <v>51</v>
      </c>
      <c r="G17" s="50">
        <v>185</v>
      </c>
      <c r="H17" s="42">
        <v>50</v>
      </c>
      <c r="I17" s="51">
        <v>45991.875</v>
      </c>
      <c r="J17" s="47">
        <f>IFERROR(SUMIFS('Base de données'!C185:C2015,'Base de données'!A185:A2015,Stock_Magasin[Code]),0)</f>
        <v>46</v>
      </c>
      <c r="K17" s="48">
        <f>Stock_Magasin[[#This Row],[Sock de base au fin du Mois]]-Stock_Magasin[[#This Row],[Stock vendu]]+Stock_Magasin[[#This Row],[Nouveau entré au cours du Mois]]</f>
        <v>189</v>
      </c>
    </row>
    <row r="18" spans="1:11" ht="33.75" x14ac:dyDescent="0.5">
      <c r="A18" s="72">
        <v>1000017</v>
      </c>
      <c r="B18" s="42" t="s">
        <v>46</v>
      </c>
      <c r="C18" s="49" t="s">
        <v>42</v>
      </c>
      <c r="D18" s="44">
        <v>700</v>
      </c>
      <c r="E18" s="45">
        <f>Stock_Magasin[[#This Row],[Coût d''Achat Unitaire TTC  (FCFA)]]*25%+Stock_Magasin[[#This Row],[Coût d''Achat Unitaire TTC  (FCFA)]]</f>
        <v>875</v>
      </c>
      <c r="F18" s="50" t="s">
        <v>51</v>
      </c>
      <c r="G18" s="50">
        <v>173</v>
      </c>
      <c r="H18" s="42">
        <v>50</v>
      </c>
      <c r="I18" s="51">
        <v>45991.875</v>
      </c>
      <c r="J18" s="47">
        <f>IFERROR(SUMIFS('Base de données'!C186:C2016,'Base de données'!A186:A2016,Stock_Magasin[Code]),0)</f>
        <v>24</v>
      </c>
      <c r="K18" s="48">
        <f>Stock_Magasin[[#This Row],[Sock de base au fin du Mois]]-Stock_Magasin[[#This Row],[Stock vendu]]+Stock_Magasin[[#This Row],[Nouveau entré au cours du Mois]]</f>
        <v>199</v>
      </c>
    </row>
    <row r="19" spans="1:11" ht="33.75" x14ac:dyDescent="0.5">
      <c r="A19" s="72">
        <v>1000018</v>
      </c>
      <c r="B19" s="42" t="s">
        <v>53</v>
      </c>
      <c r="C19" s="49" t="s">
        <v>54</v>
      </c>
      <c r="D19" s="44">
        <v>200</v>
      </c>
      <c r="E19" s="45">
        <f>Stock_Magasin[[#This Row],[Coût d''Achat Unitaire TTC  (FCFA)]]*25%+Stock_Magasin[[#This Row],[Coût d''Achat Unitaire TTC  (FCFA)]]</f>
        <v>250</v>
      </c>
      <c r="F19" s="50" t="s">
        <v>51</v>
      </c>
      <c r="G19" s="50">
        <v>61</v>
      </c>
      <c r="H19" s="42">
        <v>50</v>
      </c>
      <c r="I19" s="51">
        <v>45991.875</v>
      </c>
      <c r="J19" s="47">
        <f>IFERROR(SUMIFS('Base de données'!C187:C2017,'Base de données'!A187:A2017,Stock_Magasin[Code]),0)</f>
        <v>50</v>
      </c>
      <c r="K19" s="48">
        <f>Stock_Magasin[[#This Row],[Sock de base au fin du Mois]]-Stock_Magasin[[#This Row],[Stock vendu]]+Stock_Magasin[[#This Row],[Nouveau entré au cours du Mois]]</f>
        <v>61</v>
      </c>
    </row>
    <row r="20" spans="1:11" ht="33.75" x14ac:dyDescent="0.5">
      <c r="A20" s="72">
        <v>1000019</v>
      </c>
      <c r="B20" s="42" t="s">
        <v>69</v>
      </c>
      <c r="C20" s="49" t="s">
        <v>77</v>
      </c>
      <c r="D20" s="44">
        <v>1200</v>
      </c>
      <c r="E20" s="45">
        <f>Stock_Magasin[[#This Row],[Coût d''Achat Unitaire TTC  (FCFA)]]*25%+Stock_Magasin[[#This Row],[Coût d''Achat Unitaire TTC  (FCFA)]]</f>
        <v>1500</v>
      </c>
      <c r="F20" s="50" t="s">
        <v>51</v>
      </c>
      <c r="G20" s="50">
        <v>188</v>
      </c>
      <c r="H20" s="42">
        <v>50</v>
      </c>
      <c r="I20" s="51">
        <v>45991.875</v>
      </c>
      <c r="J20" s="47">
        <f>IFERROR(SUMIFS('Base de données'!C188:C2018,'Base de données'!A188:A2018,Stock_Magasin[Code]),0)</f>
        <v>15</v>
      </c>
      <c r="K20" s="48">
        <f>Stock_Magasin[[#This Row],[Sock de base au fin du Mois]]-Stock_Magasin[[#This Row],[Stock vendu]]+Stock_Magasin[[#This Row],[Nouveau entré au cours du Mois]]</f>
        <v>223</v>
      </c>
    </row>
    <row r="21" spans="1:11" ht="33.75" x14ac:dyDescent="0.5">
      <c r="A21" s="72">
        <v>1000020</v>
      </c>
      <c r="B21" s="42" t="s">
        <v>70</v>
      </c>
      <c r="C21" s="49" t="s">
        <v>78</v>
      </c>
      <c r="D21" s="44">
        <v>200</v>
      </c>
      <c r="E21" s="45">
        <f>Stock_Magasin[[#This Row],[Coût d''Achat Unitaire TTC  (FCFA)]]*25%+Stock_Magasin[[#This Row],[Coût d''Achat Unitaire TTC  (FCFA)]]</f>
        <v>250</v>
      </c>
      <c r="F21" s="50" t="s">
        <v>85</v>
      </c>
      <c r="G21" s="50">
        <v>163</v>
      </c>
      <c r="H21" s="42">
        <v>50</v>
      </c>
      <c r="I21" s="51">
        <v>45991.875</v>
      </c>
      <c r="J21" s="47">
        <f>IFERROR(SUMIFS('Base de données'!C189:C2019,'Base de données'!A189:A2019,Stock_Magasin[Code]),0)</f>
        <v>19</v>
      </c>
      <c r="K21" s="48">
        <f>Stock_Magasin[[#This Row],[Sock de base au fin du Mois]]-Stock_Magasin[[#This Row],[Stock vendu]]+Stock_Magasin[[#This Row],[Nouveau entré au cours du Mois]]</f>
        <v>194</v>
      </c>
    </row>
    <row r="22" spans="1:11" ht="33.75" x14ac:dyDescent="0.5">
      <c r="A22" s="72">
        <v>1000021</v>
      </c>
      <c r="B22" s="42" t="s">
        <v>71</v>
      </c>
      <c r="C22" s="49" t="s">
        <v>79</v>
      </c>
      <c r="D22" s="44">
        <v>400</v>
      </c>
      <c r="E22" s="45">
        <f>Stock_Magasin[[#This Row],[Coût d''Achat Unitaire TTC  (FCFA)]]*25%+Stock_Magasin[[#This Row],[Coût d''Achat Unitaire TTC  (FCFA)]]</f>
        <v>500</v>
      </c>
      <c r="F22" s="50" t="s">
        <v>49</v>
      </c>
      <c r="G22" s="50">
        <v>179</v>
      </c>
      <c r="H22" s="42">
        <v>50</v>
      </c>
      <c r="I22" s="51">
        <v>45991.875</v>
      </c>
      <c r="J22" s="47">
        <f>IFERROR(SUMIFS('Base de données'!C190:C2020,'Base de données'!A190:A2020,Stock_Magasin[Code]),0)</f>
        <v>39</v>
      </c>
      <c r="K22" s="48">
        <f>Stock_Magasin[[#This Row],[Sock de base au fin du Mois]]-Stock_Magasin[[#This Row],[Stock vendu]]+Stock_Magasin[[#This Row],[Nouveau entré au cours du Mois]]</f>
        <v>190</v>
      </c>
    </row>
    <row r="23" spans="1:11" ht="33.75" x14ac:dyDescent="0.5">
      <c r="A23" s="72">
        <v>1000022</v>
      </c>
      <c r="B23" s="42" t="s">
        <v>72</v>
      </c>
      <c r="C23" s="49" t="s">
        <v>80</v>
      </c>
      <c r="D23" s="44">
        <v>600</v>
      </c>
      <c r="E23" s="45">
        <f>Stock_Magasin[[#This Row],[Coût d''Achat Unitaire TTC  (FCFA)]]*25%+Stock_Magasin[[#This Row],[Coût d''Achat Unitaire TTC  (FCFA)]]</f>
        <v>750</v>
      </c>
      <c r="F23" s="50" t="s">
        <v>48</v>
      </c>
      <c r="G23" s="50">
        <v>152</v>
      </c>
      <c r="H23" s="42">
        <v>50</v>
      </c>
      <c r="I23" s="51">
        <v>45991.875</v>
      </c>
      <c r="J23" s="47">
        <f>IFERROR(SUMIFS('Base de données'!C191:C2021,'Base de données'!A191:A2021,Stock_Magasin[Code]),0)</f>
        <v>28</v>
      </c>
      <c r="K23" s="48">
        <f>Stock_Magasin[[#This Row],[Sock de base au fin du Mois]]-Stock_Magasin[[#This Row],[Stock vendu]]+Stock_Magasin[[#This Row],[Nouveau entré au cours du Mois]]</f>
        <v>174</v>
      </c>
    </row>
    <row r="24" spans="1:11" ht="33.75" x14ac:dyDescent="0.5">
      <c r="A24" s="72">
        <v>1000023</v>
      </c>
      <c r="B24" s="42" t="s">
        <v>73</v>
      </c>
      <c r="C24" s="49" t="s">
        <v>81</v>
      </c>
      <c r="D24" s="44">
        <v>1200</v>
      </c>
      <c r="E24" s="45">
        <f>Stock_Magasin[[#This Row],[Coût d''Achat Unitaire TTC  (FCFA)]]*25%+Stock_Magasin[[#This Row],[Coût d''Achat Unitaire TTC  (FCFA)]]</f>
        <v>1500</v>
      </c>
      <c r="F24" s="50" t="s">
        <v>48</v>
      </c>
      <c r="G24" s="50">
        <v>150</v>
      </c>
      <c r="H24" s="42">
        <v>50</v>
      </c>
      <c r="I24" s="51">
        <v>45991.875</v>
      </c>
      <c r="J24" s="47">
        <f>IFERROR(SUMIFS('Base de données'!C192:C2022,'Base de données'!A192:A2022,Stock_Magasin[Code]),0)</f>
        <v>17</v>
      </c>
      <c r="K24" s="48">
        <f>Stock_Magasin[[#This Row],[Sock de base au fin du Mois]]-Stock_Magasin[[#This Row],[Stock vendu]]+Stock_Magasin[[#This Row],[Nouveau entré au cours du Mois]]</f>
        <v>183</v>
      </c>
    </row>
    <row r="25" spans="1:11" ht="33.75" x14ac:dyDescent="0.5">
      <c r="A25" s="72">
        <v>1000024</v>
      </c>
      <c r="B25" s="42" t="s">
        <v>74</v>
      </c>
      <c r="C25" s="49" t="s">
        <v>82</v>
      </c>
      <c r="D25" s="44">
        <v>600</v>
      </c>
      <c r="E25" s="45">
        <f>Stock_Magasin[[#This Row],[Coût d''Achat Unitaire TTC  (FCFA)]]*25%+Stock_Magasin[[#This Row],[Coût d''Achat Unitaire TTC  (FCFA)]]</f>
        <v>750</v>
      </c>
      <c r="F25" s="50" t="s">
        <v>86</v>
      </c>
      <c r="G25" s="50">
        <v>149</v>
      </c>
      <c r="H25" s="42">
        <v>50</v>
      </c>
      <c r="I25" s="51">
        <v>45991.875</v>
      </c>
      <c r="J25" s="47">
        <f>IFERROR(SUMIFS('Base de données'!C193:C2023,'Base de données'!A193:A2023,Stock_Magasin[Code]),0)</f>
        <v>107</v>
      </c>
      <c r="K25" s="48">
        <f>Stock_Magasin[[#This Row],[Sock de base au fin du Mois]]-Stock_Magasin[[#This Row],[Stock vendu]]+Stock_Magasin[[#This Row],[Nouveau entré au cours du Mois]]</f>
        <v>92</v>
      </c>
    </row>
    <row r="26" spans="1:11" ht="33.75" x14ac:dyDescent="0.5">
      <c r="A26" s="72">
        <v>1000025</v>
      </c>
      <c r="B26" s="42" t="s">
        <v>75</v>
      </c>
      <c r="C26" s="49" t="s">
        <v>83</v>
      </c>
      <c r="D26" s="44">
        <v>400</v>
      </c>
      <c r="E26" s="45">
        <f>Stock_Magasin[[#This Row],[Coût d''Achat Unitaire TTC  (FCFA)]]*25%+Stock_Magasin[[#This Row],[Coût d''Achat Unitaire TTC  (FCFA)]]</f>
        <v>500</v>
      </c>
      <c r="F26" s="50" t="s">
        <v>86</v>
      </c>
      <c r="G26" s="50">
        <v>165</v>
      </c>
      <c r="H26" s="42">
        <v>50</v>
      </c>
      <c r="I26" s="51">
        <v>45991.875</v>
      </c>
      <c r="J26" s="47">
        <f>IFERROR(SUMIFS('Base de données'!C194:C2024,'Base de données'!A194:A2024,Stock_Magasin[Code]),0)</f>
        <v>25</v>
      </c>
      <c r="K26" s="48">
        <f>Stock_Magasin[[#This Row],[Sock de base au fin du Mois]]-Stock_Magasin[[#This Row],[Stock vendu]]+Stock_Magasin[[#This Row],[Nouveau entré au cours du Mois]]</f>
        <v>190</v>
      </c>
    </row>
    <row r="27" spans="1:11" ht="33.75" x14ac:dyDescent="0.5">
      <c r="A27" s="73">
        <v>1000026</v>
      </c>
      <c r="B27" s="52" t="s">
        <v>76</v>
      </c>
      <c r="C27" s="53" t="s">
        <v>84</v>
      </c>
      <c r="D27" s="54">
        <v>1000</v>
      </c>
      <c r="E27" s="55">
        <f>Stock_Magasin[[#This Row],[Coût d''Achat Unitaire TTC  (FCFA)]]*25%+Stock_Magasin[[#This Row],[Coût d''Achat Unitaire TTC  (FCFA)]]</f>
        <v>1250</v>
      </c>
      <c r="F27" s="56" t="s">
        <v>86</v>
      </c>
      <c r="G27" s="56">
        <v>195</v>
      </c>
      <c r="H27" s="42">
        <v>50</v>
      </c>
      <c r="I27" s="57">
        <v>45991.875</v>
      </c>
      <c r="J27" s="47">
        <f>IFERROR(SUMIFS('Base de données'!C195:C2025,'Base de données'!A195:A2025,Stock_Magasin[Code]),0)</f>
        <v>6</v>
      </c>
      <c r="K27" s="48">
        <f>Stock_Magasin[[#This Row],[Sock de base au fin du Mois]]-Stock_Magasin[[#This Row],[Stock vendu]]+Stock_Magasin[[#This Row],[Nouveau entré au cours du Mois]]</f>
        <v>239</v>
      </c>
    </row>
    <row r="28" spans="1:11" ht="33.75" x14ac:dyDescent="0.5">
      <c r="A28" s="73">
        <v>1000027</v>
      </c>
      <c r="B28" s="52" t="s">
        <v>87</v>
      </c>
      <c r="C28" s="49" t="s">
        <v>88</v>
      </c>
      <c r="D28" s="44">
        <v>400</v>
      </c>
      <c r="E28" s="45">
        <f>Stock_Magasin[[#This Row],[Coût d''Achat Unitaire TTC  (FCFA)]]*25%+Stock_Magasin[[#This Row],[Coût d''Achat Unitaire TTC  (FCFA)]]</f>
        <v>500</v>
      </c>
      <c r="F28" s="50" t="s">
        <v>51</v>
      </c>
      <c r="G28" s="50">
        <v>158</v>
      </c>
      <c r="H28" s="42">
        <v>50</v>
      </c>
      <c r="I28" s="51">
        <v>45991.875</v>
      </c>
      <c r="J28" s="47">
        <f>IFERROR(SUMIFS('Base de données'!C196:C2026,'Base de données'!A196:A2026,Stock_Magasin[Code]),0)</f>
        <v>20</v>
      </c>
      <c r="K28" s="48">
        <f>Stock_Magasin[[#This Row],[Sock de base au fin du Mois]]-Stock_Magasin[[#This Row],[Stock vendu]]+Stock_Magasin[[#This Row],[Nouveau entré au cours du Mois]]</f>
        <v>188</v>
      </c>
    </row>
    <row r="29" spans="1:11" ht="33.75" x14ac:dyDescent="0.5">
      <c r="A29" s="73">
        <v>1000028</v>
      </c>
      <c r="B29" s="52" t="s">
        <v>89</v>
      </c>
      <c r="C29" s="49" t="s">
        <v>114</v>
      </c>
      <c r="D29" s="44">
        <v>400</v>
      </c>
      <c r="E29" s="45">
        <f>Stock_Magasin[[#This Row],[Coût d''Achat Unitaire TTC  (FCFA)]]*25%+Stock_Magasin[[#This Row],[Coût d''Achat Unitaire TTC  (FCFA)]]</f>
        <v>500</v>
      </c>
      <c r="F29" s="50" t="s">
        <v>51</v>
      </c>
      <c r="G29" s="50">
        <v>183</v>
      </c>
      <c r="H29" s="42">
        <v>50</v>
      </c>
      <c r="I29" s="51">
        <v>45991.875</v>
      </c>
      <c r="J29" s="47">
        <f>IFERROR(SUMIFS('Base de données'!C197:C2027,'Base de données'!A197:A2027,Stock_Magasin[Code]),0)</f>
        <v>17</v>
      </c>
      <c r="K29" s="48">
        <f>Stock_Magasin[[#This Row],[Sock de base au fin du Mois]]-Stock_Magasin[[#This Row],[Stock vendu]]+Stock_Magasin[[#This Row],[Nouveau entré au cours du Mois]]</f>
        <v>216</v>
      </c>
    </row>
    <row r="30" spans="1:11" ht="33.75" x14ac:dyDescent="0.5">
      <c r="A30" s="73">
        <v>1000029</v>
      </c>
      <c r="B30" s="52" t="s">
        <v>90</v>
      </c>
      <c r="C30" s="49" t="s">
        <v>115</v>
      </c>
      <c r="D30" s="44">
        <v>900</v>
      </c>
      <c r="E30" s="45">
        <f>Stock_Magasin[[#This Row],[Coût d''Achat Unitaire TTC  (FCFA)]]*25%+Stock_Magasin[[#This Row],[Coût d''Achat Unitaire TTC  (FCFA)]]</f>
        <v>1125</v>
      </c>
      <c r="F30" s="50" t="s">
        <v>51</v>
      </c>
      <c r="G30" s="50">
        <v>159</v>
      </c>
      <c r="H30" s="42">
        <v>50</v>
      </c>
      <c r="I30" s="51">
        <v>45991.875</v>
      </c>
      <c r="J30" s="47">
        <f>IFERROR(SUMIFS('Base de données'!C198:C2028,'Base de données'!A198:A2028,Stock_Magasin[Code]),0)</f>
        <v>41</v>
      </c>
      <c r="K30" s="48">
        <f>Stock_Magasin[[#This Row],[Sock de base au fin du Mois]]-Stock_Magasin[[#This Row],[Stock vendu]]+Stock_Magasin[[#This Row],[Nouveau entré au cours du Mois]]</f>
        <v>168</v>
      </c>
    </row>
    <row r="31" spans="1:11" ht="33.75" x14ac:dyDescent="0.5">
      <c r="A31" s="73">
        <v>1000030</v>
      </c>
      <c r="B31" s="52" t="s">
        <v>91</v>
      </c>
      <c r="C31" s="49" t="s">
        <v>116</v>
      </c>
      <c r="D31" s="44">
        <v>400</v>
      </c>
      <c r="E31" s="45">
        <f>Stock_Magasin[[#This Row],[Coût d''Achat Unitaire TTC  (FCFA)]]*25%+Stock_Magasin[[#This Row],[Coût d''Achat Unitaire TTC  (FCFA)]]</f>
        <v>500</v>
      </c>
      <c r="F31" s="50" t="s">
        <v>51</v>
      </c>
      <c r="G31" s="50">
        <v>163</v>
      </c>
      <c r="H31" s="42">
        <v>50</v>
      </c>
      <c r="I31" s="51">
        <v>45991.875</v>
      </c>
      <c r="J31" s="47">
        <f>IFERROR(SUMIFS('Base de données'!C199:C2029,'Base de données'!A199:A2029,Stock_Magasin[Code]),0)</f>
        <v>32</v>
      </c>
      <c r="K31" s="48">
        <f>Stock_Magasin[[#This Row],[Sock de base au fin du Mois]]-Stock_Magasin[[#This Row],[Stock vendu]]+Stock_Magasin[[#This Row],[Nouveau entré au cours du Mois]]</f>
        <v>181</v>
      </c>
    </row>
    <row r="32" spans="1:11" ht="33.75" x14ac:dyDescent="0.5">
      <c r="A32" s="73">
        <v>1000031</v>
      </c>
      <c r="B32" s="52" t="s">
        <v>92</v>
      </c>
      <c r="C32" s="49" t="s">
        <v>117</v>
      </c>
      <c r="D32" s="44">
        <v>1700</v>
      </c>
      <c r="E32" s="45">
        <f>Stock_Magasin[[#This Row],[Coût d''Achat Unitaire TTC  (FCFA)]]*25%+Stock_Magasin[[#This Row],[Coût d''Achat Unitaire TTC  (FCFA)]]</f>
        <v>2125</v>
      </c>
      <c r="F32" s="50" t="s">
        <v>51</v>
      </c>
      <c r="G32" s="50">
        <v>167</v>
      </c>
      <c r="H32" s="42">
        <v>50</v>
      </c>
      <c r="I32" s="51">
        <v>45991.875</v>
      </c>
      <c r="J32" s="47">
        <f>IFERROR(SUMIFS('Base de données'!C200:C2030,'Base de données'!A200:A2030,Stock_Magasin[Code]),0)</f>
        <v>16</v>
      </c>
      <c r="K32" s="48">
        <f>Stock_Magasin[[#This Row],[Sock de base au fin du Mois]]-Stock_Magasin[[#This Row],[Stock vendu]]+Stock_Magasin[[#This Row],[Nouveau entré au cours du Mois]]</f>
        <v>201</v>
      </c>
    </row>
    <row r="33" spans="1:11" ht="33.75" x14ac:dyDescent="0.5">
      <c r="A33" s="73">
        <v>1000032</v>
      </c>
      <c r="B33" s="52" t="s">
        <v>93</v>
      </c>
      <c r="C33" s="49" t="s">
        <v>118</v>
      </c>
      <c r="D33" s="44">
        <v>400</v>
      </c>
      <c r="E33" s="45">
        <f>Stock_Magasin[[#This Row],[Coût d''Achat Unitaire TTC  (FCFA)]]*25%+Stock_Magasin[[#This Row],[Coût d''Achat Unitaire TTC  (FCFA)]]</f>
        <v>500</v>
      </c>
      <c r="F33" s="50" t="s">
        <v>51</v>
      </c>
      <c r="G33" s="50">
        <v>199</v>
      </c>
      <c r="H33" s="42">
        <v>50</v>
      </c>
      <c r="I33" s="51">
        <v>45991.875</v>
      </c>
      <c r="J33" s="47">
        <f>IFERROR(SUMIFS('Base de données'!C201:C2031,'Base de données'!A201:A2031,Stock_Magasin[Code]),0)</f>
        <v>13</v>
      </c>
      <c r="K33" s="48">
        <f>Stock_Magasin[[#This Row],[Sock de base au fin du Mois]]-Stock_Magasin[[#This Row],[Stock vendu]]+Stock_Magasin[[#This Row],[Nouveau entré au cours du Mois]]</f>
        <v>236</v>
      </c>
    </row>
    <row r="34" spans="1:11" ht="33.75" x14ac:dyDescent="0.5">
      <c r="A34" s="73">
        <v>1000033</v>
      </c>
      <c r="B34" s="52" t="s">
        <v>94</v>
      </c>
      <c r="C34" s="49" t="s">
        <v>119</v>
      </c>
      <c r="D34" s="44">
        <v>400</v>
      </c>
      <c r="E34" s="45">
        <f>Stock_Magasin[[#This Row],[Coût d''Achat Unitaire TTC  (FCFA)]]*25%+Stock_Magasin[[#This Row],[Coût d''Achat Unitaire TTC  (FCFA)]]</f>
        <v>500</v>
      </c>
      <c r="F34" s="50" t="s">
        <v>51</v>
      </c>
      <c r="G34" s="50">
        <v>191</v>
      </c>
      <c r="H34" s="42">
        <v>50</v>
      </c>
      <c r="I34" s="51">
        <v>45991.875</v>
      </c>
      <c r="J34" s="47">
        <f>IFERROR(SUMIFS('Base de données'!C202:C2032,'Base de données'!A202:A2032,Stock_Magasin[Code]),0)</f>
        <v>19</v>
      </c>
      <c r="K34" s="48">
        <f>Stock_Magasin[[#This Row],[Sock de base au fin du Mois]]-Stock_Magasin[[#This Row],[Stock vendu]]+Stock_Magasin[[#This Row],[Nouveau entré au cours du Mois]]</f>
        <v>222</v>
      </c>
    </row>
    <row r="35" spans="1:11" ht="33.75" x14ac:dyDescent="0.5">
      <c r="A35" s="73">
        <v>1000034</v>
      </c>
      <c r="B35" s="52" t="s">
        <v>95</v>
      </c>
      <c r="C35" s="49" t="s">
        <v>120</v>
      </c>
      <c r="D35" s="44">
        <v>25000</v>
      </c>
      <c r="E35" s="45">
        <f>Stock_Magasin[[#This Row],[Coût d''Achat Unitaire TTC  (FCFA)]]*25%+Stock_Magasin[[#This Row],[Coût d''Achat Unitaire TTC  (FCFA)]]</f>
        <v>31250</v>
      </c>
      <c r="F35" s="50" t="s">
        <v>48</v>
      </c>
      <c r="G35" s="50">
        <v>187</v>
      </c>
      <c r="H35" s="42">
        <v>50</v>
      </c>
      <c r="I35" s="51">
        <v>45991.875</v>
      </c>
      <c r="J35" s="47">
        <f>IFERROR(SUMIFS('Base de données'!C203:C2033,'Base de données'!A203:A2033,Stock_Magasin[Code]),0)</f>
        <v>4</v>
      </c>
      <c r="K35" s="48">
        <f>Stock_Magasin[[#This Row],[Sock de base au fin du Mois]]-Stock_Magasin[[#This Row],[Stock vendu]]+Stock_Magasin[[#This Row],[Nouveau entré au cours du Mois]]</f>
        <v>233</v>
      </c>
    </row>
    <row r="36" spans="1:11" ht="33.75" x14ac:dyDescent="0.5">
      <c r="A36" s="73">
        <v>1000035</v>
      </c>
      <c r="B36" s="52" t="s">
        <v>96</v>
      </c>
      <c r="C36" s="49" t="s">
        <v>121</v>
      </c>
      <c r="D36" s="44">
        <v>25000</v>
      </c>
      <c r="E36" s="45">
        <f>Stock_Magasin[[#This Row],[Coût d''Achat Unitaire TTC  (FCFA)]]*25%+Stock_Magasin[[#This Row],[Coût d''Achat Unitaire TTC  (FCFA)]]</f>
        <v>31250</v>
      </c>
      <c r="F36" s="50" t="s">
        <v>48</v>
      </c>
      <c r="G36" s="50">
        <v>189</v>
      </c>
      <c r="H36" s="42">
        <v>50</v>
      </c>
      <c r="I36" s="51">
        <v>45991.875</v>
      </c>
      <c r="J36" s="47">
        <f>IFERROR(SUMIFS('Base de données'!C204:C2034,'Base de données'!A204:A2034,Stock_Magasin[Code]),0)</f>
        <v>10</v>
      </c>
      <c r="K36" s="48">
        <f>Stock_Magasin[[#This Row],[Sock de base au fin du Mois]]-Stock_Magasin[[#This Row],[Stock vendu]]+Stock_Magasin[[#This Row],[Nouveau entré au cours du Mois]]</f>
        <v>229</v>
      </c>
    </row>
    <row r="37" spans="1:11" ht="33.75" x14ac:dyDescent="0.5">
      <c r="A37" s="73">
        <v>1000036</v>
      </c>
      <c r="B37" s="52" t="s">
        <v>97</v>
      </c>
      <c r="C37" s="49" t="s">
        <v>122</v>
      </c>
      <c r="D37" s="44">
        <v>7500</v>
      </c>
      <c r="E37" s="45">
        <f>Stock_Magasin[[#This Row],[Coût d''Achat Unitaire TTC  (FCFA)]]*25%+Stock_Magasin[[#This Row],[Coût d''Achat Unitaire TTC  (FCFA)]]</f>
        <v>9375</v>
      </c>
      <c r="F37" s="50" t="s">
        <v>48</v>
      </c>
      <c r="G37" s="50">
        <v>194</v>
      </c>
      <c r="H37" s="42">
        <v>50</v>
      </c>
      <c r="I37" s="51">
        <v>45991.875</v>
      </c>
      <c r="J37" s="47">
        <f>IFERROR(SUMIFS('Base de données'!C205:C2035,'Base de données'!A205:A2035,Stock_Magasin[Code]),0)</f>
        <v>14</v>
      </c>
      <c r="K37" s="48">
        <f>Stock_Magasin[[#This Row],[Sock de base au fin du Mois]]-Stock_Magasin[[#This Row],[Stock vendu]]+Stock_Magasin[[#This Row],[Nouveau entré au cours du Mois]]</f>
        <v>230</v>
      </c>
    </row>
    <row r="38" spans="1:11" ht="33.75" x14ac:dyDescent="0.5">
      <c r="A38" s="73">
        <v>1000037</v>
      </c>
      <c r="B38" s="52" t="s">
        <v>98</v>
      </c>
      <c r="C38" s="49" t="s">
        <v>123</v>
      </c>
      <c r="D38" s="44">
        <v>1000</v>
      </c>
      <c r="E38" s="45">
        <f>Stock_Magasin[[#This Row],[Coût d''Achat Unitaire TTC  (FCFA)]]*25%+Stock_Magasin[[#This Row],[Coût d''Achat Unitaire TTC  (FCFA)]]</f>
        <v>1250</v>
      </c>
      <c r="F38" s="50" t="s">
        <v>48</v>
      </c>
      <c r="G38" s="50">
        <v>174</v>
      </c>
      <c r="H38" s="42">
        <v>50</v>
      </c>
      <c r="I38" s="51">
        <v>45991.875</v>
      </c>
      <c r="J38" s="47">
        <f>IFERROR(SUMIFS('Base de données'!C206:C2036,'Base de données'!A206:A2036,Stock_Magasin[Code]),0)</f>
        <v>23</v>
      </c>
      <c r="K38" s="48">
        <f>Stock_Magasin[[#This Row],[Sock de base au fin du Mois]]-Stock_Magasin[[#This Row],[Stock vendu]]+Stock_Magasin[[#This Row],[Nouveau entré au cours du Mois]]</f>
        <v>201</v>
      </c>
    </row>
    <row r="39" spans="1:11" ht="33.75" x14ac:dyDescent="0.5">
      <c r="A39" s="73">
        <v>1000038</v>
      </c>
      <c r="B39" s="52" t="s">
        <v>99</v>
      </c>
      <c r="C39" s="49" t="s">
        <v>124</v>
      </c>
      <c r="D39" s="44">
        <v>1000</v>
      </c>
      <c r="E39" s="45">
        <f>Stock_Magasin[[#This Row],[Coût d''Achat Unitaire TTC  (FCFA)]]*25%+Stock_Magasin[[#This Row],[Coût d''Achat Unitaire TTC  (FCFA)]]</f>
        <v>1250</v>
      </c>
      <c r="F39" s="50" t="s">
        <v>48</v>
      </c>
      <c r="G39" s="50">
        <v>174</v>
      </c>
      <c r="H39" s="42">
        <v>50</v>
      </c>
      <c r="I39" s="51">
        <v>45991.875</v>
      </c>
      <c r="J39" s="47">
        <f>IFERROR(SUMIFS('Base de données'!C207:C2037,'Base de données'!A207:A2037,Stock_Magasin[Code]),0)</f>
        <v>13</v>
      </c>
      <c r="K39" s="48">
        <f>Stock_Magasin[[#This Row],[Sock de base au fin du Mois]]-Stock_Magasin[[#This Row],[Stock vendu]]+Stock_Magasin[[#This Row],[Nouveau entré au cours du Mois]]</f>
        <v>211</v>
      </c>
    </row>
    <row r="40" spans="1:11" ht="33.75" x14ac:dyDescent="0.5">
      <c r="A40" s="73">
        <v>1000039</v>
      </c>
      <c r="B40" s="52" t="s">
        <v>100</v>
      </c>
      <c r="C40" s="49" t="s">
        <v>125</v>
      </c>
      <c r="D40" s="44">
        <v>1000</v>
      </c>
      <c r="E40" s="45">
        <f>Stock_Magasin[[#This Row],[Coût d''Achat Unitaire TTC  (FCFA)]]*25%+Stock_Magasin[[#This Row],[Coût d''Achat Unitaire TTC  (FCFA)]]</f>
        <v>1250</v>
      </c>
      <c r="F40" s="50" t="s">
        <v>48</v>
      </c>
      <c r="G40" s="50">
        <v>186</v>
      </c>
      <c r="H40" s="42">
        <v>50</v>
      </c>
      <c r="I40" s="51">
        <v>45991.875</v>
      </c>
      <c r="J40" s="47">
        <f>IFERROR(SUMIFS('Base de données'!C208:C2038,'Base de données'!A208:A2038,Stock_Magasin[Code]),0)</f>
        <v>18</v>
      </c>
      <c r="K40" s="48">
        <f>Stock_Magasin[[#This Row],[Sock de base au fin du Mois]]-Stock_Magasin[[#This Row],[Stock vendu]]+Stock_Magasin[[#This Row],[Nouveau entré au cours du Mois]]</f>
        <v>218</v>
      </c>
    </row>
    <row r="41" spans="1:11" ht="33.75" x14ac:dyDescent="0.5">
      <c r="A41" s="73">
        <v>1000040</v>
      </c>
      <c r="B41" s="52" t="s">
        <v>101</v>
      </c>
      <c r="C41" s="49" t="s">
        <v>138</v>
      </c>
      <c r="D41" s="44">
        <v>1000</v>
      </c>
      <c r="E41" s="45">
        <f>Stock_Magasin[[#This Row],[Coût d''Achat Unitaire TTC  (FCFA)]]*25%+Stock_Magasin[[#This Row],[Coût d''Achat Unitaire TTC  (FCFA)]]</f>
        <v>1250</v>
      </c>
      <c r="F41" s="50" t="s">
        <v>85</v>
      </c>
      <c r="G41" s="50">
        <v>182</v>
      </c>
      <c r="H41" s="42">
        <v>50</v>
      </c>
      <c r="I41" s="51">
        <v>45991.875</v>
      </c>
      <c r="J41" s="47">
        <f>IFERROR(SUMIFS('Base de données'!C209:C2039,'Base de données'!A209:A2039,Stock_Magasin[Code]),0)</f>
        <v>25</v>
      </c>
      <c r="K41" s="48">
        <f>Stock_Magasin[[#This Row],[Sock de base au fin du Mois]]-Stock_Magasin[[#This Row],[Stock vendu]]+Stock_Magasin[[#This Row],[Nouveau entré au cours du Mois]]</f>
        <v>207</v>
      </c>
    </row>
    <row r="42" spans="1:11" ht="33.75" x14ac:dyDescent="0.5">
      <c r="A42" s="73">
        <v>1000041</v>
      </c>
      <c r="B42" s="52" t="s">
        <v>102</v>
      </c>
      <c r="C42" s="49" t="s">
        <v>126</v>
      </c>
      <c r="D42" s="44">
        <v>1000</v>
      </c>
      <c r="E42" s="45">
        <f>Stock_Magasin[[#This Row],[Coût d''Achat Unitaire TTC  (FCFA)]]*25%+Stock_Magasin[[#This Row],[Coût d''Achat Unitaire TTC  (FCFA)]]</f>
        <v>1250</v>
      </c>
      <c r="F42" s="50" t="s">
        <v>85</v>
      </c>
      <c r="G42" s="50">
        <v>171</v>
      </c>
      <c r="H42" s="42">
        <v>50</v>
      </c>
      <c r="I42" s="51">
        <v>45991.875</v>
      </c>
      <c r="J42" s="47">
        <f>IFERROR(SUMIFS('Base de données'!C210:C2040,'Base de données'!A210:A2040,Stock_Magasin[Code]),0)</f>
        <v>33</v>
      </c>
      <c r="K42" s="48">
        <f>Stock_Magasin[[#This Row],[Sock de base au fin du Mois]]-Stock_Magasin[[#This Row],[Stock vendu]]+Stock_Magasin[[#This Row],[Nouveau entré au cours du Mois]]</f>
        <v>188</v>
      </c>
    </row>
    <row r="43" spans="1:11" ht="33.75" x14ac:dyDescent="0.5">
      <c r="A43" s="73">
        <v>1000042</v>
      </c>
      <c r="B43" s="52" t="s">
        <v>103</v>
      </c>
      <c r="C43" s="49" t="s">
        <v>127</v>
      </c>
      <c r="D43" s="44">
        <v>1000</v>
      </c>
      <c r="E43" s="45">
        <f>Stock_Magasin[[#This Row],[Coût d''Achat Unitaire TTC  (FCFA)]]*25%+Stock_Magasin[[#This Row],[Coût d''Achat Unitaire TTC  (FCFA)]]</f>
        <v>1250</v>
      </c>
      <c r="F43" s="50" t="s">
        <v>85</v>
      </c>
      <c r="G43" s="50">
        <v>183</v>
      </c>
      <c r="H43" s="42">
        <v>50</v>
      </c>
      <c r="I43" s="51">
        <v>45991.875</v>
      </c>
      <c r="J43" s="47">
        <f>IFERROR(SUMIFS('Base de données'!C211:C2041,'Base de données'!A211:A2041,Stock_Magasin[Code]),0)</f>
        <v>13</v>
      </c>
      <c r="K43" s="48">
        <f>Stock_Magasin[[#This Row],[Sock de base au fin du Mois]]-Stock_Magasin[[#This Row],[Stock vendu]]+Stock_Magasin[[#This Row],[Nouveau entré au cours du Mois]]</f>
        <v>220</v>
      </c>
    </row>
    <row r="44" spans="1:11" ht="33.75" x14ac:dyDescent="0.5">
      <c r="A44" s="73">
        <v>1000043</v>
      </c>
      <c r="B44" s="52" t="s">
        <v>104</v>
      </c>
      <c r="C44" s="49" t="s">
        <v>128</v>
      </c>
      <c r="D44" s="44">
        <v>400</v>
      </c>
      <c r="E44" s="45">
        <f>Stock_Magasin[[#This Row],[Coût d''Achat Unitaire TTC  (FCFA)]]*25%+Stock_Magasin[[#This Row],[Coût d''Achat Unitaire TTC  (FCFA)]]</f>
        <v>500</v>
      </c>
      <c r="F44" s="50" t="s">
        <v>85</v>
      </c>
      <c r="G44" s="50">
        <v>180</v>
      </c>
      <c r="H44" s="42">
        <v>50</v>
      </c>
      <c r="I44" s="51">
        <v>45991.875</v>
      </c>
      <c r="J44" s="47">
        <f>IFERROR(SUMIFS('Base de données'!C212:C2042,'Base de données'!A212:A2042,Stock_Magasin[Code]),0)</f>
        <v>34</v>
      </c>
      <c r="K44" s="48">
        <f>Stock_Magasin[[#This Row],[Sock de base au fin du Mois]]-Stock_Magasin[[#This Row],[Stock vendu]]+Stock_Magasin[[#This Row],[Nouveau entré au cours du Mois]]</f>
        <v>196</v>
      </c>
    </row>
    <row r="45" spans="1:11" ht="33.75" x14ac:dyDescent="0.5">
      <c r="A45" s="73">
        <v>1000044</v>
      </c>
      <c r="B45" s="52" t="s">
        <v>105</v>
      </c>
      <c r="C45" s="49" t="s">
        <v>129</v>
      </c>
      <c r="D45" s="44">
        <v>1500</v>
      </c>
      <c r="E45" s="45">
        <f>Stock_Magasin[[#This Row],[Coût d''Achat Unitaire TTC  (FCFA)]]*25%+Stock_Magasin[[#This Row],[Coût d''Achat Unitaire TTC  (FCFA)]]</f>
        <v>1875</v>
      </c>
      <c r="F45" s="50" t="s">
        <v>86</v>
      </c>
      <c r="G45" s="50">
        <v>199</v>
      </c>
      <c r="H45" s="42">
        <v>50</v>
      </c>
      <c r="I45" s="51">
        <v>45991.875</v>
      </c>
      <c r="J45" s="47">
        <f>IFERROR(SUMIFS('Base de données'!C213:C2043,'Base de données'!A213:A2043,Stock_Magasin[Code]),0)</f>
        <v>19</v>
      </c>
      <c r="K45" s="48">
        <f>Stock_Magasin[[#This Row],[Sock de base au fin du Mois]]-Stock_Magasin[[#This Row],[Stock vendu]]+Stock_Magasin[[#This Row],[Nouveau entré au cours du Mois]]</f>
        <v>230</v>
      </c>
    </row>
    <row r="46" spans="1:11" ht="33.75" x14ac:dyDescent="0.5">
      <c r="A46" s="73">
        <v>1000045</v>
      </c>
      <c r="B46" s="52" t="s">
        <v>106</v>
      </c>
      <c r="C46" s="49" t="s">
        <v>130</v>
      </c>
      <c r="D46" s="44">
        <v>400</v>
      </c>
      <c r="E46" s="45">
        <f>Stock_Magasin[[#This Row],[Coût d''Achat Unitaire TTC  (FCFA)]]*25%+Stock_Magasin[[#This Row],[Coût d''Achat Unitaire TTC  (FCFA)]]</f>
        <v>500</v>
      </c>
      <c r="F46" s="50" t="s">
        <v>86</v>
      </c>
      <c r="G46" s="50">
        <v>182</v>
      </c>
      <c r="H46" s="42">
        <v>50</v>
      </c>
      <c r="I46" s="51">
        <v>45991.875</v>
      </c>
      <c r="J46" s="47">
        <f>IFERROR(SUMIFS('Base de données'!C214:C2044,'Base de données'!A214:A2044,Stock_Magasin[Code]),0)</f>
        <v>32</v>
      </c>
      <c r="K46" s="48">
        <f>Stock_Magasin[[#This Row],[Sock de base au fin du Mois]]-Stock_Magasin[[#This Row],[Stock vendu]]+Stock_Magasin[[#This Row],[Nouveau entré au cours du Mois]]</f>
        <v>200</v>
      </c>
    </row>
    <row r="47" spans="1:11" ht="33.75" x14ac:dyDescent="0.5">
      <c r="A47" s="73">
        <v>1000046</v>
      </c>
      <c r="B47" s="52" t="s">
        <v>107</v>
      </c>
      <c r="C47" s="49" t="s">
        <v>131</v>
      </c>
      <c r="D47" s="44">
        <v>400</v>
      </c>
      <c r="E47" s="45">
        <f>Stock_Magasin[[#This Row],[Coût d''Achat Unitaire TTC  (FCFA)]]*25%+Stock_Magasin[[#This Row],[Coût d''Achat Unitaire TTC  (FCFA)]]</f>
        <v>500</v>
      </c>
      <c r="F47" s="50" t="s">
        <v>86</v>
      </c>
      <c r="G47" s="50">
        <v>175</v>
      </c>
      <c r="H47" s="42">
        <v>50</v>
      </c>
      <c r="I47" s="51">
        <v>45991.875</v>
      </c>
      <c r="J47" s="47">
        <f>IFERROR(SUMIFS('Base de données'!C215:C2045,'Base de données'!A215:A2045,Stock_Magasin[Code]),0)</f>
        <v>34</v>
      </c>
      <c r="K47" s="48">
        <f>Stock_Magasin[[#This Row],[Sock de base au fin du Mois]]-Stock_Magasin[[#This Row],[Stock vendu]]+Stock_Magasin[[#This Row],[Nouveau entré au cours du Mois]]</f>
        <v>191</v>
      </c>
    </row>
    <row r="48" spans="1:11" ht="33.75" x14ac:dyDescent="0.5">
      <c r="A48" s="73">
        <v>1000047</v>
      </c>
      <c r="B48" s="52" t="s">
        <v>108</v>
      </c>
      <c r="C48" s="49" t="s">
        <v>132</v>
      </c>
      <c r="D48" s="44">
        <v>400</v>
      </c>
      <c r="E48" s="45">
        <f>Stock_Magasin[[#This Row],[Coût d''Achat Unitaire TTC  (FCFA)]]*25%+Stock_Magasin[[#This Row],[Coût d''Achat Unitaire TTC  (FCFA)]]</f>
        <v>500</v>
      </c>
      <c r="F48" s="50" t="s">
        <v>86</v>
      </c>
      <c r="G48" s="50">
        <v>177</v>
      </c>
      <c r="H48" s="42">
        <v>50</v>
      </c>
      <c r="I48" s="51">
        <v>45991.875</v>
      </c>
      <c r="J48" s="47">
        <f>IFERROR(SUMIFS('Base de données'!C216:C2046,'Base de données'!A216:A2046,Stock_Magasin[Code]),0)</f>
        <v>19</v>
      </c>
      <c r="K48" s="48">
        <f>Stock_Magasin[[#This Row],[Sock de base au fin du Mois]]-Stock_Magasin[[#This Row],[Stock vendu]]+Stock_Magasin[[#This Row],[Nouveau entré au cours du Mois]]</f>
        <v>208</v>
      </c>
    </row>
    <row r="49" spans="1:11" ht="31.5" customHeight="1" x14ac:dyDescent="0.5">
      <c r="A49" s="73">
        <v>1000048</v>
      </c>
      <c r="B49" s="52" t="s">
        <v>109</v>
      </c>
      <c r="C49" s="49" t="s">
        <v>133</v>
      </c>
      <c r="D49" s="44">
        <v>1000</v>
      </c>
      <c r="E49" s="45">
        <f>Stock_Magasin[[#This Row],[Coût d''Achat Unitaire TTC  (FCFA)]]*25%+Stock_Magasin[[#This Row],[Coût d''Achat Unitaire TTC  (FCFA)]]</f>
        <v>1250</v>
      </c>
      <c r="F49" s="50" t="s">
        <v>86</v>
      </c>
      <c r="G49" s="50">
        <v>172</v>
      </c>
      <c r="H49" s="42">
        <v>50</v>
      </c>
      <c r="I49" s="51">
        <v>45991.875</v>
      </c>
      <c r="J49" s="47">
        <f>IFERROR(SUMIFS('Base de données'!C217:C2047,'Base de données'!A217:A2047,Stock_Magasin[Code]),0)</f>
        <v>29</v>
      </c>
      <c r="K49" s="48">
        <f>Stock_Magasin[[#This Row],[Sock de base au fin du Mois]]-Stock_Magasin[[#This Row],[Stock vendu]]+Stock_Magasin[[#This Row],[Nouveau entré au cours du Mois]]</f>
        <v>193</v>
      </c>
    </row>
    <row r="50" spans="1:11" ht="33.75" x14ac:dyDescent="0.5">
      <c r="A50" s="73">
        <v>1000049</v>
      </c>
      <c r="B50" s="52" t="s">
        <v>110</v>
      </c>
      <c r="C50" s="49" t="s">
        <v>134</v>
      </c>
      <c r="D50" s="44">
        <v>1000</v>
      </c>
      <c r="E50" s="45">
        <f>Stock_Magasin[[#This Row],[Coût d''Achat Unitaire TTC  (FCFA)]]*25%+Stock_Magasin[[#This Row],[Coût d''Achat Unitaire TTC  (FCFA)]]</f>
        <v>1250</v>
      </c>
      <c r="F50" s="50" t="s">
        <v>86</v>
      </c>
      <c r="G50" s="50">
        <v>189</v>
      </c>
      <c r="H50" s="42">
        <v>50</v>
      </c>
      <c r="I50" s="51">
        <v>45991.875</v>
      </c>
      <c r="J50" s="47">
        <f>IFERROR(SUMIFS('Base de données'!C218:C2048,'Base de données'!A218:A2048,Stock_Magasin[Code]),0)</f>
        <v>23</v>
      </c>
      <c r="K50" s="48">
        <f>Stock_Magasin[[#This Row],[Sock de base au fin du Mois]]-Stock_Magasin[[#This Row],[Stock vendu]]+Stock_Magasin[[#This Row],[Nouveau entré au cours du Mois]]</f>
        <v>216</v>
      </c>
    </row>
    <row r="51" spans="1:11" ht="33.75" x14ac:dyDescent="0.5">
      <c r="A51" s="73">
        <v>1000050</v>
      </c>
      <c r="B51" s="52" t="s">
        <v>111</v>
      </c>
      <c r="C51" s="49" t="s">
        <v>135</v>
      </c>
      <c r="D51" s="44">
        <v>1000</v>
      </c>
      <c r="E51" s="45">
        <f>Stock_Magasin[[#This Row],[Coût d''Achat Unitaire TTC  (FCFA)]]*25%+Stock_Magasin[[#This Row],[Coût d''Achat Unitaire TTC  (FCFA)]]</f>
        <v>1250</v>
      </c>
      <c r="F51" s="50" t="s">
        <v>86</v>
      </c>
      <c r="G51" s="50">
        <v>184</v>
      </c>
      <c r="H51" s="42">
        <v>50</v>
      </c>
      <c r="I51" s="51">
        <v>45991.875</v>
      </c>
      <c r="J51" s="47">
        <f>IFERROR(SUMIFS('Base de données'!C219:C2049,'Base de données'!A219:A2049,Stock_Magasin[Code]),0)</f>
        <v>13</v>
      </c>
      <c r="K51" s="48">
        <f>Stock_Magasin[[#This Row],[Sock de base au fin du Mois]]-Stock_Magasin[[#This Row],[Stock vendu]]+Stock_Magasin[[#This Row],[Nouveau entré au cours du Mois]]</f>
        <v>221</v>
      </c>
    </row>
    <row r="52" spans="1:11" ht="33.75" x14ac:dyDescent="0.5">
      <c r="A52" s="73">
        <v>1000051</v>
      </c>
      <c r="B52" s="52" t="s">
        <v>112</v>
      </c>
      <c r="C52" s="49" t="s">
        <v>136</v>
      </c>
      <c r="D52" s="44">
        <v>1200</v>
      </c>
      <c r="E52" s="45">
        <f>Stock_Magasin[[#This Row],[Coût d''Achat Unitaire TTC  (FCFA)]]*25%+Stock_Magasin[[#This Row],[Coût d''Achat Unitaire TTC  (FCFA)]]</f>
        <v>1500</v>
      </c>
      <c r="F52" s="50" t="s">
        <v>86</v>
      </c>
      <c r="G52" s="50">
        <v>169</v>
      </c>
      <c r="H52" s="42">
        <v>50</v>
      </c>
      <c r="I52" s="51">
        <v>45991.875</v>
      </c>
      <c r="J52" s="47">
        <f>IFERROR(SUMIFS('Base de données'!C220:C2050,'Base de données'!A220:A2050,Stock_Magasin[Code]),0)</f>
        <v>27</v>
      </c>
      <c r="K52" s="48">
        <f>Stock_Magasin[[#This Row],[Sock de base au fin du Mois]]-Stock_Magasin[[#This Row],[Stock vendu]]+Stock_Magasin[[#This Row],[Nouveau entré au cours du Mois]]</f>
        <v>192</v>
      </c>
    </row>
    <row r="53" spans="1:11" ht="33.75" x14ac:dyDescent="0.5">
      <c r="A53" s="73">
        <v>1000052</v>
      </c>
      <c r="B53" s="52" t="s">
        <v>113</v>
      </c>
      <c r="C53" s="49" t="s">
        <v>137</v>
      </c>
      <c r="D53" s="44">
        <v>1200</v>
      </c>
      <c r="E53" s="45">
        <f>Stock_Magasin[[#This Row],[Coût d''Achat Unitaire TTC  (FCFA)]]*25%+Stock_Magasin[[#This Row],[Coût d''Achat Unitaire TTC  (FCFA)]]</f>
        <v>1500</v>
      </c>
      <c r="F53" s="50" t="s">
        <v>86</v>
      </c>
      <c r="G53" s="50">
        <v>181</v>
      </c>
      <c r="H53" s="42">
        <v>50</v>
      </c>
      <c r="I53" s="51">
        <v>45991.875</v>
      </c>
      <c r="J53" s="47">
        <f>IFERROR(SUMIFS('Base de données'!C221:C2051,'Base de données'!A221:A2051,Stock_Magasin[Code]),0)</f>
        <v>45</v>
      </c>
      <c r="K53" s="48">
        <f>Stock_Magasin[[#This Row],[Sock de base au fin du Mois]]-Stock_Magasin[[#This Row],[Stock vendu]]+Stock_Magasin[[#This Row],[Nouveau entré au cours du Mois]]</f>
        <v>186</v>
      </c>
    </row>
    <row r="54" spans="1:11" ht="33.75" x14ac:dyDescent="0.5">
      <c r="A54" s="73">
        <v>1000053</v>
      </c>
      <c r="B54" s="52" t="s">
        <v>145</v>
      </c>
      <c r="C54" s="59" t="s">
        <v>149</v>
      </c>
      <c r="D54" s="60">
        <v>400</v>
      </c>
      <c r="E54" s="61">
        <f>Stock_Magasin[[#This Row],[Coût d''Achat Unitaire TTC  (FCFA)]]*25%+Stock_Magasin[[#This Row],[Coût d''Achat Unitaire TTC  (FCFA)]]</f>
        <v>500</v>
      </c>
      <c r="F54" s="58" t="s">
        <v>8</v>
      </c>
      <c r="G54" s="58">
        <v>177</v>
      </c>
      <c r="H54" s="42">
        <v>50</v>
      </c>
      <c r="I54" s="51">
        <v>45991.875</v>
      </c>
      <c r="J54" s="47">
        <f>IFERROR(SUMIFS('Base de données'!C222:C2052,'Base de données'!A222:A2052,Stock_Magasin[Code]),0)</f>
        <v>48</v>
      </c>
      <c r="K54" s="62">
        <f>Stock_Magasin[[#This Row],[Sock de base au fin du Mois]]-Stock_Magasin[[#This Row],[Stock vendu]]+Stock_Magasin[[#This Row],[Nouveau entré au cours du Mois]]</f>
        <v>179</v>
      </c>
    </row>
    <row r="55" spans="1:11" ht="33.75" x14ac:dyDescent="0.5">
      <c r="A55" s="73">
        <v>1000054</v>
      </c>
      <c r="B55" s="52" t="s">
        <v>147</v>
      </c>
      <c r="C55" s="59" t="s">
        <v>148</v>
      </c>
      <c r="D55" s="60">
        <v>400</v>
      </c>
      <c r="E55" s="61">
        <f>Stock_Magasin[[#This Row],[Coût d''Achat Unitaire TTC  (FCFA)]]*25%+Stock_Magasin[[#This Row],[Coût d''Achat Unitaire TTC  (FCFA)]]</f>
        <v>500</v>
      </c>
      <c r="F55" s="58" t="s">
        <v>48</v>
      </c>
      <c r="G55" s="58">
        <v>168</v>
      </c>
      <c r="H55" s="42">
        <v>50</v>
      </c>
      <c r="I55" s="51">
        <v>45991.875</v>
      </c>
      <c r="J55" s="47">
        <f>IFERROR(SUMIFS('Base de données'!C223:C2053,'Base de données'!A223:A2053,Stock_Magasin[Code]),0)</f>
        <v>112</v>
      </c>
      <c r="K55" s="62">
        <f>Stock_Magasin[[#This Row],[Sock de base au fin du Mois]]-Stock_Magasin[[#This Row],[Stock vendu]]+Stock_Magasin[[#This Row],[Nouveau entré au cours du Mois]]</f>
        <v>106</v>
      </c>
    </row>
    <row r="56" spans="1:11" x14ac:dyDescent="0.25">
      <c r="E56"/>
      <c r="I56"/>
    </row>
    <row r="57" spans="1:11" x14ac:dyDescent="0.25">
      <c r="E57"/>
      <c r="I57"/>
    </row>
    <row r="58" spans="1:11" x14ac:dyDescent="0.25">
      <c r="E58"/>
      <c r="I58"/>
    </row>
    <row r="59" spans="1:11" x14ac:dyDescent="0.25">
      <c r="E59"/>
      <c r="I59"/>
      <c r="J5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 tint="-0.499984740745262"/>
  </sheetPr>
  <dimension ref="A1:AR50"/>
  <sheetViews>
    <sheetView showGridLines="0" zoomScale="40" zoomScaleNormal="40" workbookViewId="0">
      <selection activeCell="B57" sqref="B57"/>
    </sheetView>
  </sheetViews>
  <sheetFormatPr baseColWidth="10" defaultRowHeight="15" x14ac:dyDescent="0.25"/>
  <cols>
    <col min="1" max="1" width="2.7109375" customWidth="1"/>
    <col min="2" max="2" width="52.42578125" customWidth="1"/>
    <col min="3" max="3" width="20.85546875" bestFit="1" customWidth="1"/>
    <col min="4" max="4" width="14.42578125" customWidth="1"/>
    <col min="5" max="5" width="10.140625" customWidth="1"/>
    <col min="6" max="6" width="2.7109375" customWidth="1"/>
    <col min="7" max="7" width="30" bestFit="1" customWidth="1"/>
    <col min="8" max="8" width="18.85546875" customWidth="1"/>
    <col min="9" max="9" width="4.85546875" customWidth="1"/>
    <col min="10" max="10" width="30" bestFit="1" customWidth="1"/>
    <col min="11" max="11" width="34.42578125" bestFit="1" customWidth="1"/>
    <col min="12" max="12" width="2.85546875" customWidth="1"/>
    <col min="13" max="13" width="32.85546875" customWidth="1"/>
    <col min="14" max="14" width="24.85546875" customWidth="1"/>
    <col min="15" max="15" width="18.85546875" bestFit="1" customWidth="1"/>
    <col min="23" max="23" width="38.28515625" customWidth="1"/>
    <col min="24" max="24" width="56.28515625" customWidth="1"/>
    <col min="32" max="32" width="33.7109375" customWidth="1"/>
    <col min="33" max="33" width="21.5703125" customWidth="1"/>
    <col min="34" max="34" width="8" customWidth="1"/>
    <col min="36" max="36" width="2.140625" customWidth="1"/>
    <col min="37" max="37" width="33.7109375" customWidth="1"/>
    <col min="38" max="38" width="21.5703125" customWidth="1"/>
    <col min="39" max="39" width="3" customWidth="1"/>
    <col min="40" max="40" width="33.7109375" customWidth="1"/>
    <col min="41" max="41" width="54.42578125" customWidth="1"/>
    <col min="42" max="42" width="2.7109375" customWidth="1"/>
    <col min="43" max="43" width="33.7109375" customWidth="1"/>
    <col min="44" max="44" width="25.5703125" customWidth="1"/>
  </cols>
  <sheetData>
    <row r="1" spans="1:44" ht="99" customHeight="1" x14ac:dyDescent="1.35">
      <c r="A1" s="5"/>
      <c r="B1" s="19" t="s">
        <v>55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44" ht="34.5" hidden="1" customHeight="1" x14ac:dyDescent="1.35">
      <c r="A2" s="5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44" ht="54" hidden="1" customHeight="1" x14ac:dyDescent="1.35">
      <c r="A3" s="5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44" ht="92.25" hidden="1" x14ac:dyDescent="1.35">
      <c r="A4" s="5"/>
      <c r="B4" s="18"/>
      <c r="C4" s="18"/>
      <c r="D4" s="18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44" ht="21.75" customHeigh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AF5" s="41" t="s">
        <v>67</v>
      </c>
      <c r="AG5" s="39"/>
      <c r="AH5" s="39"/>
      <c r="AI5" s="39"/>
      <c r="AK5" s="41" t="s">
        <v>141</v>
      </c>
      <c r="AL5" s="41"/>
      <c r="AN5" s="41" t="s">
        <v>142</v>
      </c>
      <c r="AO5" s="41"/>
      <c r="AQ5" s="41" t="s">
        <v>68</v>
      </c>
      <c r="AR5" s="41"/>
    </row>
    <row r="6" spans="1:44" ht="5.25" customHeight="1" x14ac:dyDescent="0.4">
      <c r="A6" s="5"/>
      <c r="B6" s="5"/>
      <c r="C6" s="16"/>
      <c r="D6" s="16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AF6" s="40"/>
      <c r="AG6" s="40"/>
      <c r="AH6" s="40"/>
      <c r="AI6" s="40"/>
      <c r="AK6" s="41"/>
      <c r="AL6" s="41"/>
      <c r="AN6" s="41"/>
      <c r="AO6" s="41"/>
      <c r="AQ6" s="41"/>
      <c r="AR6" s="41"/>
    </row>
    <row r="7" spans="1:44" ht="26.25" x14ac:dyDescent="0.4">
      <c r="A7" s="5"/>
      <c r="B7" s="5"/>
      <c r="C7" s="80" t="str">
        <f>TEXT(AK9,"mmmm")</f>
        <v>décembre</v>
      </c>
      <c r="D7" s="80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AF7" s="41" t="s">
        <v>64</v>
      </c>
      <c r="AG7" s="39"/>
      <c r="AH7" s="39"/>
      <c r="AI7" s="39"/>
      <c r="AK7" s="41" t="s">
        <v>65</v>
      </c>
      <c r="AL7" s="41"/>
      <c r="AN7" s="41" t="s">
        <v>66</v>
      </c>
      <c r="AO7" s="41"/>
      <c r="AQ7" s="41" t="s">
        <v>63</v>
      </c>
      <c r="AR7" s="41"/>
    </row>
    <row r="8" spans="1:44" x14ac:dyDescent="0.25">
      <c r="A8" s="5"/>
      <c r="B8" s="5"/>
      <c r="C8" s="80"/>
      <c r="D8" s="80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AF8" s="3" t="s">
        <v>15</v>
      </c>
      <c r="AG8" s="22" t="s">
        <v>13</v>
      </c>
      <c r="AH8" s="22" t="s">
        <v>14</v>
      </c>
      <c r="AI8" s="20"/>
      <c r="AK8" s="3" t="s">
        <v>15</v>
      </c>
      <c r="AL8" t="s">
        <v>13</v>
      </c>
      <c r="AN8" s="3" t="s">
        <v>15</v>
      </c>
      <c r="AO8" t="s">
        <v>152</v>
      </c>
      <c r="AQ8" s="3" t="s">
        <v>11</v>
      </c>
      <c r="AR8" s="11" t="s">
        <v>57</v>
      </c>
    </row>
    <row r="9" spans="1:44" x14ac:dyDescent="0.25">
      <c r="A9" s="5"/>
      <c r="B9" s="5"/>
      <c r="C9" s="80"/>
      <c r="D9" s="80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AF9" s="4" t="s">
        <v>47</v>
      </c>
      <c r="AG9" s="27">
        <v>8750</v>
      </c>
      <c r="AH9" s="21">
        <v>7</v>
      </c>
      <c r="AI9" s="23"/>
      <c r="AK9" s="26">
        <v>45992</v>
      </c>
      <c r="AL9" s="25">
        <v>185500</v>
      </c>
      <c r="AN9" s="26">
        <v>45992</v>
      </c>
      <c r="AO9" s="25">
        <v>148400</v>
      </c>
    </row>
    <row r="10" spans="1:44" s="11" customForma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AF10" s="4" t="s">
        <v>121</v>
      </c>
      <c r="AG10" s="27">
        <v>62500</v>
      </c>
      <c r="AH10" s="21">
        <v>2</v>
      </c>
      <c r="AI10" s="23"/>
      <c r="AK10" s="26">
        <v>45993</v>
      </c>
      <c r="AL10" s="25">
        <v>101000</v>
      </c>
      <c r="AM10"/>
      <c r="AN10" s="26">
        <v>45993</v>
      </c>
      <c r="AO10" s="25">
        <v>80800</v>
      </c>
      <c r="AP10"/>
      <c r="AQ10" s="3" t="s">
        <v>15</v>
      </c>
      <c r="AR10" t="s">
        <v>14</v>
      </c>
    </row>
    <row r="11" spans="1:44" s="1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AF11" s="4" t="s">
        <v>136</v>
      </c>
      <c r="AG11" s="27">
        <v>40500</v>
      </c>
      <c r="AH11" s="21">
        <v>27</v>
      </c>
      <c r="AI11" s="23"/>
      <c r="AK11" s="26">
        <v>45994</v>
      </c>
      <c r="AL11" s="25">
        <v>96375</v>
      </c>
      <c r="AM11"/>
      <c r="AN11" s="26">
        <v>45994</v>
      </c>
      <c r="AO11" s="25">
        <v>77100</v>
      </c>
      <c r="AP11"/>
      <c r="AQ11" s="4" t="s">
        <v>47</v>
      </c>
      <c r="AR11" s="25">
        <v>7</v>
      </c>
    </row>
    <row r="12" spans="1:44" s="1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AF12" s="4" t="s">
        <v>137</v>
      </c>
      <c r="AG12" s="27">
        <v>30000</v>
      </c>
      <c r="AH12" s="21">
        <v>20</v>
      </c>
      <c r="AI12" s="23"/>
      <c r="AK12" s="26">
        <v>45995</v>
      </c>
      <c r="AL12" s="25">
        <v>103125</v>
      </c>
      <c r="AM12"/>
      <c r="AN12" s="26">
        <v>45995</v>
      </c>
      <c r="AO12" s="25">
        <v>82500</v>
      </c>
      <c r="AP12"/>
      <c r="AQ12" s="4" t="s">
        <v>121</v>
      </c>
      <c r="AR12" s="25">
        <v>2</v>
      </c>
    </row>
    <row r="13" spans="1:44" s="1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AF13" s="4" t="s">
        <v>135</v>
      </c>
      <c r="AG13" s="27">
        <v>16250</v>
      </c>
      <c r="AH13" s="21">
        <v>13</v>
      </c>
      <c r="AI13" s="23"/>
      <c r="AK13" s="26">
        <v>45996</v>
      </c>
      <c r="AL13" s="25">
        <v>129625</v>
      </c>
      <c r="AM13"/>
      <c r="AN13" s="26">
        <v>45996</v>
      </c>
      <c r="AO13" s="25">
        <v>103700</v>
      </c>
      <c r="AP13"/>
      <c r="AQ13" s="4" t="s">
        <v>136</v>
      </c>
      <c r="AR13" s="25">
        <v>27</v>
      </c>
    </row>
    <row r="14" spans="1:44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AF14" s="4" t="s">
        <v>148</v>
      </c>
      <c r="AG14" s="27">
        <v>5000</v>
      </c>
      <c r="AH14" s="21">
        <v>10</v>
      </c>
      <c r="AI14" s="23"/>
      <c r="AK14" s="26">
        <v>45997</v>
      </c>
      <c r="AL14" s="25">
        <v>94250</v>
      </c>
      <c r="AN14" s="26">
        <v>45997</v>
      </c>
      <c r="AO14" s="25">
        <v>75400</v>
      </c>
      <c r="AQ14" s="4" t="s">
        <v>137</v>
      </c>
      <c r="AR14" s="25">
        <v>20</v>
      </c>
    </row>
    <row r="15" spans="1:44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AF15" s="4" t="s">
        <v>149</v>
      </c>
      <c r="AG15" s="27">
        <v>1000</v>
      </c>
      <c r="AH15" s="21">
        <v>2</v>
      </c>
      <c r="AI15" s="23"/>
      <c r="AK15" s="26">
        <v>45998</v>
      </c>
      <c r="AL15" s="25">
        <v>100250</v>
      </c>
      <c r="AN15" s="26">
        <v>45998</v>
      </c>
      <c r="AO15" s="25">
        <v>80200</v>
      </c>
      <c r="AQ15" s="4" t="s">
        <v>135</v>
      </c>
      <c r="AR15" s="25">
        <v>13</v>
      </c>
    </row>
    <row r="16" spans="1:44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AF16" s="4" t="s">
        <v>16</v>
      </c>
      <c r="AG16" s="27">
        <v>164000</v>
      </c>
      <c r="AH16" s="21">
        <v>81</v>
      </c>
      <c r="AI16" s="23"/>
      <c r="AK16" s="26">
        <v>45999</v>
      </c>
      <c r="AL16" s="25">
        <v>145500</v>
      </c>
      <c r="AN16" s="26">
        <v>45999</v>
      </c>
      <c r="AO16" s="25">
        <v>116400</v>
      </c>
      <c r="AQ16" s="4" t="s">
        <v>148</v>
      </c>
      <c r="AR16" s="25">
        <v>10</v>
      </c>
    </row>
    <row r="17" spans="1:44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AI17" s="23"/>
      <c r="AK17" s="26">
        <v>46000</v>
      </c>
      <c r="AL17" s="25">
        <v>98000</v>
      </c>
      <c r="AN17" s="26">
        <v>46000</v>
      </c>
      <c r="AO17" s="25">
        <v>78400</v>
      </c>
      <c r="AQ17" s="4" t="s">
        <v>149</v>
      </c>
      <c r="AR17" s="25">
        <v>2</v>
      </c>
    </row>
    <row r="18" spans="1:44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AI18" s="23"/>
      <c r="AK18" s="26">
        <v>46001</v>
      </c>
      <c r="AL18" s="25">
        <v>142000</v>
      </c>
      <c r="AN18" s="26">
        <v>46001</v>
      </c>
      <c r="AO18" s="25">
        <v>113600</v>
      </c>
      <c r="AQ18" s="4" t="s">
        <v>16</v>
      </c>
      <c r="AR18" s="25">
        <v>81</v>
      </c>
    </row>
    <row r="19" spans="1:44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AI19" s="23"/>
      <c r="AK19" s="26">
        <v>46002</v>
      </c>
      <c r="AL19" s="25">
        <v>150500</v>
      </c>
      <c r="AN19" s="26">
        <v>46002</v>
      </c>
      <c r="AO19" s="25">
        <v>120400</v>
      </c>
    </row>
    <row r="20" spans="1:44" x14ac:dyDescent="0.25">
      <c r="A20" s="5"/>
      <c r="B20" s="7"/>
      <c r="C20" s="7"/>
      <c r="D20" s="7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AI20" s="23"/>
      <c r="AK20" s="26">
        <v>46003</v>
      </c>
      <c r="AL20" s="25">
        <v>98750</v>
      </c>
      <c r="AN20" s="26">
        <v>46003</v>
      </c>
      <c r="AO20" s="25">
        <v>79000</v>
      </c>
    </row>
    <row r="21" spans="1:44" x14ac:dyDescent="0.25">
      <c r="A21" s="5"/>
      <c r="B21" s="7"/>
      <c r="C21" s="7"/>
      <c r="D21" s="7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AI21" s="20"/>
      <c r="AK21" s="26">
        <v>46004</v>
      </c>
      <c r="AL21" s="25">
        <v>110125</v>
      </c>
      <c r="AN21" s="26">
        <v>46004</v>
      </c>
      <c r="AO21" s="25">
        <v>88100</v>
      </c>
    </row>
    <row r="22" spans="1:44" x14ac:dyDescent="0.25">
      <c r="A22" s="5"/>
      <c r="B22" s="7"/>
      <c r="C22" s="7"/>
      <c r="D22" s="7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AK22" s="26">
        <v>46005</v>
      </c>
      <c r="AL22" s="25">
        <v>95000</v>
      </c>
      <c r="AN22" s="26">
        <v>46005</v>
      </c>
      <c r="AO22" s="25">
        <v>76000</v>
      </c>
    </row>
    <row r="23" spans="1:44" x14ac:dyDescent="0.25">
      <c r="A23" s="5"/>
      <c r="B23" s="7"/>
      <c r="C23" s="7"/>
      <c r="D23" s="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AK23" s="26">
        <v>46006</v>
      </c>
      <c r="AL23" s="25">
        <v>164000</v>
      </c>
      <c r="AN23" s="26">
        <v>46006</v>
      </c>
      <c r="AO23" s="25">
        <v>131200</v>
      </c>
    </row>
    <row r="24" spans="1:44" ht="61.5" x14ac:dyDescent="0.9">
      <c r="A24" s="5"/>
      <c r="B24" s="33">
        <f>GETPIVOTDATA("Total",$AK$8)</f>
        <v>2671875</v>
      </c>
      <c r="C24" s="38" t="s">
        <v>58</v>
      </c>
      <c r="D24" s="10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AK24" s="26">
        <v>46007</v>
      </c>
      <c r="AL24" s="25">
        <v>241000</v>
      </c>
      <c r="AN24" s="26">
        <v>46007</v>
      </c>
      <c r="AO24" s="25">
        <v>192800</v>
      </c>
    </row>
    <row r="25" spans="1:44" x14ac:dyDescent="0.25">
      <c r="A25" s="5"/>
      <c r="B25" s="37"/>
      <c r="C25" s="37"/>
      <c r="D25" s="7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AK25" s="26">
        <v>46008</v>
      </c>
      <c r="AL25" s="25">
        <v>93750</v>
      </c>
      <c r="AN25" s="26">
        <v>46008</v>
      </c>
      <c r="AO25" s="25">
        <v>75000</v>
      </c>
    </row>
    <row r="26" spans="1:44" x14ac:dyDescent="0.25">
      <c r="A26" s="5"/>
      <c r="B26" s="37"/>
      <c r="C26" s="37"/>
      <c r="D26" s="7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AK26" s="26">
        <v>46009</v>
      </c>
      <c r="AL26" s="25">
        <v>100250</v>
      </c>
      <c r="AN26" s="26">
        <v>46009</v>
      </c>
      <c r="AO26" s="25">
        <v>80200</v>
      </c>
    </row>
    <row r="27" spans="1:44" x14ac:dyDescent="0.25">
      <c r="A27" s="5"/>
      <c r="B27" s="7"/>
      <c r="C27" s="7"/>
      <c r="D27" s="7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AK27" s="26">
        <v>46010</v>
      </c>
      <c r="AL27" s="25">
        <v>100375</v>
      </c>
      <c r="AN27" s="26">
        <v>46010</v>
      </c>
      <c r="AO27" s="25">
        <v>80300</v>
      </c>
    </row>
    <row r="28" spans="1:44" x14ac:dyDescent="0.25">
      <c r="A28" s="5"/>
      <c r="B28" s="7"/>
      <c r="C28" s="7"/>
      <c r="D28" s="7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AK28" s="26">
        <v>46011</v>
      </c>
      <c r="AL28" s="25">
        <v>99625</v>
      </c>
      <c r="AN28" s="26">
        <v>46011</v>
      </c>
      <c r="AO28" s="25">
        <v>79700</v>
      </c>
    </row>
    <row r="29" spans="1:44" ht="23.25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AK29" s="26">
        <v>46016</v>
      </c>
      <c r="AL29" s="25">
        <v>222875</v>
      </c>
      <c r="AN29" s="26">
        <v>46016</v>
      </c>
      <c r="AO29" s="25">
        <v>178300</v>
      </c>
    </row>
    <row r="30" spans="1:44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AK30" s="26" t="s">
        <v>16</v>
      </c>
      <c r="AL30" s="25">
        <v>2671875</v>
      </c>
      <c r="AN30" s="26" t="s">
        <v>16</v>
      </c>
      <c r="AO30" s="25">
        <v>2137500</v>
      </c>
    </row>
    <row r="31" spans="1:4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44" x14ac:dyDescent="0.25">
      <c r="A32" s="5"/>
      <c r="B32" s="7"/>
      <c r="C32" s="7"/>
      <c r="D32" s="7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41" x14ac:dyDescent="0.25">
      <c r="A33" s="5"/>
      <c r="B33" s="7"/>
      <c r="C33" s="7"/>
      <c r="D33" s="7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41" x14ac:dyDescent="0.25">
      <c r="A34" s="5"/>
      <c r="B34" s="7"/>
      <c r="C34" s="7"/>
      <c r="D34" s="7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41" s="11" customFormat="1" x14ac:dyDescent="0.25">
      <c r="A35" s="5"/>
      <c r="B35" s="7"/>
      <c r="C35" s="7"/>
      <c r="D35" s="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AF35"/>
      <c r="AG35"/>
      <c r="AH35"/>
      <c r="AK35"/>
      <c r="AL35"/>
      <c r="AN35"/>
      <c r="AO35"/>
    </row>
    <row r="36" spans="1:41" s="11" customFormat="1" x14ac:dyDescent="0.25">
      <c r="A36" s="5"/>
      <c r="B36" s="7"/>
      <c r="C36" s="7"/>
      <c r="D36" s="7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AF36"/>
      <c r="AG36"/>
      <c r="AH36"/>
      <c r="AK36"/>
      <c r="AL36"/>
      <c r="AN36"/>
      <c r="AO36"/>
    </row>
    <row r="37" spans="1:41" s="11" customFormat="1" x14ac:dyDescent="0.25">
      <c r="A37" s="5"/>
      <c r="B37" s="7"/>
      <c r="C37" s="7"/>
      <c r="D37" s="7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AF37"/>
      <c r="AG37"/>
      <c r="AH37"/>
      <c r="AK37"/>
      <c r="AL37"/>
      <c r="AN37"/>
      <c r="AO37"/>
    </row>
    <row r="38" spans="1:41" s="11" customFormat="1" x14ac:dyDescent="0.25">
      <c r="A38" s="5"/>
      <c r="B38" s="7"/>
      <c r="C38" s="7"/>
      <c r="D38" s="7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AF38"/>
      <c r="AG38"/>
      <c r="AH38"/>
      <c r="AK38"/>
      <c r="AL38"/>
      <c r="AN38"/>
      <c r="AO38"/>
    </row>
    <row r="39" spans="1:41" x14ac:dyDescent="0.25">
      <c r="A39" s="5"/>
      <c r="B39" s="7"/>
      <c r="C39" s="7"/>
      <c r="D39" s="7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spans="1:41" x14ac:dyDescent="0.25">
      <c r="A40" s="5"/>
      <c r="B40" s="7"/>
      <c r="C40" s="7"/>
      <c r="D40" s="7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spans="1:41" x14ac:dyDescent="0.25">
      <c r="A41" s="5"/>
      <c r="B41" s="7"/>
      <c r="C41" s="7"/>
      <c r="D41" s="7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41" x14ac:dyDescent="0.25">
      <c r="A42" s="5"/>
      <c r="B42" s="7"/>
      <c r="C42" s="7"/>
      <c r="D42" s="7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1:41" x14ac:dyDescent="0.25">
      <c r="A43" s="5"/>
      <c r="B43" s="7"/>
      <c r="C43" s="7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1:41" ht="61.5" x14ac:dyDescent="0.9">
      <c r="A44" s="5"/>
      <c r="B44" s="33">
        <f>GETPIVOTDATA("Dépenses liées au Stock vendu",$AN$8)</f>
        <v>2137500</v>
      </c>
      <c r="C44" s="38" t="s">
        <v>58</v>
      </c>
      <c r="D44" s="7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1:41" x14ac:dyDescent="0.25">
      <c r="A45" s="5"/>
      <c r="B45" s="7"/>
      <c r="C45" s="7"/>
      <c r="D45" s="7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1:41" s="11" customFormat="1" x14ac:dyDescent="0.25">
      <c r="A46" s="5"/>
      <c r="B46" s="7"/>
      <c r="C46" s="7"/>
      <c r="D46" s="7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AF46"/>
      <c r="AG46"/>
      <c r="AH46"/>
    </row>
    <row r="47" spans="1:41" s="11" customFormat="1" x14ac:dyDescent="0.25">
      <c r="A47" s="5"/>
      <c r="B47" s="7"/>
      <c r="C47" s="7"/>
      <c r="D47" s="7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AF47"/>
      <c r="AG47"/>
      <c r="AH47"/>
    </row>
    <row r="48" spans="1:41" s="11" customFormat="1" x14ac:dyDescent="0.25">
      <c r="A48" s="5"/>
      <c r="B48" s="7"/>
      <c r="C48" s="7"/>
      <c r="D48" s="7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AF48"/>
      <c r="AG48"/>
      <c r="AH48"/>
    </row>
    <row r="49" spans="1:24" ht="30" customHeight="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</sheetData>
  <mergeCells count="1">
    <mergeCell ref="C7:D9"/>
  </mergeCells>
  <pageMargins left="0.7" right="0.7" top="0.75" bottom="0.75" header="0.3" footer="0.3"/>
  <pageSetup paperSize="9" orientation="portrait" r:id="rId5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7030A0"/>
  </sheetPr>
  <dimension ref="A1:I279"/>
  <sheetViews>
    <sheetView zoomScaleNormal="100" workbookViewId="0">
      <pane ySplit="2" topLeftCell="A213" activePane="bottomLeft" state="frozen"/>
      <selection pane="bottomLeft" activeCell="D284" sqref="D284"/>
    </sheetView>
  </sheetViews>
  <sheetFormatPr baseColWidth="10" defaultRowHeight="15" x14ac:dyDescent="0.25"/>
  <cols>
    <col min="1" max="1" width="10" customWidth="1"/>
    <col min="2" max="2" width="20" customWidth="1"/>
    <col min="3" max="3" width="14.28515625" customWidth="1"/>
    <col min="4" max="4" width="29.140625" customWidth="1"/>
    <col min="5" max="5" width="14" customWidth="1"/>
    <col min="6" max="6" width="22.140625" customWidth="1"/>
    <col min="7" max="7" width="29.42578125" style="25" customWidth="1"/>
    <col min="8" max="8" width="32.7109375" style="25" customWidth="1"/>
    <col min="9" max="9" width="16.28515625" customWidth="1"/>
  </cols>
  <sheetData>
    <row r="1" spans="1:9" s="11" customFormat="1" ht="28.5" thickBot="1" x14ac:dyDescent="0.45">
      <c r="A1" s="66" t="s">
        <v>150</v>
      </c>
      <c r="B1" s="67"/>
      <c r="C1" s="67"/>
      <c r="D1" s="67"/>
      <c r="E1" s="67"/>
      <c r="F1" s="67"/>
      <c r="G1" s="68"/>
      <c r="H1" s="68"/>
      <c r="I1" s="69"/>
    </row>
    <row r="2" spans="1:9" x14ac:dyDescent="0.25">
      <c r="A2" s="31" t="s">
        <v>9</v>
      </c>
      <c r="B2" s="28" t="s">
        <v>1</v>
      </c>
      <c r="C2" s="2" t="s">
        <v>10</v>
      </c>
      <c r="D2" s="2" t="s">
        <v>62</v>
      </c>
      <c r="E2" s="2" t="s">
        <v>12</v>
      </c>
      <c r="F2" s="2" t="s">
        <v>11</v>
      </c>
      <c r="G2" s="36" t="s">
        <v>61</v>
      </c>
      <c r="H2" s="36" t="s">
        <v>151</v>
      </c>
      <c r="I2" s="13" t="s">
        <v>56</v>
      </c>
    </row>
    <row r="3" spans="1:9" ht="15" customHeight="1" x14ac:dyDescent="0.25">
      <c r="A3" s="4">
        <v>1000005</v>
      </c>
      <c r="B3" s="29" t="s">
        <v>32</v>
      </c>
      <c r="C3" s="30">
        <v>7</v>
      </c>
      <c r="D3" s="32">
        <v>1875</v>
      </c>
      <c r="E3" s="32">
        <v>13125</v>
      </c>
      <c r="F3" s="1">
        <v>45962.327465277776</v>
      </c>
      <c r="G3" s="25">
        <f>VLOOKUP(Base_données[Code],Stock_Magasin[],4,0)</f>
        <v>1500</v>
      </c>
      <c r="H3" s="25">
        <f>Base_données[[#This Row],[Quantité]]*Base_données[[#This Row],[Coût d''Achat Unitaire TTC]]</f>
        <v>10500</v>
      </c>
      <c r="I3" s="14">
        <f t="shared" ref="I3" si="0">INT(F3)</f>
        <v>45962</v>
      </c>
    </row>
    <row r="4" spans="1:9" ht="15" customHeight="1" x14ac:dyDescent="0.25">
      <c r="A4" s="4">
        <v>1000001</v>
      </c>
      <c r="B4" s="29" t="s">
        <v>47</v>
      </c>
      <c r="C4" s="30">
        <v>13</v>
      </c>
      <c r="D4" s="32">
        <v>1250</v>
      </c>
      <c r="E4" s="32">
        <v>16250</v>
      </c>
      <c r="F4" s="1">
        <v>45962.959861111114</v>
      </c>
      <c r="G4" s="25">
        <f>VLOOKUP(Base_données[Code],Stock_Magasin[],4,0)</f>
        <v>1000</v>
      </c>
      <c r="H4" s="25">
        <f>Base_données[[#This Row],[Quantité]]*Base_données[[#This Row],[Coût d''Achat Unitaire TTC]]</f>
        <v>13000</v>
      </c>
      <c r="I4" s="14">
        <f t="shared" ref="I4:I13" si="1">INT(F4)</f>
        <v>45962</v>
      </c>
    </row>
    <row r="5" spans="1:9" ht="15" customHeight="1" x14ac:dyDescent="0.25">
      <c r="A5" s="4">
        <v>1000012</v>
      </c>
      <c r="B5" s="29" t="s">
        <v>39</v>
      </c>
      <c r="C5" s="30">
        <v>24</v>
      </c>
      <c r="D5" s="32">
        <v>1500</v>
      </c>
      <c r="E5" s="32">
        <v>36000</v>
      </c>
      <c r="F5" s="1">
        <v>45962.959861111114</v>
      </c>
      <c r="G5" s="25">
        <f>VLOOKUP(Base_données[Code],Stock_Magasin[],4,0)</f>
        <v>1200</v>
      </c>
      <c r="H5" s="25">
        <f>Base_données[[#This Row],[Quantité]]*Base_données[[#This Row],[Coût d''Achat Unitaire TTC]]</f>
        <v>28800</v>
      </c>
      <c r="I5" s="14">
        <f t="shared" si="1"/>
        <v>45962</v>
      </c>
    </row>
    <row r="6" spans="1:9" ht="15" customHeight="1" x14ac:dyDescent="0.25">
      <c r="A6" s="4">
        <v>1000007</v>
      </c>
      <c r="B6" s="29" t="s">
        <v>34</v>
      </c>
      <c r="C6" s="30">
        <v>2</v>
      </c>
      <c r="D6" s="32">
        <v>5000</v>
      </c>
      <c r="E6" s="32">
        <v>10000</v>
      </c>
      <c r="F6" s="1">
        <v>45962.960590277777</v>
      </c>
      <c r="G6" s="25">
        <f>VLOOKUP(Base_données[Code],Stock_Magasin[],4,0)</f>
        <v>4000</v>
      </c>
      <c r="H6" s="25">
        <f>Base_données[[#This Row],[Quantité]]*Base_données[[#This Row],[Coût d''Achat Unitaire TTC]]</f>
        <v>8000</v>
      </c>
      <c r="I6" s="14">
        <f t="shared" si="1"/>
        <v>45962</v>
      </c>
    </row>
    <row r="7" spans="1:9" ht="15" customHeight="1" x14ac:dyDescent="0.25">
      <c r="A7" s="4">
        <v>1000018</v>
      </c>
      <c r="B7" s="29" t="s">
        <v>54</v>
      </c>
      <c r="C7" s="30">
        <v>10</v>
      </c>
      <c r="D7" s="32">
        <v>250</v>
      </c>
      <c r="E7" s="32">
        <v>2500</v>
      </c>
      <c r="F7" s="1">
        <v>45963.337534722225</v>
      </c>
      <c r="G7" s="25">
        <f>VLOOKUP(Base_données[Code],Stock_Magasin[],4,0)</f>
        <v>200</v>
      </c>
      <c r="H7" s="25">
        <f>Base_données[[#This Row],[Quantité]]*Base_données[[#This Row],[Coût d''Achat Unitaire TTC]]</f>
        <v>2000</v>
      </c>
      <c r="I7" s="14">
        <f t="shared" si="1"/>
        <v>45963</v>
      </c>
    </row>
    <row r="8" spans="1:9" ht="15" customHeight="1" x14ac:dyDescent="0.25">
      <c r="A8" s="4">
        <v>1000008</v>
      </c>
      <c r="B8" s="29" t="s">
        <v>35</v>
      </c>
      <c r="C8" s="30">
        <v>3</v>
      </c>
      <c r="D8" s="32">
        <v>1250</v>
      </c>
      <c r="E8" s="32">
        <v>3750</v>
      </c>
      <c r="F8" s="1">
        <v>45963.337534722225</v>
      </c>
      <c r="G8" s="25">
        <f>VLOOKUP(Base_données[Code],Stock_Magasin[],4,0)</f>
        <v>1000</v>
      </c>
      <c r="H8" s="25">
        <f>Base_données[[#This Row],[Quantité]]*Base_données[[#This Row],[Coût d''Achat Unitaire TTC]]</f>
        <v>3000</v>
      </c>
      <c r="I8" s="14">
        <f t="shared" si="1"/>
        <v>45963</v>
      </c>
    </row>
    <row r="9" spans="1:9" ht="15" customHeight="1" x14ac:dyDescent="0.25">
      <c r="A9" s="4">
        <v>1000013</v>
      </c>
      <c r="B9" s="29" t="s">
        <v>45</v>
      </c>
      <c r="C9" s="30">
        <v>5</v>
      </c>
      <c r="D9" s="32">
        <v>3125</v>
      </c>
      <c r="E9" s="32">
        <v>15625</v>
      </c>
      <c r="F9" s="1">
        <v>45963.338773148149</v>
      </c>
      <c r="G9" s="25">
        <f>VLOOKUP(Base_données[Code],Stock_Magasin[],4,0)</f>
        <v>2500</v>
      </c>
      <c r="H9" s="25">
        <f>Base_données[[#This Row],[Quantité]]*Base_données[[#This Row],[Coût d''Achat Unitaire TTC]]</f>
        <v>12500</v>
      </c>
      <c r="I9" s="14">
        <f t="shared" si="1"/>
        <v>45963</v>
      </c>
    </row>
    <row r="10" spans="1:9" ht="15" customHeight="1" x14ac:dyDescent="0.25">
      <c r="A10" s="4">
        <v>1000009</v>
      </c>
      <c r="B10" s="29" t="s">
        <v>36</v>
      </c>
      <c r="C10" s="30">
        <v>2</v>
      </c>
      <c r="D10" s="32">
        <v>2250</v>
      </c>
      <c r="E10" s="32">
        <v>4500</v>
      </c>
      <c r="F10" s="1">
        <v>45963.338773148149</v>
      </c>
      <c r="G10" s="25">
        <f>VLOOKUP(Base_données[Code],Stock_Magasin[],4,0)</f>
        <v>1800</v>
      </c>
      <c r="H10" s="25">
        <f>Base_données[[#This Row],[Quantité]]*Base_données[[#This Row],[Coût d''Achat Unitaire TTC]]</f>
        <v>3600</v>
      </c>
      <c r="I10" s="14">
        <f t="shared" si="1"/>
        <v>45963</v>
      </c>
    </row>
    <row r="11" spans="1:9" ht="15" customHeight="1" x14ac:dyDescent="0.25">
      <c r="A11" s="4">
        <v>1000012</v>
      </c>
      <c r="B11" s="29" t="s">
        <v>39</v>
      </c>
      <c r="C11" s="30">
        <v>17</v>
      </c>
      <c r="D11" s="32">
        <v>1500</v>
      </c>
      <c r="E11" s="32">
        <v>25500</v>
      </c>
      <c r="F11" s="1">
        <v>45963.338773148149</v>
      </c>
      <c r="G11" s="25">
        <f>VLOOKUP(Base_données[Code],Stock_Magasin[],4,0)</f>
        <v>1200</v>
      </c>
      <c r="H11" s="25">
        <f>Base_données[[#This Row],[Quantité]]*Base_données[[#This Row],[Coût d''Achat Unitaire TTC]]</f>
        <v>20400</v>
      </c>
      <c r="I11" s="14">
        <f t="shared" si="1"/>
        <v>45963</v>
      </c>
    </row>
    <row r="12" spans="1:9" ht="15" customHeight="1" x14ac:dyDescent="0.25">
      <c r="A12" s="4">
        <v>1000034</v>
      </c>
      <c r="B12" s="29" t="s">
        <v>120</v>
      </c>
      <c r="C12" s="30">
        <v>1</v>
      </c>
      <c r="D12" s="32">
        <v>31250</v>
      </c>
      <c r="E12" s="32">
        <v>31250</v>
      </c>
      <c r="F12" s="1">
        <v>45963.341215277775</v>
      </c>
      <c r="G12" s="25">
        <f>VLOOKUP(Base_données[Code],Stock_Magasin[],4,0)</f>
        <v>25000</v>
      </c>
      <c r="H12" s="25">
        <f>Base_données[[#This Row],[Quantité]]*Base_données[[#This Row],[Coût d''Achat Unitaire TTC]]</f>
        <v>25000</v>
      </c>
      <c r="I12" s="14">
        <f t="shared" si="1"/>
        <v>45963</v>
      </c>
    </row>
    <row r="13" spans="1:9" ht="15" customHeight="1" x14ac:dyDescent="0.25">
      <c r="A13" s="4">
        <v>1000034</v>
      </c>
      <c r="B13" s="29" t="s">
        <v>120</v>
      </c>
      <c r="C13" s="30">
        <v>1</v>
      </c>
      <c r="D13" s="32">
        <v>31250</v>
      </c>
      <c r="E13" s="32">
        <v>31250</v>
      </c>
      <c r="F13" s="1">
        <v>45963.342245370368</v>
      </c>
      <c r="G13" s="25">
        <f>VLOOKUP(Base_données[Code],Stock_Magasin[],4,0)</f>
        <v>25000</v>
      </c>
      <c r="H13" s="25">
        <f>Base_données[[#This Row],[Quantité]]*Base_données[[#This Row],[Coût d''Achat Unitaire TTC]]</f>
        <v>25000</v>
      </c>
      <c r="I13" s="14">
        <f t="shared" si="1"/>
        <v>45963</v>
      </c>
    </row>
    <row r="14" spans="1:9" ht="15" customHeight="1" x14ac:dyDescent="0.25">
      <c r="A14" s="4">
        <v>1000001</v>
      </c>
      <c r="B14" s="29" t="s">
        <v>47</v>
      </c>
      <c r="C14" s="30">
        <v>9</v>
      </c>
      <c r="D14" s="32">
        <v>1250</v>
      </c>
      <c r="E14" s="32">
        <v>11250</v>
      </c>
      <c r="F14" s="1">
        <v>45964.477280092593</v>
      </c>
      <c r="G14" s="25">
        <f>VLOOKUP(Base_données[Code],Stock_Magasin[],4,0)</f>
        <v>1000</v>
      </c>
      <c r="H14" s="25">
        <f>Base_données[[#This Row],[Quantité]]*Base_données[[#This Row],[Coût d''Achat Unitaire TTC]]</f>
        <v>9000</v>
      </c>
      <c r="I14" s="14">
        <f t="shared" ref="I14:I49" si="2">INT(F14)</f>
        <v>45964</v>
      </c>
    </row>
    <row r="15" spans="1:9" ht="15" customHeight="1" x14ac:dyDescent="0.25">
      <c r="A15" s="4">
        <v>1000012</v>
      </c>
      <c r="B15" s="29" t="s">
        <v>39</v>
      </c>
      <c r="C15" s="30">
        <v>17</v>
      </c>
      <c r="D15" s="32">
        <v>1500</v>
      </c>
      <c r="E15" s="32">
        <v>25500</v>
      </c>
      <c r="F15" s="1">
        <v>45964.477280092593</v>
      </c>
      <c r="G15" s="25">
        <f>VLOOKUP(Base_données[Code],Stock_Magasin[],4,0)</f>
        <v>1200</v>
      </c>
      <c r="H15" s="25">
        <f>Base_données[[#This Row],[Quantité]]*Base_données[[#This Row],[Coût d''Achat Unitaire TTC]]</f>
        <v>20400</v>
      </c>
      <c r="I15" s="14">
        <f t="shared" si="2"/>
        <v>45964</v>
      </c>
    </row>
    <row r="16" spans="1:9" ht="15" customHeight="1" x14ac:dyDescent="0.25">
      <c r="A16" s="4">
        <v>1000002</v>
      </c>
      <c r="B16" s="29" t="s">
        <v>29</v>
      </c>
      <c r="C16" s="30">
        <v>2</v>
      </c>
      <c r="D16" s="32">
        <v>1250</v>
      </c>
      <c r="E16" s="32">
        <v>2500</v>
      </c>
      <c r="F16" s="1">
        <v>45964.478159722225</v>
      </c>
      <c r="G16" s="25">
        <f>VLOOKUP(Base_données[Code],Stock_Magasin[],4,0)</f>
        <v>1000</v>
      </c>
      <c r="H16" s="25">
        <f>Base_données[[#This Row],[Quantité]]*Base_données[[#This Row],[Coût d''Achat Unitaire TTC]]</f>
        <v>2000</v>
      </c>
      <c r="I16" s="14">
        <f t="shared" si="2"/>
        <v>45964</v>
      </c>
    </row>
    <row r="17" spans="1:9" ht="15" customHeight="1" x14ac:dyDescent="0.25">
      <c r="A17" s="4">
        <v>1000026</v>
      </c>
      <c r="B17" s="29" t="s">
        <v>121</v>
      </c>
      <c r="C17" s="30">
        <v>1</v>
      </c>
      <c r="D17" s="32">
        <v>31250</v>
      </c>
      <c r="E17" s="32">
        <v>31250</v>
      </c>
      <c r="F17" s="1">
        <v>45964.480069444442</v>
      </c>
      <c r="G17" s="25">
        <f>VLOOKUP(Base_données[Code],Stock_Magasin[],4,0)</f>
        <v>1000</v>
      </c>
      <c r="H17" s="25">
        <f>Base_données[[#This Row],[Quantité]]*Base_données[[#This Row],[Coût d''Achat Unitaire TTC]]</f>
        <v>1000</v>
      </c>
      <c r="I17" s="14">
        <f t="shared" si="2"/>
        <v>45964</v>
      </c>
    </row>
    <row r="18" spans="1:9" ht="15" customHeight="1" x14ac:dyDescent="0.25">
      <c r="A18" s="4">
        <v>1000026</v>
      </c>
      <c r="B18" s="29" t="s">
        <v>117</v>
      </c>
      <c r="C18" s="30">
        <v>4</v>
      </c>
      <c r="D18" s="32">
        <v>2125</v>
      </c>
      <c r="E18" s="32">
        <v>8500</v>
      </c>
      <c r="F18" s="1">
        <v>45964.480775462966</v>
      </c>
      <c r="G18" s="25">
        <f>VLOOKUP(Base_données[Code],Stock_Magasin[],4,0)</f>
        <v>1000</v>
      </c>
      <c r="H18" s="25">
        <f>Base_données[[#This Row],[Quantité]]*Base_données[[#This Row],[Coût d''Achat Unitaire TTC]]</f>
        <v>4000</v>
      </c>
      <c r="I18" s="14">
        <f t="shared" si="2"/>
        <v>45964</v>
      </c>
    </row>
    <row r="19" spans="1:9" x14ac:dyDescent="0.25">
      <c r="A19" s="4">
        <v>1000003</v>
      </c>
      <c r="B19" s="29" t="s">
        <v>30</v>
      </c>
      <c r="C19" s="30">
        <v>13</v>
      </c>
      <c r="D19" s="32">
        <v>500</v>
      </c>
      <c r="E19" s="32">
        <v>6500</v>
      </c>
      <c r="F19" s="1">
        <v>45964.481064814812</v>
      </c>
      <c r="G19" s="25">
        <f>VLOOKUP(Base_données[Code],Stock_Magasin[],4,0)</f>
        <v>400</v>
      </c>
      <c r="H19" s="25">
        <f>Base_données[[#This Row],[Quantité]]*Base_données[[#This Row],[Coût d''Achat Unitaire TTC]]</f>
        <v>5200</v>
      </c>
      <c r="I19" s="14">
        <f t="shared" si="2"/>
        <v>45964</v>
      </c>
    </row>
    <row r="20" spans="1:9" ht="15" customHeight="1" x14ac:dyDescent="0.25">
      <c r="A20" s="4">
        <v>1000014</v>
      </c>
      <c r="B20" s="29" t="s">
        <v>44</v>
      </c>
      <c r="C20" s="30">
        <v>2</v>
      </c>
      <c r="D20" s="32">
        <v>43750</v>
      </c>
      <c r="E20" s="32">
        <v>87500</v>
      </c>
      <c r="F20" s="1">
        <v>45965.867222222223</v>
      </c>
      <c r="G20" s="25">
        <f>VLOOKUP(Base_données[Code],Stock_Magasin[],4,0)</f>
        <v>35000</v>
      </c>
      <c r="H20" s="25">
        <f>Base_données[[#This Row],[Quantité]]*Base_données[[#This Row],[Coût d''Achat Unitaire TTC]]</f>
        <v>70000</v>
      </c>
      <c r="I20" s="14">
        <f t="shared" si="2"/>
        <v>45965</v>
      </c>
    </row>
    <row r="21" spans="1:9" x14ac:dyDescent="0.25">
      <c r="A21" s="4">
        <v>1000003</v>
      </c>
      <c r="B21" s="29" t="s">
        <v>30</v>
      </c>
      <c r="C21" s="30">
        <v>3</v>
      </c>
      <c r="D21" s="32">
        <v>500</v>
      </c>
      <c r="E21" s="32">
        <v>1500</v>
      </c>
      <c r="F21" s="1">
        <v>45965.869131944448</v>
      </c>
      <c r="G21" s="25">
        <f>VLOOKUP(Base_données[Code],Stock_Magasin[],4,0)</f>
        <v>400</v>
      </c>
      <c r="H21" s="25">
        <f>Base_données[[#This Row],[Quantité]]*Base_données[[#This Row],[Coût d''Achat Unitaire TTC]]</f>
        <v>1200</v>
      </c>
      <c r="I21" s="14">
        <f t="shared" si="2"/>
        <v>45965</v>
      </c>
    </row>
    <row r="22" spans="1:9" ht="15" customHeight="1" x14ac:dyDescent="0.25">
      <c r="A22" s="4">
        <v>1000002</v>
      </c>
      <c r="B22" s="29" t="s">
        <v>29</v>
      </c>
      <c r="C22" s="30">
        <v>1</v>
      </c>
      <c r="D22" s="32">
        <v>1250</v>
      </c>
      <c r="E22" s="32">
        <v>1250</v>
      </c>
      <c r="F22" s="1">
        <v>45965.869386574072</v>
      </c>
      <c r="G22" s="25">
        <f>VLOOKUP(Base_données[Code],Stock_Magasin[],4,0)</f>
        <v>1000</v>
      </c>
      <c r="H22" s="25">
        <f>Base_données[[#This Row],[Quantité]]*Base_données[[#This Row],[Coût d''Achat Unitaire TTC]]</f>
        <v>1000</v>
      </c>
      <c r="I22" s="14">
        <f t="shared" si="2"/>
        <v>45965</v>
      </c>
    </row>
    <row r="23" spans="1:9" x14ac:dyDescent="0.25">
      <c r="A23" s="4">
        <v>1000003</v>
      </c>
      <c r="B23" s="29" t="s">
        <v>30</v>
      </c>
      <c r="C23" s="30">
        <v>28</v>
      </c>
      <c r="D23" s="32">
        <v>500</v>
      </c>
      <c r="E23" s="32">
        <v>14000</v>
      </c>
      <c r="F23" s="1">
        <v>45966.002303240741</v>
      </c>
      <c r="G23" s="25">
        <f>VLOOKUP(Base_données[Code],Stock_Magasin[],4,0)</f>
        <v>400</v>
      </c>
      <c r="H23" s="25">
        <f>Base_données[[#This Row],[Quantité]]*Base_données[[#This Row],[Coût d''Achat Unitaire TTC]]</f>
        <v>11200</v>
      </c>
      <c r="I23" s="14">
        <f t="shared" si="2"/>
        <v>45966</v>
      </c>
    </row>
    <row r="24" spans="1:9" ht="15" customHeight="1" x14ac:dyDescent="0.25">
      <c r="A24" s="4">
        <v>1000006</v>
      </c>
      <c r="B24" s="29" t="s">
        <v>33</v>
      </c>
      <c r="C24" s="30">
        <v>31</v>
      </c>
      <c r="D24" s="32">
        <v>1500</v>
      </c>
      <c r="E24" s="32">
        <v>46500</v>
      </c>
      <c r="F24" s="1">
        <v>45966.002546296295</v>
      </c>
      <c r="G24" s="25">
        <f>VLOOKUP(Base_données[Code],Stock_Magasin[],4,0)</f>
        <v>1200</v>
      </c>
      <c r="H24" s="25">
        <f>Base_données[[#This Row],[Quantité]]*Base_données[[#This Row],[Coût d''Achat Unitaire TTC]]</f>
        <v>37200</v>
      </c>
      <c r="I24" s="14">
        <f t="shared" si="2"/>
        <v>45966</v>
      </c>
    </row>
    <row r="25" spans="1:9" ht="15" customHeight="1" x14ac:dyDescent="0.25">
      <c r="A25" s="4">
        <v>1000035</v>
      </c>
      <c r="B25" s="29" t="s">
        <v>121</v>
      </c>
      <c r="C25" s="30">
        <v>1</v>
      </c>
      <c r="D25" s="32">
        <v>31250</v>
      </c>
      <c r="E25" s="32">
        <v>31250</v>
      </c>
      <c r="F25" s="1">
        <v>45967.302048611113</v>
      </c>
      <c r="G25" s="25">
        <f>VLOOKUP(Base_données[Code],Stock_Magasin[],4,0)</f>
        <v>25000</v>
      </c>
      <c r="H25" s="25">
        <f>Base_données[[#This Row],[Quantité]]*Base_données[[#This Row],[Coût d''Achat Unitaire TTC]]</f>
        <v>25000</v>
      </c>
      <c r="I25" s="14">
        <f t="shared" si="2"/>
        <v>45967</v>
      </c>
    </row>
    <row r="26" spans="1:9" ht="15" customHeight="1" x14ac:dyDescent="0.25">
      <c r="A26" s="4">
        <v>1000011</v>
      </c>
      <c r="B26" s="29" t="s">
        <v>38</v>
      </c>
      <c r="C26" s="30">
        <v>5</v>
      </c>
      <c r="D26" s="32">
        <v>1875</v>
      </c>
      <c r="E26" s="32">
        <v>9375</v>
      </c>
      <c r="F26" s="1">
        <v>45967.302418981482</v>
      </c>
      <c r="G26" s="25">
        <f>VLOOKUP(Base_données[Code],Stock_Magasin[],4,0)</f>
        <v>1500</v>
      </c>
      <c r="H26" s="25">
        <f>Base_données[[#This Row],[Quantité]]*Base_données[[#This Row],[Coût d''Achat Unitaire TTC]]</f>
        <v>7500</v>
      </c>
      <c r="I26" s="14">
        <f t="shared" si="2"/>
        <v>45967</v>
      </c>
    </row>
    <row r="27" spans="1:9" ht="15" customHeight="1" x14ac:dyDescent="0.25">
      <c r="A27" s="4">
        <v>1000015</v>
      </c>
      <c r="B27" s="29" t="s">
        <v>40</v>
      </c>
      <c r="C27" s="30">
        <v>9</v>
      </c>
      <c r="D27" s="32">
        <v>2500</v>
      </c>
      <c r="E27" s="32">
        <v>22500</v>
      </c>
      <c r="F27" s="1">
        <v>45967.303078703706</v>
      </c>
      <c r="G27" s="25">
        <f>VLOOKUP(Base_données[Code],Stock_Magasin[],4,0)</f>
        <v>2000</v>
      </c>
      <c r="H27" s="25">
        <f>Base_données[[#This Row],[Quantité]]*Base_données[[#This Row],[Coût d''Achat Unitaire TTC]]</f>
        <v>18000</v>
      </c>
      <c r="I27" s="14">
        <f t="shared" si="2"/>
        <v>45967</v>
      </c>
    </row>
    <row r="28" spans="1:9" ht="15" customHeight="1" x14ac:dyDescent="0.25">
      <c r="A28" s="4">
        <v>1000007</v>
      </c>
      <c r="B28" s="29" t="s">
        <v>34</v>
      </c>
      <c r="C28" s="30">
        <v>6</v>
      </c>
      <c r="D28" s="32">
        <v>5000</v>
      </c>
      <c r="E28" s="32">
        <v>30000</v>
      </c>
      <c r="F28" s="1">
        <v>45967.303425925929</v>
      </c>
      <c r="G28" s="25">
        <f>VLOOKUP(Base_données[Code],Stock_Magasin[],4,0)</f>
        <v>4000</v>
      </c>
      <c r="H28" s="25">
        <f>Base_données[[#This Row],[Quantité]]*Base_données[[#This Row],[Coût d''Achat Unitaire TTC]]</f>
        <v>24000</v>
      </c>
      <c r="I28" s="14">
        <f t="shared" si="2"/>
        <v>45967</v>
      </c>
    </row>
    <row r="29" spans="1:9" ht="15" customHeight="1" x14ac:dyDescent="0.25">
      <c r="A29" s="4">
        <v>1000020</v>
      </c>
      <c r="B29" s="29" t="s">
        <v>78</v>
      </c>
      <c r="C29" s="30">
        <v>10</v>
      </c>
      <c r="D29" s="32">
        <v>250</v>
      </c>
      <c r="E29" s="32">
        <v>2500</v>
      </c>
      <c r="F29" s="1">
        <v>45968.682349537034</v>
      </c>
      <c r="G29" s="25">
        <f>VLOOKUP(Base_données[Code],Stock_Magasin[],4,0)</f>
        <v>200</v>
      </c>
      <c r="H29" s="25">
        <f>Base_données[[#This Row],[Quantité]]*Base_données[[#This Row],[Coût d''Achat Unitaire TTC]]</f>
        <v>2000</v>
      </c>
      <c r="I29" s="14">
        <f t="shared" si="2"/>
        <v>45968</v>
      </c>
    </row>
    <row r="30" spans="1:9" ht="15" customHeight="1" x14ac:dyDescent="0.25">
      <c r="A30" s="4">
        <v>1000034</v>
      </c>
      <c r="B30" s="29" t="s">
        <v>120</v>
      </c>
      <c r="C30" s="30">
        <v>2</v>
      </c>
      <c r="D30" s="32">
        <v>31250</v>
      </c>
      <c r="E30" s="32">
        <v>62500</v>
      </c>
      <c r="F30" s="1">
        <v>45968.682789351849</v>
      </c>
      <c r="G30" s="25">
        <f>VLOOKUP(Base_données[Code],Stock_Magasin[],4,0)</f>
        <v>25000</v>
      </c>
      <c r="H30" s="25">
        <f>Base_données[[#This Row],[Quantité]]*Base_données[[#This Row],[Coût d''Achat Unitaire TTC]]</f>
        <v>50000</v>
      </c>
      <c r="I30" s="14">
        <f t="shared" si="2"/>
        <v>45968</v>
      </c>
    </row>
    <row r="31" spans="1:9" ht="15" customHeight="1" x14ac:dyDescent="0.25">
      <c r="A31" s="4">
        <v>1000022</v>
      </c>
      <c r="B31" s="29" t="s">
        <v>80</v>
      </c>
      <c r="C31" s="30">
        <v>23</v>
      </c>
      <c r="D31" s="32">
        <v>750</v>
      </c>
      <c r="E31" s="32">
        <v>17250</v>
      </c>
      <c r="F31" s="1">
        <v>45968.683148148149</v>
      </c>
      <c r="G31" s="25">
        <f>VLOOKUP(Base_données[Code],Stock_Magasin[],4,0)</f>
        <v>600</v>
      </c>
      <c r="H31" s="25">
        <f>Base_données[[#This Row],[Quantité]]*Base_données[[#This Row],[Coût d''Achat Unitaire TTC]]</f>
        <v>13800</v>
      </c>
      <c r="I31" s="14">
        <f t="shared" si="2"/>
        <v>45968</v>
      </c>
    </row>
    <row r="32" spans="1:9" ht="15" customHeight="1" x14ac:dyDescent="0.25">
      <c r="A32" s="4">
        <v>1000038</v>
      </c>
      <c r="B32" s="29" t="s">
        <v>124</v>
      </c>
      <c r="C32" s="30">
        <v>11</v>
      </c>
      <c r="D32" s="32">
        <v>1250</v>
      </c>
      <c r="E32" s="32">
        <v>13750</v>
      </c>
      <c r="F32" s="1">
        <v>45968.684467592589</v>
      </c>
      <c r="G32" s="25">
        <f>VLOOKUP(Base_données[Code],Stock_Magasin[],4,0)</f>
        <v>1000</v>
      </c>
      <c r="H32" s="25">
        <f>Base_données[[#This Row],[Quantité]]*Base_données[[#This Row],[Coût d''Achat Unitaire TTC]]</f>
        <v>11000</v>
      </c>
      <c r="I32" s="14">
        <f t="shared" si="2"/>
        <v>45968</v>
      </c>
    </row>
    <row r="33" spans="1:9" ht="15" customHeight="1" x14ac:dyDescent="0.25">
      <c r="A33" s="4">
        <v>1000051</v>
      </c>
      <c r="B33" s="29" t="s">
        <v>136</v>
      </c>
      <c r="C33" s="30">
        <v>13</v>
      </c>
      <c r="D33" s="32">
        <v>1500</v>
      </c>
      <c r="E33" s="32">
        <v>19500</v>
      </c>
      <c r="F33" s="1">
        <v>45968.684988425928</v>
      </c>
      <c r="G33" s="25">
        <f>VLOOKUP(Base_données[Code],Stock_Magasin[],4,0)</f>
        <v>1200</v>
      </c>
      <c r="H33" s="25">
        <f>Base_données[[#This Row],[Quantité]]*Base_données[[#This Row],[Coût d''Achat Unitaire TTC]]</f>
        <v>15600</v>
      </c>
      <c r="I33" s="14">
        <f t="shared" si="2"/>
        <v>45968</v>
      </c>
    </row>
    <row r="34" spans="1:9" ht="15" customHeight="1" x14ac:dyDescent="0.25">
      <c r="A34" s="4">
        <v>1000002</v>
      </c>
      <c r="B34" s="29" t="s">
        <v>29</v>
      </c>
      <c r="C34" s="30">
        <v>7</v>
      </c>
      <c r="D34" s="32">
        <v>1250</v>
      </c>
      <c r="E34" s="32">
        <v>8750</v>
      </c>
      <c r="F34" s="1">
        <v>45968.68545138889</v>
      </c>
      <c r="G34" s="25">
        <f>VLOOKUP(Base_données[Code],Stock_Magasin[],4,0)</f>
        <v>1000</v>
      </c>
      <c r="H34" s="25">
        <f>Base_données[[#This Row],[Quantité]]*Base_données[[#This Row],[Coût d''Achat Unitaire TTC]]</f>
        <v>7000</v>
      </c>
      <c r="I34" s="14">
        <f t="shared" si="2"/>
        <v>45968</v>
      </c>
    </row>
    <row r="35" spans="1:9" ht="15" customHeight="1" x14ac:dyDescent="0.25">
      <c r="A35" s="4">
        <v>1000023</v>
      </c>
      <c r="B35" s="29" t="s">
        <v>81</v>
      </c>
      <c r="C35" s="30">
        <v>27</v>
      </c>
      <c r="D35" s="32">
        <v>1500</v>
      </c>
      <c r="E35" s="32">
        <v>40500</v>
      </c>
      <c r="F35" s="1">
        <v>45969.610555555555</v>
      </c>
      <c r="G35" s="25">
        <f>VLOOKUP(Base_données[Code],Stock_Magasin[],4,0)</f>
        <v>1200</v>
      </c>
      <c r="H35" s="25">
        <f>Base_données[[#This Row],[Quantité]]*Base_données[[#This Row],[Coût d''Achat Unitaire TTC]]</f>
        <v>32400</v>
      </c>
      <c r="I35" s="14">
        <f t="shared" si="2"/>
        <v>45969</v>
      </c>
    </row>
    <row r="36" spans="1:9" ht="15" customHeight="1" x14ac:dyDescent="0.25">
      <c r="A36" s="4">
        <v>1000028</v>
      </c>
      <c r="B36" s="29" t="s">
        <v>114</v>
      </c>
      <c r="C36" s="30">
        <v>17</v>
      </c>
      <c r="D36" s="32">
        <v>500</v>
      </c>
      <c r="E36" s="32">
        <v>8500</v>
      </c>
      <c r="F36" s="1">
        <v>45969.610555555555</v>
      </c>
      <c r="G36" s="25">
        <f>VLOOKUP(Base_données[Code],Stock_Magasin[],4,0)</f>
        <v>400</v>
      </c>
      <c r="H36" s="25">
        <f>Base_données[[#This Row],[Quantité]]*Base_données[[#This Row],[Coût d''Achat Unitaire TTC]]</f>
        <v>6800</v>
      </c>
      <c r="I36" s="14">
        <f t="shared" si="2"/>
        <v>45969</v>
      </c>
    </row>
    <row r="37" spans="1:9" ht="15" customHeight="1" x14ac:dyDescent="0.25">
      <c r="A37" s="4">
        <v>1000005</v>
      </c>
      <c r="B37" s="29" t="s">
        <v>32</v>
      </c>
      <c r="C37" s="30">
        <v>9</v>
      </c>
      <c r="D37" s="32">
        <v>1875</v>
      </c>
      <c r="E37" s="32">
        <v>16875</v>
      </c>
      <c r="F37" s="1">
        <v>45969.610555555555</v>
      </c>
      <c r="G37" s="25">
        <f>VLOOKUP(Base_données[Code],Stock_Magasin[],4,0)</f>
        <v>1500</v>
      </c>
      <c r="H37" s="25">
        <f>Base_données[[#This Row],[Quantité]]*Base_données[[#This Row],[Coût d''Achat Unitaire TTC]]</f>
        <v>13500</v>
      </c>
      <c r="I37" s="14">
        <f t="shared" si="2"/>
        <v>45969</v>
      </c>
    </row>
    <row r="38" spans="1:9" ht="15" customHeight="1" x14ac:dyDescent="0.25">
      <c r="A38" s="4">
        <v>1000024</v>
      </c>
      <c r="B38" s="29" t="s">
        <v>83</v>
      </c>
      <c r="C38" s="30">
        <v>13</v>
      </c>
      <c r="D38" s="32">
        <v>500</v>
      </c>
      <c r="E38" s="32">
        <v>6500</v>
      </c>
      <c r="F38" s="1">
        <v>45970.915613425925</v>
      </c>
      <c r="G38" s="25">
        <f>VLOOKUP(Base_données[Code],Stock_Magasin[],4,0)</f>
        <v>600</v>
      </c>
      <c r="H38" s="25">
        <f>Base_données[[#This Row],[Quantité]]*Base_données[[#This Row],[Coût d''Achat Unitaire TTC]]</f>
        <v>7800</v>
      </c>
      <c r="I38" s="14">
        <f t="shared" si="2"/>
        <v>45970</v>
      </c>
    </row>
    <row r="39" spans="1:9" ht="15" customHeight="1" x14ac:dyDescent="0.25">
      <c r="A39" s="4">
        <v>1000040</v>
      </c>
      <c r="B39" s="29" t="s">
        <v>138</v>
      </c>
      <c r="C39" s="30">
        <v>17</v>
      </c>
      <c r="D39" s="32">
        <v>1250</v>
      </c>
      <c r="E39" s="32">
        <v>21250</v>
      </c>
      <c r="F39" s="1">
        <v>45970.915613425925</v>
      </c>
      <c r="G39" s="25">
        <f>VLOOKUP(Base_données[Code],Stock_Magasin[],4,0)</f>
        <v>1000</v>
      </c>
      <c r="H39" s="25">
        <f>Base_données[[#This Row],[Quantité]]*Base_données[[#This Row],[Coût d''Achat Unitaire TTC]]</f>
        <v>17000</v>
      </c>
      <c r="I39" s="14">
        <f t="shared" si="2"/>
        <v>45970</v>
      </c>
    </row>
    <row r="40" spans="1:9" ht="15" customHeight="1" x14ac:dyDescent="0.25">
      <c r="A40" s="4">
        <v>1000047</v>
      </c>
      <c r="B40" s="29" t="s">
        <v>132</v>
      </c>
      <c r="C40" s="30">
        <v>23</v>
      </c>
      <c r="D40" s="32">
        <v>500</v>
      </c>
      <c r="E40" s="32">
        <v>11500</v>
      </c>
      <c r="F40" s="1">
        <v>45970.915613425925</v>
      </c>
      <c r="G40" s="25">
        <f>VLOOKUP(Base_données[Code],Stock_Magasin[],4,0)</f>
        <v>400</v>
      </c>
      <c r="H40" s="25">
        <f>Base_données[[#This Row],[Quantité]]*Base_données[[#This Row],[Coût d''Achat Unitaire TTC]]</f>
        <v>9200</v>
      </c>
      <c r="I40" s="14">
        <f t="shared" si="2"/>
        <v>45970</v>
      </c>
    </row>
    <row r="41" spans="1:9" ht="15" customHeight="1" x14ac:dyDescent="0.25">
      <c r="A41" s="4">
        <v>1000009</v>
      </c>
      <c r="B41" s="29" t="s">
        <v>36</v>
      </c>
      <c r="C41" s="30">
        <v>4</v>
      </c>
      <c r="D41" s="32">
        <v>2250</v>
      </c>
      <c r="E41" s="32">
        <v>9000</v>
      </c>
      <c r="F41" s="1">
        <v>45970.915613425925</v>
      </c>
      <c r="G41" s="25">
        <f>VLOOKUP(Base_données[Code],Stock_Magasin[],4,0)</f>
        <v>1800</v>
      </c>
      <c r="H41" s="25">
        <f>Base_données[[#This Row],[Quantité]]*Base_données[[#This Row],[Coût d''Achat Unitaire TTC]]</f>
        <v>7200</v>
      </c>
      <c r="I41" s="14">
        <f t="shared" si="2"/>
        <v>45970</v>
      </c>
    </row>
    <row r="42" spans="1:9" ht="15" customHeight="1" x14ac:dyDescent="0.25">
      <c r="A42" s="4">
        <v>1000034</v>
      </c>
      <c r="B42" s="29" t="s">
        <v>120</v>
      </c>
      <c r="C42" s="30">
        <v>1</v>
      </c>
      <c r="D42" s="32">
        <v>31250</v>
      </c>
      <c r="E42" s="32">
        <v>31250</v>
      </c>
      <c r="F42" s="1">
        <v>45970.915613425925</v>
      </c>
      <c r="G42" s="25">
        <f>VLOOKUP(Base_données[Code],Stock_Magasin[],4,0)</f>
        <v>25000</v>
      </c>
      <c r="H42" s="25">
        <f>Base_données[[#This Row],[Quantité]]*Base_données[[#This Row],[Coût d''Achat Unitaire TTC]]</f>
        <v>25000</v>
      </c>
      <c r="I42" s="14">
        <f t="shared" si="2"/>
        <v>45970</v>
      </c>
    </row>
    <row r="43" spans="1:9" ht="15" customHeight="1" x14ac:dyDescent="0.25">
      <c r="A43" s="4">
        <v>1000007</v>
      </c>
      <c r="B43" s="29" t="s">
        <v>34</v>
      </c>
      <c r="C43" s="30">
        <v>1</v>
      </c>
      <c r="D43" s="32">
        <v>5000</v>
      </c>
      <c r="E43" s="32">
        <v>5000</v>
      </c>
      <c r="F43" s="1">
        <v>45970.915613425925</v>
      </c>
      <c r="G43" s="25">
        <f>VLOOKUP(Base_données[Code],Stock_Magasin[],4,0)</f>
        <v>4000</v>
      </c>
      <c r="H43" s="25">
        <f>Base_données[[#This Row],[Quantité]]*Base_données[[#This Row],[Coût d''Achat Unitaire TTC]]</f>
        <v>4000</v>
      </c>
      <c r="I43" s="14">
        <f t="shared" si="2"/>
        <v>45970</v>
      </c>
    </row>
    <row r="44" spans="1:9" x14ac:dyDescent="0.25">
      <c r="A44" s="4">
        <v>1000003</v>
      </c>
      <c r="B44" s="29" t="s">
        <v>30</v>
      </c>
      <c r="C44" s="30">
        <v>3</v>
      </c>
      <c r="D44" s="32">
        <v>500</v>
      </c>
      <c r="E44" s="32">
        <v>1500</v>
      </c>
      <c r="F44" s="1">
        <v>45970.915613425925</v>
      </c>
      <c r="G44" s="25">
        <f>VLOOKUP(Base_données[Code],Stock_Magasin[],4,0)</f>
        <v>400</v>
      </c>
      <c r="H44" s="25">
        <f>Base_données[[#This Row],[Quantité]]*Base_données[[#This Row],[Coût d''Achat Unitaire TTC]]</f>
        <v>1200</v>
      </c>
      <c r="I44" s="14">
        <f t="shared" si="2"/>
        <v>45970</v>
      </c>
    </row>
    <row r="45" spans="1:9" ht="15" customHeight="1" x14ac:dyDescent="0.25">
      <c r="A45" s="4">
        <v>1000007</v>
      </c>
      <c r="B45" s="29" t="s">
        <v>34</v>
      </c>
      <c r="C45" s="30">
        <v>1</v>
      </c>
      <c r="D45" s="32">
        <v>5000</v>
      </c>
      <c r="E45" s="32">
        <v>5000</v>
      </c>
      <c r="F45" s="1">
        <v>45970.915613425925</v>
      </c>
      <c r="G45" s="25">
        <f>VLOOKUP(Base_données[Code],Stock_Magasin[],4,0)</f>
        <v>4000</v>
      </c>
      <c r="H45" s="25">
        <f>Base_données[[#This Row],[Quantité]]*Base_données[[#This Row],[Coût d''Achat Unitaire TTC]]</f>
        <v>4000</v>
      </c>
      <c r="I45" s="14">
        <f t="shared" si="2"/>
        <v>45970</v>
      </c>
    </row>
    <row r="46" spans="1:9" ht="15" customHeight="1" x14ac:dyDescent="0.25">
      <c r="A46" s="4">
        <v>1000036</v>
      </c>
      <c r="B46" s="29" t="s">
        <v>122</v>
      </c>
      <c r="C46" s="30">
        <v>5</v>
      </c>
      <c r="D46" s="32">
        <v>9375</v>
      </c>
      <c r="E46" s="32">
        <v>46875</v>
      </c>
      <c r="F46" s="1">
        <v>45971.713113425925</v>
      </c>
      <c r="G46" s="25">
        <f>VLOOKUP(Base_données[Code],Stock_Magasin[],4,0)</f>
        <v>7500</v>
      </c>
      <c r="H46" s="25">
        <f>Base_données[[#This Row],[Quantité]]*Base_données[[#This Row],[Coût d''Achat Unitaire TTC]]</f>
        <v>37500</v>
      </c>
      <c r="I46" s="14">
        <f t="shared" si="2"/>
        <v>45971</v>
      </c>
    </row>
    <row r="47" spans="1:9" ht="15" customHeight="1" x14ac:dyDescent="0.25">
      <c r="A47" s="4">
        <v>1000017</v>
      </c>
      <c r="B47" s="29" t="s">
        <v>42</v>
      </c>
      <c r="C47" s="30">
        <v>12</v>
      </c>
      <c r="D47" s="32">
        <v>875</v>
      </c>
      <c r="E47" s="32">
        <v>10500</v>
      </c>
      <c r="F47" s="1">
        <v>45971.713587962964</v>
      </c>
      <c r="G47" s="25">
        <f>VLOOKUP(Base_données[Code],Stock_Magasin[],4,0)</f>
        <v>700</v>
      </c>
      <c r="H47" s="25">
        <f>Base_données[[#This Row],[Quantité]]*Base_données[[#This Row],[Coût d''Achat Unitaire TTC]]</f>
        <v>8400</v>
      </c>
      <c r="I47" s="14">
        <f t="shared" si="2"/>
        <v>45971</v>
      </c>
    </row>
    <row r="48" spans="1:9" ht="15" customHeight="1" x14ac:dyDescent="0.25">
      <c r="A48" s="4">
        <v>1000016</v>
      </c>
      <c r="B48" s="29" t="s">
        <v>41</v>
      </c>
      <c r="C48" s="30">
        <v>7</v>
      </c>
      <c r="D48" s="32">
        <v>1000</v>
      </c>
      <c r="E48" s="32">
        <v>7000</v>
      </c>
      <c r="F48" s="1">
        <v>45971.714062500003</v>
      </c>
      <c r="G48" s="25">
        <f>VLOOKUP(Base_données[Code],Stock_Magasin[],4,0)</f>
        <v>800</v>
      </c>
      <c r="H48" s="25">
        <f>Base_données[[#This Row],[Quantité]]*Base_données[[#This Row],[Coût d''Achat Unitaire TTC]]</f>
        <v>5600</v>
      </c>
      <c r="I48" s="14">
        <f t="shared" si="2"/>
        <v>45971</v>
      </c>
    </row>
    <row r="49" spans="1:9" ht="15" customHeight="1" x14ac:dyDescent="0.25">
      <c r="A49" s="4">
        <v>1000037</v>
      </c>
      <c r="B49" s="29" t="s">
        <v>123</v>
      </c>
      <c r="C49" s="30">
        <v>8</v>
      </c>
      <c r="D49" s="32">
        <v>1250</v>
      </c>
      <c r="E49" s="32">
        <v>10000</v>
      </c>
      <c r="F49" s="1">
        <v>45971.714861111112</v>
      </c>
      <c r="G49" s="25">
        <f>VLOOKUP(Base_données[Code],Stock_Magasin[],4,0)</f>
        <v>1000</v>
      </c>
      <c r="H49" s="25">
        <f>Base_données[[#This Row],[Quantité]]*Base_données[[#This Row],[Coût d''Achat Unitaire TTC]]</f>
        <v>8000</v>
      </c>
      <c r="I49" s="14">
        <f t="shared" si="2"/>
        <v>45971</v>
      </c>
    </row>
    <row r="50" spans="1:9" ht="15" customHeight="1" x14ac:dyDescent="0.25">
      <c r="A50" s="4">
        <v>1000034</v>
      </c>
      <c r="B50" s="29" t="s">
        <v>120</v>
      </c>
      <c r="C50" s="30">
        <v>2</v>
      </c>
      <c r="D50" s="32">
        <v>31250</v>
      </c>
      <c r="E50" s="32">
        <v>62500</v>
      </c>
      <c r="F50" s="1">
        <v>45972.410740740743</v>
      </c>
      <c r="G50" s="25">
        <f>VLOOKUP(Base_données[Code],Stock_Magasin[],4,0)</f>
        <v>25000</v>
      </c>
      <c r="H50" s="25">
        <f>Base_données[[#This Row],[Quantité]]*Base_données[[#This Row],[Coût d''Achat Unitaire TTC]]</f>
        <v>50000</v>
      </c>
      <c r="I50" s="14">
        <f t="shared" ref="I50:I96" si="3">INT(F50)</f>
        <v>45972</v>
      </c>
    </row>
    <row r="51" spans="1:9" ht="15" customHeight="1" x14ac:dyDescent="0.25">
      <c r="A51" s="4">
        <v>1000001</v>
      </c>
      <c r="B51" s="29" t="s">
        <v>47</v>
      </c>
      <c r="C51" s="30">
        <v>12</v>
      </c>
      <c r="D51" s="32">
        <v>1250</v>
      </c>
      <c r="E51" s="32">
        <v>15000</v>
      </c>
      <c r="F51" s="1">
        <v>45972.410740740743</v>
      </c>
      <c r="G51" s="25">
        <f>VLOOKUP(Base_données[Code],Stock_Magasin[],4,0)</f>
        <v>1000</v>
      </c>
      <c r="H51" s="25">
        <f>Base_données[[#This Row],[Quantité]]*Base_données[[#This Row],[Coût d''Achat Unitaire TTC]]</f>
        <v>12000</v>
      </c>
      <c r="I51" s="14">
        <f t="shared" si="3"/>
        <v>45972</v>
      </c>
    </row>
    <row r="52" spans="1:9" ht="15" customHeight="1" x14ac:dyDescent="0.25">
      <c r="A52" s="4">
        <v>1000010</v>
      </c>
      <c r="B52" s="29" t="s">
        <v>37</v>
      </c>
      <c r="C52" s="30">
        <v>9</v>
      </c>
      <c r="D52" s="32">
        <v>1500</v>
      </c>
      <c r="E52" s="32">
        <v>13500</v>
      </c>
      <c r="F52" s="1">
        <v>45972.410740740743</v>
      </c>
      <c r="G52" s="25">
        <f>VLOOKUP(Base_données[Code],Stock_Magasin[],4,0)</f>
        <v>1200</v>
      </c>
      <c r="H52" s="25">
        <f>Base_données[[#This Row],[Quantité]]*Base_données[[#This Row],[Coût d''Achat Unitaire TTC]]</f>
        <v>10800</v>
      </c>
      <c r="I52" s="14">
        <f t="shared" si="3"/>
        <v>45972</v>
      </c>
    </row>
    <row r="53" spans="1:9" ht="15" customHeight="1" x14ac:dyDescent="0.25">
      <c r="A53" s="4">
        <v>1000011</v>
      </c>
      <c r="B53" s="29" t="s">
        <v>38</v>
      </c>
      <c r="C53" s="30">
        <v>4</v>
      </c>
      <c r="D53" s="32">
        <v>1875</v>
      </c>
      <c r="E53" s="32">
        <v>7500</v>
      </c>
      <c r="F53" s="1">
        <v>45972.410740740743</v>
      </c>
      <c r="G53" s="25">
        <f>VLOOKUP(Base_données[Code],Stock_Magasin[],4,0)</f>
        <v>1500</v>
      </c>
      <c r="H53" s="25">
        <f>Base_données[[#This Row],[Quantité]]*Base_données[[#This Row],[Coût d''Achat Unitaire TTC]]</f>
        <v>6000</v>
      </c>
      <c r="I53" s="14">
        <f t="shared" si="3"/>
        <v>45972</v>
      </c>
    </row>
    <row r="54" spans="1:9" ht="15" customHeight="1" x14ac:dyDescent="0.25">
      <c r="A54" s="4">
        <v>1000002</v>
      </c>
      <c r="B54" s="29" t="s">
        <v>29</v>
      </c>
      <c r="C54" s="30">
        <v>6</v>
      </c>
      <c r="D54" s="32">
        <v>1250</v>
      </c>
      <c r="E54" s="32">
        <v>7500</v>
      </c>
      <c r="F54" s="1">
        <v>45972.410740740743</v>
      </c>
      <c r="G54" s="25">
        <f>VLOOKUP(Base_données[Code],Stock_Magasin[],4,0)</f>
        <v>1000</v>
      </c>
      <c r="H54" s="25">
        <f>Base_données[[#This Row],[Quantité]]*Base_données[[#This Row],[Coût d''Achat Unitaire TTC]]</f>
        <v>6000</v>
      </c>
      <c r="I54" s="14">
        <f t="shared" si="3"/>
        <v>45972</v>
      </c>
    </row>
    <row r="55" spans="1:9" ht="15" customHeight="1" x14ac:dyDescent="0.25">
      <c r="A55" s="4">
        <v>1000021</v>
      </c>
      <c r="B55" s="29" t="s">
        <v>79</v>
      </c>
      <c r="C55" s="30">
        <v>21</v>
      </c>
      <c r="D55" s="32">
        <v>500</v>
      </c>
      <c r="E55" s="32">
        <v>10500</v>
      </c>
      <c r="F55" s="1">
        <v>45972.410740740743</v>
      </c>
      <c r="G55" s="25">
        <f>VLOOKUP(Base_données[Code],Stock_Magasin[],4,0)</f>
        <v>400</v>
      </c>
      <c r="H55" s="25">
        <f>Base_données[[#This Row],[Quantité]]*Base_données[[#This Row],[Coût d''Achat Unitaire TTC]]</f>
        <v>8400</v>
      </c>
      <c r="I55" s="14">
        <f t="shared" si="3"/>
        <v>45972</v>
      </c>
    </row>
    <row r="56" spans="1:9" ht="15" customHeight="1" x14ac:dyDescent="0.25">
      <c r="A56" s="4">
        <v>1000024</v>
      </c>
      <c r="B56" s="29" t="s">
        <v>82</v>
      </c>
      <c r="C56" s="30">
        <v>17</v>
      </c>
      <c r="D56" s="32">
        <v>750</v>
      </c>
      <c r="E56" s="32">
        <v>12750</v>
      </c>
      <c r="F56" s="1">
        <v>45973.941620370373</v>
      </c>
      <c r="G56" s="25">
        <f>VLOOKUP(Base_données[Code],Stock_Magasin[],4,0)</f>
        <v>600</v>
      </c>
      <c r="H56" s="25">
        <f>Base_données[[#This Row],[Quantité]]*Base_données[[#This Row],[Coût d''Achat Unitaire TTC]]</f>
        <v>10200</v>
      </c>
      <c r="I56" s="14">
        <f t="shared" si="3"/>
        <v>45973</v>
      </c>
    </row>
    <row r="57" spans="1:9" x14ac:dyDescent="0.25">
      <c r="A57" s="4">
        <v>1000003</v>
      </c>
      <c r="B57" s="29" t="s">
        <v>30</v>
      </c>
      <c r="C57" s="30">
        <v>12</v>
      </c>
      <c r="D57" s="32">
        <v>500</v>
      </c>
      <c r="E57" s="32">
        <v>6000</v>
      </c>
      <c r="F57" s="1">
        <v>45973.941620370373</v>
      </c>
      <c r="G57" s="25">
        <f>VLOOKUP(Base_données[Code],Stock_Magasin[],4,0)</f>
        <v>400</v>
      </c>
      <c r="H57" s="25">
        <f>Base_données[[#This Row],[Quantité]]*Base_données[[#This Row],[Coût d''Achat Unitaire TTC]]</f>
        <v>4800</v>
      </c>
      <c r="I57" s="14">
        <f t="shared" si="3"/>
        <v>45973</v>
      </c>
    </row>
    <row r="58" spans="1:9" ht="15" customHeight="1" x14ac:dyDescent="0.25">
      <c r="A58" s="4">
        <v>1000043</v>
      </c>
      <c r="B58" s="29" t="s">
        <v>128</v>
      </c>
      <c r="C58" s="30">
        <v>10</v>
      </c>
      <c r="D58" s="32">
        <v>500</v>
      </c>
      <c r="E58" s="32">
        <v>5000</v>
      </c>
      <c r="F58" s="1">
        <v>45973.941620370373</v>
      </c>
      <c r="G58" s="25">
        <f>VLOOKUP(Base_données[Code],Stock_Magasin[],4,0)</f>
        <v>400</v>
      </c>
      <c r="H58" s="25">
        <f>Base_données[[#This Row],[Quantité]]*Base_données[[#This Row],[Coût d''Achat Unitaire TTC]]</f>
        <v>4000</v>
      </c>
      <c r="I58" s="14">
        <f t="shared" si="3"/>
        <v>45973</v>
      </c>
    </row>
    <row r="59" spans="1:9" ht="15" customHeight="1" x14ac:dyDescent="0.25">
      <c r="A59" s="4">
        <v>1000009</v>
      </c>
      <c r="B59" s="29" t="s">
        <v>36</v>
      </c>
      <c r="C59" s="30">
        <v>3</v>
      </c>
      <c r="D59" s="32">
        <v>2250</v>
      </c>
      <c r="E59" s="32">
        <v>6750</v>
      </c>
      <c r="F59" s="1">
        <v>45973.941620370373</v>
      </c>
      <c r="G59" s="25">
        <f>VLOOKUP(Base_données[Code],Stock_Magasin[],4,0)</f>
        <v>1800</v>
      </c>
      <c r="H59" s="25">
        <f>Base_données[[#This Row],[Quantité]]*Base_données[[#This Row],[Coût d''Achat Unitaire TTC]]</f>
        <v>5400</v>
      </c>
      <c r="I59" s="14">
        <f t="shared" si="3"/>
        <v>45973</v>
      </c>
    </row>
    <row r="60" spans="1:9" ht="15" customHeight="1" x14ac:dyDescent="0.25">
      <c r="A60" s="4">
        <v>1000007</v>
      </c>
      <c r="B60" s="29" t="s">
        <v>34</v>
      </c>
      <c r="C60" s="30">
        <v>1</v>
      </c>
      <c r="D60" s="32">
        <v>5000</v>
      </c>
      <c r="E60" s="32">
        <v>5000</v>
      </c>
      <c r="F60" s="1">
        <v>45973.941620370373</v>
      </c>
      <c r="G60" s="25">
        <f>VLOOKUP(Base_données[Code],Stock_Magasin[],4,0)</f>
        <v>4000</v>
      </c>
      <c r="H60" s="25">
        <f>Base_données[[#This Row],[Quantité]]*Base_données[[#This Row],[Coût d''Achat Unitaire TTC]]</f>
        <v>4000</v>
      </c>
      <c r="I60" s="14">
        <f t="shared" si="3"/>
        <v>45973</v>
      </c>
    </row>
    <row r="61" spans="1:9" ht="15" customHeight="1" x14ac:dyDescent="0.25">
      <c r="A61" s="4">
        <v>1000013</v>
      </c>
      <c r="B61" s="29" t="s">
        <v>45</v>
      </c>
      <c r="C61" s="30">
        <v>1</v>
      </c>
      <c r="D61" s="32">
        <v>3125</v>
      </c>
      <c r="E61" s="32">
        <v>3125</v>
      </c>
      <c r="F61" s="1">
        <v>45973.941620370373</v>
      </c>
      <c r="G61" s="25">
        <f>VLOOKUP(Base_données[Code],Stock_Magasin[],4,0)</f>
        <v>2500</v>
      </c>
      <c r="H61" s="25">
        <f>Base_données[[#This Row],[Quantité]]*Base_données[[#This Row],[Coût d''Achat Unitaire TTC]]</f>
        <v>2500</v>
      </c>
      <c r="I61" s="14">
        <f t="shared" si="3"/>
        <v>45973</v>
      </c>
    </row>
    <row r="62" spans="1:9" ht="15" customHeight="1" x14ac:dyDescent="0.25">
      <c r="A62" s="4">
        <v>1000035</v>
      </c>
      <c r="B62" s="29" t="s">
        <v>121</v>
      </c>
      <c r="C62" s="30">
        <v>2</v>
      </c>
      <c r="D62" s="32">
        <v>31250</v>
      </c>
      <c r="E62" s="32">
        <v>62500</v>
      </c>
      <c r="F62" s="1">
        <v>45974.712743055556</v>
      </c>
      <c r="G62" s="25">
        <f>VLOOKUP(Base_données[Code],Stock_Magasin[],4,0)</f>
        <v>25000</v>
      </c>
      <c r="H62" s="25">
        <f>Base_données[[#This Row],[Quantité]]*Base_données[[#This Row],[Coût d''Achat Unitaire TTC]]</f>
        <v>50000</v>
      </c>
      <c r="I62" s="14">
        <f t="shared" si="3"/>
        <v>45974</v>
      </c>
    </row>
    <row r="63" spans="1:9" ht="15" customHeight="1" x14ac:dyDescent="0.25">
      <c r="A63" s="4">
        <v>1000035</v>
      </c>
      <c r="B63" s="29" t="s">
        <v>121</v>
      </c>
      <c r="C63" s="30">
        <v>1</v>
      </c>
      <c r="D63" s="32">
        <v>31250</v>
      </c>
      <c r="E63" s="32">
        <v>31250</v>
      </c>
      <c r="F63" s="1">
        <v>45974.712743055556</v>
      </c>
      <c r="G63" s="25">
        <f>VLOOKUP(Base_données[Code],Stock_Magasin[],4,0)</f>
        <v>25000</v>
      </c>
      <c r="H63" s="25">
        <f>Base_données[[#This Row],[Quantité]]*Base_données[[#This Row],[Coût d''Achat Unitaire TTC]]</f>
        <v>25000</v>
      </c>
      <c r="I63" s="14">
        <f t="shared" si="3"/>
        <v>45974</v>
      </c>
    </row>
    <row r="64" spans="1:9" ht="15" customHeight="1" x14ac:dyDescent="0.25">
      <c r="A64" s="4">
        <v>1000009</v>
      </c>
      <c r="B64" s="29" t="s">
        <v>36</v>
      </c>
      <c r="C64" s="30">
        <v>1</v>
      </c>
      <c r="D64" s="32">
        <v>2250</v>
      </c>
      <c r="E64" s="32">
        <v>2250</v>
      </c>
      <c r="F64" s="1">
        <v>45974.712743055556</v>
      </c>
      <c r="G64" s="25">
        <f>VLOOKUP(Base_données[Code],Stock_Magasin[],4,0)</f>
        <v>1800</v>
      </c>
      <c r="H64" s="25">
        <f>Base_données[[#This Row],[Quantité]]*Base_données[[#This Row],[Coût d''Achat Unitaire TTC]]</f>
        <v>1800</v>
      </c>
      <c r="I64" s="14">
        <f t="shared" si="3"/>
        <v>45974</v>
      </c>
    </row>
    <row r="65" spans="1:9" ht="15" customHeight="1" x14ac:dyDescent="0.25">
      <c r="A65" s="4">
        <v>1000013</v>
      </c>
      <c r="B65" s="29" t="s">
        <v>45</v>
      </c>
      <c r="C65" s="30">
        <v>1</v>
      </c>
      <c r="D65" s="32">
        <v>3125</v>
      </c>
      <c r="E65" s="32">
        <v>3125</v>
      </c>
      <c r="F65" s="1">
        <v>45974.712743055556</v>
      </c>
      <c r="G65" s="25">
        <f>VLOOKUP(Base_données[Code],Stock_Magasin[],4,0)</f>
        <v>2500</v>
      </c>
      <c r="H65" s="25">
        <f>Base_données[[#This Row],[Quantité]]*Base_données[[#This Row],[Coût d''Achat Unitaire TTC]]</f>
        <v>2500</v>
      </c>
      <c r="I65" s="14">
        <f t="shared" si="3"/>
        <v>45974</v>
      </c>
    </row>
    <row r="66" spans="1:9" ht="15" customHeight="1" x14ac:dyDescent="0.25">
      <c r="A66" s="4">
        <v>1000007</v>
      </c>
      <c r="B66" s="29" t="s">
        <v>34</v>
      </c>
      <c r="C66" s="30">
        <v>4</v>
      </c>
      <c r="D66" s="32">
        <v>5000</v>
      </c>
      <c r="E66" s="32">
        <v>20000</v>
      </c>
      <c r="F66" s="1">
        <v>45974.712743055556</v>
      </c>
      <c r="G66" s="25">
        <f>VLOOKUP(Base_données[Code],Stock_Magasin[],4,0)</f>
        <v>4000</v>
      </c>
      <c r="H66" s="25">
        <f>Base_données[[#This Row],[Quantité]]*Base_données[[#This Row],[Coût d''Achat Unitaire TTC]]</f>
        <v>16000</v>
      </c>
      <c r="I66" s="14">
        <f t="shared" si="3"/>
        <v>45974</v>
      </c>
    </row>
    <row r="67" spans="1:9" x14ac:dyDescent="0.25">
      <c r="A67" s="4">
        <v>1000003</v>
      </c>
      <c r="B67" s="29" t="s">
        <v>30</v>
      </c>
      <c r="C67" s="30">
        <v>2</v>
      </c>
      <c r="D67" s="32">
        <v>500</v>
      </c>
      <c r="E67" s="32">
        <v>1000</v>
      </c>
      <c r="F67" s="1">
        <v>45974.712743055556</v>
      </c>
      <c r="G67" s="25">
        <f>VLOOKUP(Base_données[Code],Stock_Magasin[],4,0)</f>
        <v>400</v>
      </c>
      <c r="H67" s="25">
        <f>Base_données[[#This Row],[Quantité]]*Base_données[[#This Row],[Coût d''Achat Unitaire TTC]]</f>
        <v>800</v>
      </c>
      <c r="I67" s="14">
        <f t="shared" si="3"/>
        <v>45974</v>
      </c>
    </row>
    <row r="68" spans="1:9" ht="15" customHeight="1" x14ac:dyDescent="0.25">
      <c r="A68" s="4">
        <v>1000034</v>
      </c>
      <c r="B68" s="29" t="s">
        <v>139</v>
      </c>
      <c r="C68" s="30">
        <v>3</v>
      </c>
      <c r="D68" s="32">
        <v>31250</v>
      </c>
      <c r="E68" s="32">
        <v>93750</v>
      </c>
      <c r="F68" s="1">
        <v>45975.352962962963</v>
      </c>
      <c r="G68" s="25">
        <f>VLOOKUP(Base_données[Code],Stock_Magasin[],4,0)</f>
        <v>25000</v>
      </c>
      <c r="H68" s="25">
        <f>Base_données[[#This Row],[Quantité]]*Base_données[[#This Row],[Coût d''Achat Unitaire TTC]]</f>
        <v>75000</v>
      </c>
      <c r="I68" s="14">
        <f t="shared" si="3"/>
        <v>45975</v>
      </c>
    </row>
    <row r="69" spans="1:9" ht="15" customHeight="1" x14ac:dyDescent="0.25">
      <c r="A69" s="4">
        <v>1000036</v>
      </c>
      <c r="B69" s="29" t="s">
        <v>122</v>
      </c>
      <c r="C69" s="30">
        <v>1</v>
      </c>
      <c r="D69" s="32">
        <v>9375</v>
      </c>
      <c r="E69" s="32">
        <v>9375</v>
      </c>
      <c r="F69" s="1">
        <v>45975.352962962963</v>
      </c>
      <c r="G69" s="25">
        <f>VLOOKUP(Base_données[Code],Stock_Magasin[],4,0)</f>
        <v>7500</v>
      </c>
      <c r="H69" s="25">
        <f>Base_données[[#This Row],[Quantité]]*Base_données[[#This Row],[Coût d''Achat Unitaire TTC]]</f>
        <v>7500</v>
      </c>
      <c r="I69" s="14">
        <f t="shared" si="3"/>
        <v>45975</v>
      </c>
    </row>
    <row r="70" spans="1:9" ht="15" customHeight="1" x14ac:dyDescent="0.25">
      <c r="A70" s="4">
        <v>1000031</v>
      </c>
      <c r="B70" s="29" t="s">
        <v>117</v>
      </c>
      <c r="C70" s="30">
        <v>2</v>
      </c>
      <c r="D70" s="32">
        <v>2125</v>
      </c>
      <c r="E70" s="32">
        <v>4250</v>
      </c>
      <c r="F70" s="1">
        <v>45975.352962962963</v>
      </c>
      <c r="G70" s="25">
        <f>VLOOKUP(Base_données[Code],Stock_Magasin[],4,0)</f>
        <v>1700</v>
      </c>
      <c r="H70" s="25">
        <f>Base_données[[#This Row],[Quantité]]*Base_données[[#This Row],[Coût d''Achat Unitaire TTC]]</f>
        <v>3400</v>
      </c>
      <c r="I70" s="14">
        <f t="shared" si="3"/>
        <v>45975</v>
      </c>
    </row>
    <row r="71" spans="1:9" ht="15" customHeight="1" x14ac:dyDescent="0.25">
      <c r="A71" s="4">
        <v>1000012</v>
      </c>
      <c r="B71" s="29" t="s">
        <v>39</v>
      </c>
      <c r="C71" s="30">
        <v>2</v>
      </c>
      <c r="D71" s="32">
        <v>1500</v>
      </c>
      <c r="E71" s="32">
        <v>3000</v>
      </c>
      <c r="F71" s="1">
        <v>45975.352962962963</v>
      </c>
      <c r="G71" s="25">
        <f>VLOOKUP(Base_données[Code],Stock_Magasin[],4,0)</f>
        <v>1200</v>
      </c>
      <c r="H71" s="25">
        <f>Base_données[[#This Row],[Quantité]]*Base_données[[#This Row],[Coût d''Achat Unitaire TTC]]</f>
        <v>2400</v>
      </c>
      <c r="I71" s="14">
        <f t="shared" si="3"/>
        <v>45975</v>
      </c>
    </row>
    <row r="72" spans="1:9" ht="15" customHeight="1" x14ac:dyDescent="0.25">
      <c r="A72" s="4">
        <v>1000014</v>
      </c>
      <c r="B72" s="29" t="s">
        <v>44</v>
      </c>
      <c r="C72" s="30">
        <v>2</v>
      </c>
      <c r="D72" s="32">
        <v>43750</v>
      </c>
      <c r="E72" s="32">
        <v>87500</v>
      </c>
      <c r="F72" s="1">
        <v>45976.571574074071</v>
      </c>
      <c r="G72" s="25">
        <f>VLOOKUP(Base_données[Code],Stock_Magasin[],4,0)</f>
        <v>35000</v>
      </c>
      <c r="H72" s="25">
        <f>Base_données[[#This Row],[Quantité]]*Base_données[[#This Row],[Coût d''Achat Unitaire TTC]]</f>
        <v>70000</v>
      </c>
      <c r="I72" s="14">
        <f t="shared" si="3"/>
        <v>45976</v>
      </c>
    </row>
    <row r="73" spans="1:9" ht="15" customHeight="1" x14ac:dyDescent="0.25">
      <c r="A73" s="4">
        <v>1000014</v>
      </c>
      <c r="B73" s="29" t="s">
        <v>44</v>
      </c>
      <c r="C73" s="30">
        <v>2</v>
      </c>
      <c r="D73" s="32">
        <v>43750</v>
      </c>
      <c r="E73" s="32">
        <v>87500</v>
      </c>
      <c r="F73" s="1">
        <v>45977.972974537035</v>
      </c>
      <c r="G73" s="25">
        <f>VLOOKUP(Base_données[Code],Stock_Magasin[],4,0)</f>
        <v>35000</v>
      </c>
      <c r="H73" s="25">
        <f>Base_données[[#This Row],[Quantité]]*Base_données[[#This Row],[Coût d''Achat Unitaire TTC]]</f>
        <v>70000</v>
      </c>
      <c r="I73" s="14">
        <f t="shared" si="3"/>
        <v>45977</v>
      </c>
    </row>
    <row r="74" spans="1:9" ht="15" customHeight="1" x14ac:dyDescent="0.25">
      <c r="A74" s="4">
        <v>1000009</v>
      </c>
      <c r="B74" s="29" t="s">
        <v>36</v>
      </c>
      <c r="C74" s="30">
        <v>9</v>
      </c>
      <c r="D74" s="32">
        <v>2250</v>
      </c>
      <c r="E74" s="32">
        <v>20250</v>
      </c>
      <c r="F74" s="1">
        <v>45977.972974537035</v>
      </c>
      <c r="G74" s="25">
        <f>VLOOKUP(Base_données[Code],Stock_Magasin[],4,0)</f>
        <v>1800</v>
      </c>
      <c r="H74" s="25">
        <f>Base_données[[#This Row],[Quantité]]*Base_données[[#This Row],[Coût d''Achat Unitaire TTC]]</f>
        <v>16200</v>
      </c>
      <c r="I74" s="14">
        <f t="shared" si="3"/>
        <v>45977</v>
      </c>
    </row>
    <row r="75" spans="1:9" ht="15" customHeight="1" x14ac:dyDescent="0.25">
      <c r="A75" s="4">
        <v>1000027</v>
      </c>
      <c r="B75" s="29" t="s">
        <v>88</v>
      </c>
      <c r="C75" s="30">
        <v>12</v>
      </c>
      <c r="D75" s="32">
        <v>500</v>
      </c>
      <c r="E75" s="32">
        <v>6000</v>
      </c>
      <c r="F75" s="1">
        <v>45978.3046412037</v>
      </c>
      <c r="G75" s="25">
        <f>VLOOKUP(Base_données[Code],Stock_Magasin[],4,0)</f>
        <v>400</v>
      </c>
      <c r="H75" s="25">
        <f>Base_données[[#This Row],[Quantité]]*Base_données[[#This Row],[Coût d''Achat Unitaire TTC]]</f>
        <v>4800</v>
      </c>
      <c r="I75" s="14">
        <f t="shared" si="3"/>
        <v>45978</v>
      </c>
    </row>
    <row r="76" spans="1:9" ht="15" customHeight="1" x14ac:dyDescent="0.25">
      <c r="A76" s="4">
        <v>1000016</v>
      </c>
      <c r="B76" s="29" t="s">
        <v>140</v>
      </c>
      <c r="C76" s="30">
        <v>8</v>
      </c>
      <c r="D76" s="32">
        <v>1000</v>
      </c>
      <c r="E76" s="32">
        <v>8000</v>
      </c>
      <c r="F76" s="1">
        <v>45978.3046412037</v>
      </c>
      <c r="G76" s="25">
        <f>VLOOKUP(Base_données[Code],Stock_Magasin[],4,0)</f>
        <v>800</v>
      </c>
      <c r="H76" s="25">
        <f>Base_données[[#This Row],[Quantité]]*Base_données[[#This Row],[Coût d''Achat Unitaire TTC]]</f>
        <v>6400</v>
      </c>
      <c r="I76" s="14">
        <f t="shared" si="3"/>
        <v>45978</v>
      </c>
    </row>
    <row r="77" spans="1:9" ht="15" customHeight="1" x14ac:dyDescent="0.25">
      <c r="A77" s="4">
        <v>1000017</v>
      </c>
      <c r="B77" s="29" t="s">
        <v>42</v>
      </c>
      <c r="C77" s="30">
        <v>15</v>
      </c>
      <c r="D77" s="32">
        <v>875</v>
      </c>
      <c r="E77" s="32">
        <v>13125</v>
      </c>
      <c r="F77" s="1">
        <v>45978.3046412037</v>
      </c>
      <c r="G77" s="25">
        <f>VLOOKUP(Base_données[Code],Stock_Magasin[],4,0)</f>
        <v>700</v>
      </c>
      <c r="H77" s="25">
        <f>Base_données[[#This Row],[Quantité]]*Base_données[[#This Row],[Coût d''Achat Unitaire TTC]]</f>
        <v>10500</v>
      </c>
      <c r="I77" s="14">
        <f t="shared" si="3"/>
        <v>45978</v>
      </c>
    </row>
    <row r="78" spans="1:9" ht="15" customHeight="1" x14ac:dyDescent="0.25">
      <c r="A78" s="4">
        <v>1000024</v>
      </c>
      <c r="B78" s="29" t="s">
        <v>82</v>
      </c>
      <c r="C78" s="30">
        <v>13</v>
      </c>
      <c r="D78" s="32">
        <v>750</v>
      </c>
      <c r="E78" s="32">
        <v>9750</v>
      </c>
      <c r="F78" s="1">
        <v>45978.3046412037</v>
      </c>
      <c r="G78" s="25">
        <f>VLOOKUP(Base_données[Code],Stock_Magasin[],4,0)</f>
        <v>600</v>
      </c>
      <c r="H78" s="25">
        <f>Base_données[[#This Row],[Quantité]]*Base_données[[#This Row],[Coût d''Achat Unitaire TTC]]</f>
        <v>7800</v>
      </c>
      <c r="I78" s="14">
        <f t="shared" si="3"/>
        <v>45978</v>
      </c>
    </row>
    <row r="79" spans="1:9" ht="15" customHeight="1" x14ac:dyDescent="0.25">
      <c r="A79" s="4">
        <v>1000031</v>
      </c>
      <c r="B79" s="29" t="s">
        <v>117</v>
      </c>
      <c r="C79" s="30">
        <v>5</v>
      </c>
      <c r="D79" s="32">
        <v>2125</v>
      </c>
      <c r="E79" s="32">
        <v>10625</v>
      </c>
      <c r="F79" s="1">
        <v>45978.3046412037</v>
      </c>
      <c r="G79" s="25">
        <f>VLOOKUP(Base_données[Code],Stock_Magasin[],4,0)</f>
        <v>1700</v>
      </c>
      <c r="H79" s="25">
        <f>Base_données[[#This Row],[Quantité]]*Base_données[[#This Row],[Coût d''Achat Unitaire TTC]]</f>
        <v>8500</v>
      </c>
      <c r="I79" s="14">
        <f t="shared" si="3"/>
        <v>45978</v>
      </c>
    </row>
    <row r="80" spans="1:9" ht="15" customHeight="1" x14ac:dyDescent="0.25">
      <c r="A80" s="4">
        <v>1000009</v>
      </c>
      <c r="B80" s="29" t="s">
        <v>36</v>
      </c>
      <c r="C80" s="30">
        <v>4</v>
      </c>
      <c r="D80" s="32">
        <v>2250</v>
      </c>
      <c r="E80" s="32">
        <v>9000</v>
      </c>
      <c r="F80" s="1">
        <v>45978.3046412037</v>
      </c>
      <c r="G80" s="25">
        <f>VLOOKUP(Base_données[Code],Stock_Magasin[],4,0)</f>
        <v>1800</v>
      </c>
      <c r="H80" s="25">
        <f>Base_données[[#This Row],[Quantité]]*Base_données[[#This Row],[Coût d''Achat Unitaire TTC]]</f>
        <v>7200</v>
      </c>
      <c r="I80" s="14">
        <f t="shared" si="3"/>
        <v>45978</v>
      </c>
    </row>
    <row r="81" spans="1:9" ht="15" customHeight="1" x14ac:dyDescent="0.25">
      <c r="A81" s="4">
        <v>1000018</v>
      </c>
      <c r="B81" s="29" t="s">
        <v>54</v>
      </c>
      <c r="C81" s="30">
        <v>19</v>
      </c>
      <c r="D81" s="32">
        <v>250</v>
      </c>
      <c r="E81" s="32">
        <v>4750</v>
      </c>
      <c r="F81" s="1">
        <v>45978.3046412037</v>
      </c>
      <c r="G81" s="25">
        <f>VLOOKUP(Base_données[Code],Stock_Magasin[],4,0)</f>
        <v>200</v>
      </c>
      <c r="H81" s="25">
        <f>Base_données[[#This Row],[Quantité]]*Base_données[[#This Row],[Coût d''Achat Unitaire TTC]]</f>
        <v>3800</v>
      </c>
      <c r="I81" s="14">
        <f t="shared" si="3"/>
        <v>45978</v>
      </c>
    </row>
    <row r="82" spans="1:9" ht="15" customHeight="1" x14ac:dyDescent="0.25">
      <c r="A82" s="4">
        <v>1000022</v>
      </c>
      <c r="B82" s="29" t="s">
        <v>80</v>
      </c>
      <c r="C82" s="30">
        <v>23</v>
      </c>
      <c r="D82" s="32">
        <v>750</v>
      </c>
      <c r="E82" s="32">
        <v>17250</v>
      </c>
      <c r="F82" s="1">
        <v>45979.837847222225</v>
      </c>
      <c r="G82" s="25">
        <f>VLOOKUP(Base_données[Code],Stock_Magasin[],4,0)</f>
        <v>600</v>
      </c>
      <c r="H82" s="25">
        <f>Base_données[[#This Row],[Quantité]]*Base_données[[#This Row],[Coût d''Achat Unitaire TTC]]</f>
        <v>13800</v>
      </c>
      <c r="I82" s="14">
        <f t="shared" si="3"/>
        <v>45979</v>
      </c>
    </row>
    <row r="83" spans="1:9" ht="15" customHeight="1" x14ac:dyDescent="0.25">
      <c r="A83" s="4">
        <v>1000005</v>
      </c>
      <c r="B83" s="29" t="s">
        <v>32</v>
      </c>
      <c r="C83" s="30">
        <v>12</v>
      </c>
      <c r="D83" s="32">
        <v>1875</v>
      </c>
      <c r="E83" s="32">
        <v>22500</v>
      </c>
      <c r="F83" s="1">
        <v>45979.837847222225</v>
      </c>
      <c r="G83" s="25">
        <f>VLOOKUP(Base_données[Code],Stock_Magasin[],4,0)</f>
        <v>1500</v>
      </c>
      <c r="H83" s="25">
        <f>Base_données[[#This Row],[Quantité]]*Base_données[[#This Row],[Coût d''Achat Unitaire TTC]]</f>
        <v>18000</v>
      </c>
      <c r="I83" s="14">
        <f t="shared" si="3"/>
        <v>45979</v>
      </c>
    </row>
    <row r="84" spans="1:9" ht="15" customHeight="1" x14ac:dyDescent="0.25">
      <c r="A84" s="4">
        <v>1000023</v>
      </c>
      <c r="B84" s="29" t="s">
        <v>81</v>
      </c>
      <c r="C84" s="30">
        <v>7</v>
      </c>
      <c r="D84" s="32">
        <v>1500</v>
      </c>
      <c r="E84" s="32">
        <v>10500</v>
      </c>
      <c r="F84" s="1">
        <v>45979.837847222225</v>
      </c>
      <c r="G84" s="25">
        <f>VLOOKUP(Base_données[Code],Stock_Magasin[],4,0)</f>
        <v>1200</v>
      </c>
      <c r="H84" s="25">
        <f>Base_données[[#This Row],[Quantité]]*Base_données[[#This Row],[Coût d''Achat Unitaire TTC]]</f>
        <v>8400</v>
      </c>
      <c r="I84" s="14">
        <f t="shared" si="3"/>
        <v>45979</v>
      </c>
    </row>
    <row r="85" spans="1:9" ht="15" customHeight="1" x14ac:dyDescent="0.25">
      <c r="A85" s="4">
        <v>1000043</v>
      </c>
      <c r="B85" s="29" t="s">
        <v>128</v>
      </c>
      <c r="C85" s="30">
        <v>10</v>
      </c>
      <c r="D85" s="32">
        <v>500</v>
      </c>
      <c r="E85" s="32">
        <v>5000</v>
      </c>
      <c r="F85" s="1">
        <v>45979.837847222225</v>
      </c>
      <c r="G85" s="25">
        <f>VLOOKUP(Base_données[Code],Stock_Magasin[],4,0)</f>
        <v>400</v>
      </c>
      <c r="H85" s="25">
        <f>Base_données[[#This Row],[Quantité]]*Base_données[[#This Row],[Coût d''Achat Unitaire TTC]]</f>
        <v>4000</v>
      </c>
      <c r="I85" s="14">
        <f t="shared" si="3"/>
        <v>45979</v>
      </c>
    </row>
    <row r="86" spans="1:9" ht="15" customHeight="1" x14ac:dyDescent="0.25">
      <c r="A86" s="4">
        <v>1000011</v>
      </c>
      <c r="B86" s="29" t="s">
        <v>38</v>
      </c>
      <c r="C86" s="30">
        <v>3</v>
      </c>
      <c r="D86" s="32">
        <v>1875</v>
      </c>
      <c r="E86" s="32">
        <v>5625</v>
      </c>
      <c r="F86" s="1">
        <v>45979.837847222225</v>
      </c>
      <c r="G86" s="25">
        <f>VLOOKUP(Base_données[Code],Stock_Magasin[],4,0)</f>
        <v>1500</v>
      </c>
      <c r="H86" s="25">
        <f>Base_données[[#This Row],[Quantité]]*Base_données[[#This Row],[Coût d''Achat Unitaire TTC]]</f>
        <v>4500</v>
      </c>
      <c r="I86" s="14">
        <f t="shared" si="3"/>
        <v>45979</v>
      </c>
    </row>
    <row r="87" spans="1:9" x14ac:dyDescent="0.25">
      <c r="A87" s="4">
        <v>1000003</v>
      </c>
      <c r="B87" s="29" t="s">
        <v>30</v>
      </c>
      <c r="C87" s="30">
        <v>16</v>
      </c>
      <c r="D87" s="32">
        <v>500</v>
      </c>
      <c r="E87" s="32">
        <v>8000</v>
      </c>
      <c r="F87" s="1">
        <v>45980.64943287037</v>
      </c>
      <c r="G87" s="25">
        <f>VLOOKUP(Base_données[Code],Stock_Magasin[],4,0)</f>
        <v>400</v>
      </c>
      <c r="H87" s="25">
        <f>Base_données[[#This Row],[Quantité]]*Base_données[[#This Row],[Coût d''Achat Unitaire TTC]]</f>
        <v>6400</v>
      </c>
      <c r="I87" s="14">
        <f t="shared" si="3"/>
        <v>45980</v>
      </c>
    </row>
    <row r="88" spans="1:9" ht="15" customHeight="1" x14ac:dyDescent="0.25">
      <c r="A88" s="4">
        <v>1000001</v>
      </c>
      <c r="B88" s="29" t="s">
        <v>47</v>
      </c>
      <c r="C88" s="30">
        <v>12</v>
      </c>
      <c r="D88" s="32">
        <v>1250</v>
      </c>
      <c r="E88" s="32">
        <v>15000</v>
      </c>
      <c r="F88" s="1">
        <v>45980.64943287037</v>
      </c>
      <c r="G88" s="25">
        <f>VLOOKUP(Base_données[Code],Stock_Magasin[],4,0)</f>
        <v>1000</v>
      </c>
      <c r="H88" s="25">
        <f>Base_données[[#This Row],[Quantité]]*Base_données[[#This Row],[Coût d''Achat Unitaire TTC]]</f>
        <v>12000</v>
      </c>
      <c r="I88" s="14">
        <f t="shared" si="3"/>
        <v>45980</v>
      </c>
    </row>
    <row r="89" spans="1:9" ht="15" customHeight="1" x14ac:dyDescent="0.25">
      <c r="A89" s="4">
        <v>1000002</v>
      </c>
      <c r="B89" s="29" t="s">
        <v>29</v>
      </c>
      <c r="C89" s="30">
        <v>21</v>
      </c>
      <c r="D89" s="32">
        <v>1250</v>
      </c>
      <c r="E89" s="32">
        <v>26250</v>
      </c>
      <c r="F89" s="1">
        <v>45980.64943287037</v>
      </c>
      <c r="G89" s="25">
        <f>VLOOKUP(Base_données[Code],Stock_Magasin[],4,0)</f>
        <v>1000</v>
      </c>
      <c r="H89" s="25">
        <f>Base_données[[#This Row],[Quantité]]*Base_données[[#This Row],[Coût d''Achat Unitaire TTC]]</f>
        <v>21000</v>
      </c>
      <c r="I89" s="14">
        <f t="shared" si="3"/>
        <v>45980</v>
      </c>
    </row>
    <row r="90" spans="1:9" ht="15" customHeight="1" x14ac:dyDescent="0.25">
      <c r="A90" s="4">
        <v>1000004</v>
      </c>
      <c r="B90" s="29" t="s">
        <v>31</v>
      </c>
      <c r="C90" s="30">
        <v>5</v>
      </c>
      <c r="D90" s="32">
        <v>1500</v>
      </c>
      <c r="E90" s="32">
        <v>7500</v>
      </c>
      <c r="F90" s="1">
        <v>45980.64943287037</v>
      </c>
      <c r="G90" s="25">
        <f>VLOOKUP(Base_données[Code],Stock_Magasin[],4,0)</f>
        <v>1200</v>
      </c>
      <c r="H90" s="25">
        <f>Base_données[[#This Row],[Quantité]]*Base_données[[#This Row],[Coût d''Achat Unitaire TTC]]</f>
        <v>6000</v>
      </c>
      <c r="I90" s="14">
        <f t="shared" si="3"/>
        <v>45980</v>
      </c>
    </row>
    <row r="91" spans="1:9" ht="15" customHeight="1" x14ac:dyDescent="0.25">
      <c r="A91" s="4">
        <v>1000005</v>
      </c>
      <c r="B91" s="29" t="s">
        <v>32</v>
      </c>
      <c r="C91" s="30">
        <v>2</v>
      </c>
      <c r="D91" s="32">
        <v>1875</v>
      </c>
      <c r="E91" s="32">
        <v>3750</v>
      </c>
      <c r="F91" s="1">
        <v>45980.64943287037</v>
      </c>
      <c r="G91" s="25">
        <f>VLOOKUP(Base_données[Code],Stock_Magasin[],4,0)</f>
        <v>1500</v>
      </c>
      <c r="H91" s="25">
        <f>Base_données[[#This Row],[Quantité]]*Base_données[[#This Row],[Coût d''Achat Unitaire TTC]]</f>
        <v>3000</v>
      </c>
      <c r="I91" s="14">
        <f t="shared" si="3"/>
        <v>45980</v>
      </c>
    </row>
    <row r="92" spans="1:9" ht="15" customHeight="1" x14ac:dyDescent="0.25">
      <c r="A92" s="4">
        <v>1000006</v>
      </c>
      <c r="B92" s="29" t="s">
        <v>33</v>
      </c>
      <c r="C92" s="30">
        <v>17</v>
      </c>
      <c r="D92" s="32">
        <v>1500</v>
      </c>
      <c r="E92" s="32">
        <v>25500</v>
      </c>
      <c r="F92" s="1">
        <v>45981.912893518522</v>
      </c>
      <c r="G92" s="25">
        <f>VLOOKUP(Base_données[Code],Stock_Magasin[],4,0)</f>
        <v>1200</v>
      </c>
      <c r="H92" s="25">
        <f>Base_données[[#This Row],[Quantité]]*Base_données[[#This Row],[Coût d''Achat Unitaire TTC]]</f>
        <v>20400</v>
      </c>
      <c r="I92" s="14">
        <f t="shared" si="3"/>
        <v>45981</v>
      </c>
    </row>
    <row r="93" spans="1:9" ht="15" customHeight="1" x14ac:dyDescent="0.25">
      <c r="A93" s="4">
        <v>1000005</v>
      </c>
      <c r="B93" s="29" t="s">
        <v>32</v>
      </c>
      <c r="C93" s="30">
        <v>4</v>
      </c>
      <c r="D93" s="32">
        <v>1875</v>
      </c>
      <c r="E93" s="32">
        <v>7500</v>
      </c>
      <c r="F93" s="1">
        <v>45981.912893518522</v>
      </c>
      <c r="G93" s="25">
        <f>VLOOKUP(Base_données[Code],Stock_Magasin[],4,0)</f>
        <v>1500</v>
      </c>
      <c r="H93" s="25">
        <f>Base_données[[#This Row],[Quantité]]*Base_données[[#This Row],[Coût d''Achat Unitaire TTC]]</f>
        <v>6000</v>
      </c>
      <c r="I93" s="14">
        <f t="shared" si="3"/>
        <v>45981</v>
      </c>
    </row>
    <row r="94" spans="1:9" ht="15" customHeight="1" x14ac:dyDescent="0.25">
      <c r="A94" s="4">
        <v>1000023</v>
      </c>
      <c r="B94" s="29" t="s">
        <v>81</v>
      </c>
      <c r="C94" s="30">
        <v>7</v>
      </c>
      <c r="D94" s="32">
        <v>1500</v>
      </c>
      <c r="E94" s="32">
        <v>10500</v>
      </c>
      <c r="F94" s="1">
        <v>45981.912893518522</v>
      </c>
      <c r="G94" s="25">
        <f>VLOOKUP(Base_données[Code],Stock_Magasin[],4,0)</f>
        <v>1200</v>
      </c>
      <c r="H94" s="25">
        <f>Base_données[[#This Row],[Quantité]]*Base_données[[#This Row],[Coût d''Achat Unitaire TTC]]</f>
        <v>8400</v>
      </c>
      <c r="I94" s="14">
        <f t="shared" si="3"/>
        <v>45981</v>
      </c>
    </row>
    <row r="95" spans="1:9" ht="15" customHeight="1" x14ac:dyDescent="0.25">
      <c r="A95" s="4">
        <v>1000038</v>
      </c>
      <c r="B95" s="29" t="s">
        <v>124</v>
      </c>
      <c r="C95" s="30">
        <v>12</v>
      </c>
      <c r="D95" s="32">
        <v>1250</v>
      </c>
      <c r="E95" s="32">
        <v>15000</v>
      </c>
      <c r="F95" s="1">
        <v>45981.912893518522</v>
      </c>
      <c r="G95" s="25">
        <f>VLOOKUP(Base_données[Code],Stock_Magasin[],4,0)</f>
        <v>1000</v>
      </c>
      <c r="H95" s="25">
        <f>Base_données[[#This Row],[Quantité]]*Base_données[[#This Row],[Coût d''Achat Unitaire TTC]]</f>
        <v>12000</v>
      </c>
      <c r="I95" s="14">
        <f t="shared" si="3"/>
        <v>45981</v>
      </c>
    </row>
    <row r="96" spans="1:9" x14ac:dyDescent="0.25">
      <c r="A96" s="4">
        <v>1000003</v>
      </c>
      <c r="B96" s="29" t="s">
        <v>30</v>
      </c>
      <c r="C96" s="30">
        <v>10</v>
      </c>
      <c r="D96" s="32">
        <v>500</v>
      </c>
      <c r="E96" s="32">
        <v>5000</v>
      </c>
      <c r="F96" s="1">
        <v>45981.912893518522</v>
      </c>
      <c r="G96" s="25">
        <f>VLOOKUP(Base_données[Code],Stock_Magasin[],4,0)</f>
        <v>400</v>
      </c>
      <c r="H96" s="25">
        <f>Base_données[[#This Row],[Quantité]]*Base_données[[#This Row],[Coût d''Achat Unitaire TTC]]</f>
        <v>4000</v>
      </c>
      <c r="I96" s="14">
        <f t="shared" si="3"/>
        <v>45981</v>
      </c>
    </row>
    <row r="97" spans="1:9" ht="15" customHeight="1" x14ac:dyDescent="0.25">
      <c r="A97" s="4">
        <v>1000007</v>
      </c>
      <c r="B97" s="29" t="s">
        <v>34</v>
      </c>
      <c r="C97" s="30">
        <v>5</v>
      </c>
      <c r="D97" s="32">
        <v>5000</v>
      </c>
      <c r="E97" s="32">
        <v>25000</v>
      </c>
      <c r="F97" s="1">
        <v>45982.696701388886</v>
      </c>
      <c r="G97" s="25">
        <f>VLOOKUP(Base_données[Code],Stock_Magasin[],4,0)</f>
        <v>4000</v>
      </c>
      <c r="H97" s="25">
        <f>Base_données[[#This Row],[Quantité]]*Base_données[[#This Row],[Coût d''Achat Unitaire TTC]]</f>
        <v>20000</v>
      </c>
      <c r="I97" s="14">
        <f t="shared" ref="I97:I102" si="4">INT(F97)</f>
        <v>45982</v>
      </c>
    </row>
    <row r="98" spans="1:9" x14ac:dyDescent="0.25">
      <c r="A98" s="4">
        <v>1000003</v>
      </c>
      <c r="B98" s="29" t="s">
        <v>30</v>
      </c>
      <c r="C98" s="30">
        <v>3</v>
      </c>
      <c r="D98" s="32">
        <v>500</v>
      </c>
      <c r="E98" s="32">
        <v>1500</v>
      </c>
      <c r="F98" s="1">
        <v>45982.696701388886</v>
      </c>
      <c r="G98" s="25">
        <f>VLOOKUP(Base_données[Code],Stock_Magasin[],4,0)</f>
        <v>400</v>
      </c>
      <c r="H98" s="25">
        <f>Base_données[[#This Row],[Quantité]]*Base_données[[#This Row],[Coût d''Achat Unitaire TTC]]</f>
        <v>1200</v>
      </c>
      <c r="I98" s="14">
        <f t="shared" si="4"/>
        <v>45982</v>
      </c>
    </row>
    <row r="99" spans="1:9" ht="15" customHeight="1" x14ac:dyDescent="0.25">
      <c r="A99" s="4">
        <v>1000001</v>
      </c>
      <c r="B99" s="29" t="s">
        <v>47</v>
      </c>
      <c r="C99" s="30">
        <v>2</v>
      </c>
      <c r="D99" s="32">
        <v>1250</v>
      </c>
      <c r="E99" s="32">
        <v>2500</v>
      </c>
      <c r="F99" s="1">
        <v>45982.696701388886</v>
      </c>
      <c r="G99" s="25">
        <f>VLOOKUP(Base_données[Code],Stock_Magasin[],4,0)</f>
        <v>1000</v>
      </c>
      <c r="H99" s="25">
        <f>Base_données[[#This Row],[Quantité]]*Base_données[[#This Row],[Coût d''Achat Unitaire TTC]]</f>
        <v>2000</v>
      </c>
      <c r="I99" s="14">
        <f t="shared" si="4"/>
        <v>45982</v>
      </c>
    </row>
    <row r="100" spans="1:9" ht="15" customHeight="1" x14ac:dyDescent="0.25">
      <c r="A100" s="4">
        <v>1000035</v>
      </c>
      <c r="B100" s="29" t="s">
        <v>121</v>
      </c>
      <c r="C100" s="30">
        <v>1</v>
      </c>
      <c r="D100" s="32">
        <v>31250</v>
      </c>
      <c r="E100" s="32">
        <v>31250</v>
      </c>
      <c r="F100" s="1">
        <v>45982.698136574072</v>
      </c>
      <c r="G100" s="25">
        <f>VLOOKUP(Base_données[Code],Stock_Magasin[],4,0)</f>
        <v>25000</v>
      </c>
      <c r="H100" s="25">
        <f>Base_données[[#This Row],[Quantité]]*Base_données[[#This Row],[Coût d''Achat Unitaire TTC]]</f>
        <v>25000</v>
      </c>
      <c r="I100" s="14">
        <f t="shared" si="4"/>
        <v>45982</v>
      </c>
    </row>
    <row r="101" spans="1:9" ht="15" customHeight="1" x14ac:dyDescent="0.25">
      <c r="A101" s="4">
        <v>1000034</v>
      </c>
      <c r="B101" s="29" t="s">
        <v>120</v>
      </c>
      <c r="C101" s="30">
        <v>1</v>
      </c>
      <c r="D101" s="32">
        <v>31250</v>
      </c>
      <c r="E101" s="32">
        <v>31250</v>
      </c>
      <c r="F101" s="1">
        <v>45982.698136574072</v>
      </c>
      <c r="G101" s="25">
        <f>VLOOKUP(Base_données[Code],Stock_Magasin[],4,0)</f>
        <v>25000</v>
      </c>
      <c r="H101" s="25">
        <f>Base_données[[#This Row],[Quantité]]*Base_données[[#This Row],[Coût d''Achat Unitaire TTC]]</f>
        <v>25000</v>
      </c>
      <c r="I101" s="14">
        <f t="shared" si="4"/>
        <v>45982</v>
      </c>
    </row>
    <row r="102" spans="1:9" ht="15" customHeight="1" x14ac:dyDescent="0.25">
      <c r="A102" s="4">
        <v>1000022</v>
      </c>
      <c r="B102" s="29" t="s">
        <v>80</v>
      </c>
      <c r="C102" s="30">
        <v>2</v>
      </c>
      <c r="D102" s="32">
        <v>750</v>
      </c>
      <c r="E102" s="32">
        <v>1500</v>
      </c>
      <c r="F102" s="1">
        <v>45982.720416666663</v>
      </c>
      <c r="G102" s="25">
        <f>VLOOKUP(Base_données[Code],Stock_Magasin[],4,0)</f>
        <v>600</v>
      </c>
      <c r="H102" s="25">
        <f>Base_données[[#This Row],[Quantité]]*Base_données[[#This Row],[Coût d''Achat Unitaire TTC]]</f>
        <v>1200</v>
      </c>
      <c r="I102" s="14">
        <f t="shared" si="4"/>
        <v>45982</v>
      </c>
    </row>
    <row r="103" spans="1:9" ht="15" customHeight="1" x14ac:dyDescent="0.25">
      <c r="A103" s="4">
        <v>1000001</v>
      </c>
      <c r="B103" s="29" t="s">
        <v>47</v>
      </c>
      <c r="C103" s="30">
        <v>12</v>
      </c>
      <c r="D103" s="32">
        <v>1250</v>
      </c>
      <c r="E103" s="32">
        <v>15000</v>
      </c>
      <c r="F103" s="1">
        <v>45982.751736111109</v>
      </c>
      <c r="G103" s="25">
        <f>VLOOKUP(Base_données[Code],Stock_Magasin[],4,0)</f>
        <v>1000</v>
      </c>
      <c r="H103" s="25">
        <f>Base_données[[#This Row],[Quantité]]*Base_données[[#This Row],[Coût d''Achat Unitaire TTC]]</f>
        <v>12000</v>
      </c>
      <c r="I103" s="14">
        <f t="shared" ref="I103:I123" si="5">INT(F103)</f>
        <v>45982</v>
      </c>
    </row>
    <row r="104" spans="1:9" ht="15" customHeight="1" x14ac:dyDescent="0.25">
      <c r="A104" s="4">
        <v>1000019</v>
      </c>
      <c r="B104" s="29" t="s">
        <v>77</v>
      </c>
      <c r="C104" s="30">
        <v>12</v>
      </c>
      <c r="D104" s="32">
        <v>1500</v>
      </c>
      <c r="E104" s="32">
        <v>18000</v>
      </c>
      <c r="F104" s="1">
        <v>45983.73945601852</v>
      </c>
      <c r="G104" s="25">
        <f>VLOOKUP(Base_données[Code],Stock_Magasin[],4,0)</f>
        <v>1200</v>
      </c>
      <c r="H104" s="25">
        <f>Base_données[[#This Row],[Quantité]]*Base_données[[#This Row],[Coût d''Achat Unitaire TTC]]</f>
        <v>14400</v>
      </c>
      <c r="I104" s="14">
        <f t="shared" si="5"/>
        <v>45983</v>
      </c>
    </row>
    <row r="105" spans="1:9" ht="15" customHeight="1" x14ac:dyDescent="0.25">
      <c r="A105" s="4">
        <v>1000025</v>
      </c>
      <c r="B105" s="29" t="s">
        <v>83</v>
      </c>
      <c r="C105" s="30">
        <v>5</v>
      </c>
      <c r="D105" s="32">
        <v>500</v>
      </c>
      <c r="E105" s="32">
        <v>2500</v>
      </c>
      <c r="F105" s="1">
        <v>45983.740451388891</v>
      </c>
      <c r="G105" s="25">
        <f>VLOOKUP(Base_données[Code],Stock_Magasin[],4,0)</f>
        <v>400</v>
      </c>
      <c r="H105" s="25">
        <f>Base_données[[#This Row],[Quantité]]*Base_données[[#This Row],[Coût d''Achat Unitaire TTC]]</f>
        <v>2000</v>
      </c>
      <c r="I105" s="14">
        <f t="shared" si="5"/>
        <v>45983</v>
      </c>
    </row>
    <row r="106" spans="1:9" ht="15" customHeight="1" x14ac:dyDescent="0.25">
      <c r="A106" s="4">
        <v>1000029</v>
      </c>
      <c r="B106" s="29" t="s">
        <v>115</v>
      </c>
      <c r="C106" s="30">
        <v>3</v>
      </c>
      <c r="D106" s="32">
        <v>1125</v>
      </c>
      <c r="E106" s="32">
        <v>3375</v>
      </c>
      <c r="F106" s="1">
        <v>45983.741342592592</v>
      </c>
      <c r="G106" s="25">
        <f>VLOOKUP(Base_données[Code],Stock_Magasin[],4,0)</f>
        <v>900</v>
      </c>
      <c r="H106" s="25">
        <f>Base_données[[#This Row],[Quantité]]*Base_données[[#This Row],[Coût d''Achat Unitaire TTC]]</f>
        <v>2700</v>
      </c>
      <c r="I106" s="14">
        <f t="shared" si="5"/>
        <v>45983</v>
      </c>
    </row>
    <row r="107" spans="1:9" ht="15" customHeight="1" x14ac:dyDescent="0.25">
      <c r="A107" s="4">
        <v>1000030</v>
      </c>
      <c r="B107" s="29" t="s">
        <v>116</v>
      </c>
      <c r="C107" s="30">
        <v>7</v>
      </c>
      <c r="D107" s="32">
        <v>500</v>
      </c>
      <c r="E107" s="32">
        <v>3500</v>
      </c>
      <c r="F107" s="1">
        <v>45983.741342592592</v>
      </c>
      <c r="G107" s="25">
        <f>VLOOKUP(Base_données[Code],Stock_Magasin[],4,0)</f>
        <v>400</v>
      </c>
      <c r="H107" s="25">
        <f>Base_données[[#This Row],[Quantité]]*Base_données[[#This Row],[Coût d''Achat Unitaire TTC]]</f>
        <v>2800</v>
      </c>
      <c r="I107" s="14">
        <f t="shared" si="5"/>
        <v>45983</v>
      </c>
    </row>
    <row r="108" spans="1:9" ht="15" customHeight="1" x14ac:dyDescent="0.25">
      <c r="A108" s="4">
        <v>1000039</v>
      </c>
      <c r="B108" s="29" t="s">
        <v>125</v>
      </c>
      <c r="C108" s="30">
        <v>14</v>
      </c>
      <c r="D108" s="32">
        <v>1250</v>
      </c>
      <c r="E108" s="32">
        <v>17500</v>
      </c>
      <c r="F108" s="1">
        <v>45983.741342592592</v>
      </c>
      <c r="G108" s="25">
        <f>VLOOKUP(Base_données[Code],Stock_Magasin[],4,0)</f>
        <v>1000</v>
      </c>
      <c r="H108" s="25">
        <f>Base_données[[#This Row],[Quantité]]*Base_données[[#This Row],[Coût d''Achat Unitaire TTC]]</f>
        <v>14000</v>
      </c>
      <c r="I108" s="14">
        <f t="shared" si="5"/>
        <v>45983</v>
      </c>
    </row>
    <row r="109" spans="1:9" ht="15" customHeight="1" x14ac:dyDescent="0.25">
      <c r="A109" s="4">
        <v>1000032</v>
      </c>
      <c r="B109" s="29" t="s">
        <v>118</v>
      </c>
      <c r="C109" s="30">
        <v>1</v>
      </c>
      <c r="D109" s="32">
        <v>500</v>
      </c>
      <c r="E109" s="32">
        <v>500</v>
      </c>
      <c r="F109" s="1">
        <v>45983.742210648146</v>
      </c>
      <c r="G109" s="25">
        <f>VLOOKUP(Base_données[Code],Stock_Magasin[],4,0)</f>
        <v>400</v>
      </c>
      <c r="H109" s="25">
        <f>Base_données[[#This Row],[Quantité]]*Base_données[[#This Row],[Coût d''Achat Unitaire TTC]]</f>
        <v>400</v>
      </c>
      <c r="I109" s="14">
        <f t="shared" si="5"/>
        <v>45983</v>
      </c>
    </row>
    <row r="110" spans="1:9" ht="15" customHeight="1" x14ac:dyDescent="0.25">
      <c r="A110" s="4">
        <v>1000033</v>
      </c>
      <c r="B110" s="29" t="s">
        <v>119</v>
      </c>
      <c r="C110" s="30">
        <v>9</v>
      </c>
      <c r="D110" s="32">
        <v>500</v>
      </c>
      <c r="E110" s="32">
        <v>4500</v>
      </c>
      <c r="F110" s="1">
        <v>45983.742210648146</v>
      </c>
      <c r="G110" s="25">
        <f>VLOOKUP(Base_données[Code],Stock_Magasin[],4,0)</f>
        <v>400</v>
      </c>
      <c r="H110" s="25">
        <f>Base_données[[#This Row],[Quantité]]*Base_données[[#This Row],[Coût d''Achat Unitaire TTC]]</f>
        <v>3600</v>
      </c>
      <c r="I110" s="14">
        <f t="shared" si="5"/>
        <v>45983</v>
      </c>
    </row>
    <row r="111" spans="1:9" ht="15" customHeight="1" x14ac:dyDescent="0.25">
      <c r="A111" s="4">
        <v>1000041</v>
      </c>
      <c r="B111" s="29" t="s">
        <v>126</v>
      </c>
      <c r="C111" s="30">
        <v>2</v>
      </c>
      <c r="D111" s="32">
        <v>1250</v>
      </c>
      <c r="E111" s="32">
        <v>2500</v>
      </c>
      <c r="F111" s="1">
        <v>45983.74359953704</v>
      </c>
      <c r="G111" s="25">
        <f>VLOOKUP(Base_données[Code],Stock_Magasin[],4,0)</f>
        <v>1000</v>
      </c>
      <c r="H111" s="25">
        <f>Base_données[[#This Row],[Quantité]]*Base_données[[#This Row],[Coût d''Achat Unitaire TTC]]</f>
        <v>2000</v>
      </c>
      <c r="I111" s="14">
        <f t="shared" si="5"/>
        <v>45983</v>
      </c>
    </row>
    <row r="112" spans="1:9" ht="15" customHeight="1" x14ac:dyDescent="0.25">
      <c r="A112" s="4">
        <v>1000042</v>
      </c>
      <c r="B112" s="29" t="s">
        <v>127</v>
      </c>
      <c r="C112" s="30">
        <v>17</v>
      </c>
      <c r="D112" s="32">
        <v>1250</v>
      </c>
      <c r="E112" s="32">
        <v>21250</v>
      </c>
      <c r="F112" s="1">
        <v>45983.74359953704</v>
      </c>
      <c r="G112" s="25">
        <f>VLOOKUP(Base_données[Code],Stock_Magasin[],4,0)</f>
        <v>1000</v>
      </c>
      <c r="H112" s="25">
        <f>Base_données[[#This Row],[Quantité]]*Base_données[[#This Row],[Coût d''Achat Unitaire TTC]]</f>
        <v>17000</v>
      </c>
      <c r="I112" s="14">
        <f t="shared" si="5"/>
        <v>45983</v>
      </c>
    </row>
    <row r="113" spans="1:9" ht="15" customHeight="1" x14ac:dyDescent="0.25">
      <c r="A113" s="4">
        <v>1000044</v>
      </c>
      <c r="B113" s="29" t="s">
        <v>129</v>
      </c>
      <c r="C113" s="30">
        <v>1</v>
      </c>
      <c r="D113" s="32">
        <v>1875</v>
      </c>
      <c r="E113" s="32">
        <v>1875</v>
      </c>
      <c r="F113" s="1">
        <v>45983.744756944441</v>
      </c>
      <c r="G113" s="25">
        <f>VLOOKUP(Base_données[Code],Stock_Magasin[],4,0)</f>
        <v>1500</v>
      </c>
      <c r="H113" s="25">
        <f>Base_données[[#This Row],[Quantité]]*Base_données[[#This Row],[Coût d''Achat Unitaire TTC]]</f>
        <v>1500</v>
      </c>
      <c r="I113" s="14">
        <f t="shared" si="5"/>
        <v>45983</v>
      </c>
    </row>
    <row r="114" spans="1:9" ht="15" customHeight="1" x14ac:dyDescent="0.25">
      <c r="A114" s="4">
        <v>1000040</v>
      </c>
      <c r="B114" s="29" t="s">
        <v>138</v>
      </c>
      <c r="C114" s="30">
        <v>1</v>
      </c>
      <c r="D114" s="32">
        <v>1250</v>
      </c>
      <c r="E114" s="32">
        <v>1250</v>
      </c>
      <c r="F114" s="1">
        <v>45983.744756944441</v>
      </c>
      <c r="G114" s="25">
        <f>VLOOKUP(Base_données[Code],Stock_Magasin[],4,0)</f>
        <v>1000</v>
      </c>
      <c r="H114" s="25">
        <f>Base_données[[#This Row],[Quantité]]*Base_données[[#This Row],[Coût d''Achat Unitaire TTC]]</f>
        <v>1000</v>
      </c>
      <c r="I114" s="14">
        <f t="shared" si="5"/>
        <v>45983</v>
      </c>
    </row>
    <row r="115" spans="1:9" ht="15" customHeight="1" x14ac:dyDescent="0.25">
      <c r="A115" s="4">
        <v>1000046</v>
      </c>
      <c r="B115" s="29" t="s">
        <v>131</v>
      </c>
      <c r="C115" s="30">
        <v>1</v>
      </c>
      <c r="D115" s="32">
        <v>500</v>
      </c>
      <c r="E115" s="32">
        <v>500</v>
      </c>
      <c r="F115" s="1">
        <v>45983.744756944441</v>
      </c>
      <c r="G115" s="25">
        <f>VLOOKUP(Base_données[Code],Stock_Magasin[],4,0)</f>
        <v>400</v>
      </c>
      <c r="H115" s="25">
        <f>Base_données[[#This Row],[Quantité]]*Base_données[[#This Row],[Coût d''Achat Unitaire TTC]]</f>
        <v>400</v>
      </c>
      <c r="I115" s="14">
        <f t="shared" si="5"/>
        <v>45983</v>
      </c>
    </row>
    <row r="116" spans="1:9" ht="15" customHeight="1" x14ac:dyDescent="0.25">
      <c r="A116" s="4">
        <v>1000048</v>
      </c>
      <c r="B116" s="29" t="s">
        <v>144</v>
      </c>
      <c r="C116" s="30">
        <v>1</v>
      </c>
      <c r="D116" s="32">
        <v>1250</v>
      </c>
      <c r="E116" s="32">
        <v>1250</v>
      </c>
      <c r="F116" s="1">
        <v>45983.744756944441</v>
      </c>
      <c r="G116" s="25">
        <f>VLOOKUP(Base_données[Code],Stock_Magasin[],4,0)</f>
        <v>1000</v>
      </c>
      <c r="H116" s="25">
        <f>Base_données[[#This Row],[Quantité]]*Base_données[[#This Row],[Coût d''Achat Unitaire TTC]]</f>
        <v>1000</v>
      </c>
      <c r="I116" s="14">
        <f t="shared" si="5"/>
        <v>45983</v>
      </c>
    </row>
    <row r="117" spans="1:9" ht="15" customHeight="1" x14ac:dyDescent="0.25">
      <c r="A117" s="4">
        <v>1000024</v>
      </c>
      <c r="B117" s="29" t="s">
        <v>82</v>
      </c>
      <c r="C117" s="30">
        <v>2</v>
      </c>
      <c r="D117" s="32">
        <v>750</v>
      </c>
      <c r="E117" s="32">
        <v>1500</v>
      </c>
      <c r="F117" s="1">
        <v>45983.744756944441</v>
      </c>
      <c r="G117" s="25">
        <f>VLOOKUP(Base_données[Code],Stock_Magasin[],4,0)</f>
        <v>600</v>
      </c>
      <c r="H117" s="25">
        <f>Base_données[[#This Row],[Quantité]]*Base_données[[#This Row],[Coût d''Achat Unitaire TTC]]</f>
        <v>1200</v>
      </c>
      <c r="I117" s="14">
        <f t="shared" si="5"/>
        <v>45983</v>
      </c>
    </row>
    <row r="118" spans="1:9" ht="15" customHeight="1" x14ac:dyDescent="0.25">
      <c r="A118" s="4">
        <v>1000024</v>
      </c>
      <c r="B118" s="29" t="s">
        <v>82</v>
      </c>
      <c r="C118" s="30">
        <v>6</v>
      </c>
      <c r="D118" s="32">
        <v>750</v>
      </c>
      <c r="E118" s="32">
        <v>4500</v>
      </c>
      <c r="F118" s="1">
        <v>45983.744756944441</v>
      </c>
      <c r="G118" s="25">
        <f>VLOOKUP(Base_données[Code],Stock_Magasin[],4,0)</f>
        <v>600</v>
      </c>
      <c r="H118" s="25">
        <f>Base_données[[#This Row],[Quantité]]*Base_données[[#This Row],[Coût d''Achat Unitaire TTC]]</f>
        <v>3600</v>
      </c>
      <c r="I118" s="14">
        <f t="shared" si="5"/>
        <v>45983</v>
      </c>
    </row>
    <row r="119" spans="1:9" ht="15" customHeight="1" x14ac:dyDescent="0.25">
      <c r="A119" s="4">
        <v>1000052</v>
      </c>
      <c r="B119" s="29" t="s">
        <v>137</v>
      </c>
      <c r="C119" s="30">
        <v>2</v>
      </c>
      <c r="D119" s="32">
        <v>1500</v>
      </c>
      <c r="E119" s="32">
        <v>3000</v>
      </c>
      <c r="F119" s="1">
        <v>45983.749108796299</v>
      </c>
      <c r="G119" s="25">
        <f>VLOOKUP(Base_données[Code],Stock_Magasin[],4,0)</f>
        <v>1200</v>
      </c>
      <c r="H119" s="25">
        <f>Base_données[[#This Row],[Quantité]]*Base_données[[#This Row],[Coût d''Achat Unitaire TTC]]</f>
        <v>2400</v>
      </c>
      <c r="I119" s="14">
        <f t="shared" si="5"/>
        <v>45983</v>
      </c>
    </row>
    <row r="120" spans="1:9" ht="15" customHeight="1" x14ac:dyDescent="0.25">
      <c r="A120" s="4">
        <v>1000049</v>
      </c>
      <c r="B120" s="29" t="s">
        <v>134</v>
      </c>
      <c r="C120" s="30">
        <v>1</v>
      </c>
      <c r="D120" s="32">
        <v>1250</v>
      </c>
      <c r="E120" s="32">
        <v>1250</v>
      </c>
      <c r="F120" s="1">
        <v>45983.749108796299</v>
      </c>
      <c r="G120" s="25">
        <f>VLOOKUP(Base_données[Code],Stock_Magasin[],4,0)</f>
        <v>1000</v>
      </c>
      <c r="H120" s="25">
        <f>Base_données[[#This Row],[Quantité]]*Base_données[[#This Row],[Coût d''Achat Unitaire TTC]]</f>
        <v>1000</v>
      </c>
      <c r="I120" s="14">
        <f t="shared" si="5"/>
        <v>45983</v>
      </c>
    </row>
    <row r="121" spans="1:9" ht="15" customHeight="1" x14ac:dyDescent="0.25">
      <c r="A121" s="4">
        <v>1000050</v>
      </c>
      <c r="B121" s="29" t="s">
        <v>135</v>
      </c>
      <c r="C121" s="30">
        <v>1</v>
      </c>
      <c r="D121" s="32">
        <v>1250</v>
      </c>
      <c r="E121" s="32">
        <v>1250</v>
      </c>
      <c r="F121" s="1">
        <v>45983.749108796299</v>
      </c>
      <c r="G121" s="25">
        <f>VLOOKUP(Base_données[Code],Stock_Magasin[],4,0)</f>
        <v>1000</v>
      </c>
      <c r="H121" s="25">
        <f>Base_données[[#This Row],[Quantité]]*Base_données[[#This Row],[Coût d''Achat Unitaire TTC]]</f>
        <v>1000</v>
      </c>
      <c r="I121" s="14">
        <f t="shared" si="5"/>
        <v>45983</v>
      </c>
    </row>
    <row r="122" spans="1:9" ht="15" customHeight="1" x14ac:dyDescent="0.25">
      <c r="A122" s="4">
        <v>1000045</v>
      </c>
      <c r="B122" s="29" t="s">
        <v>130</v>
      </c>
      <c r="C122" s="30">
        <v>4</v>
      </c>
      <c r="D122" s="32">
        <v>500</v>
      </c>
      <c r="E122" s="32">
        <v>2000</v>
      </c>
      <c r="F122" s="1">
        <v>45983.749421296299</v>
      </c>
      <c r="G122" s="25">
        <f>VLOOKUP(Base_données[Code],Stock_Magasin[],4,0)</f>
        <v>400</v>
      </c>
      <c r="H122" s="25">
        <f>Base_données[[#This Row],[Quantité]]*Base_données[[#This Row],[Coût d''Achat Unitaire TTC]]</f>
        <v>1600</v>
      </c>
      <c r="I122" s="14">
        <f t="shared" si="5"/>
        <v>45983</v>
      </c>
    </row>
    <row r="123" spans="1:9" ht="15" customHeight="1" x14ac:dyDescent="0.25">
      <c r="A123" s="4">
        <v>1000035</v>
      </c>
      <c r="B123" s="29" t="s">
        <v>121</v>
      </c>
      <c r="C123" s="30">
        <v>2</v>
      </c>
      <c r="D123" s="32">
        <v>31250</v>
      </c>
      <c r="E123" s="32">
        <v>62500</v>
      </c>
      <c r="F123" s="1">
        <v>45983.756458333337</v>
      </c>
      <c r="G123" s="25">
        <f>VLOOKUP(Base_données[Code],Stock_Magasin[],4,0)</f>
        <v>25000</v>
      </c>
      <c r="H123" s="25">
        <f>Base_données[[#This Row],[Quantité]]*Base_données[[#This Row],[Coût d''Achat Unitaire TTC]]</f>
        <v>50000</v>
      </c>
      <c r="I123" s="14">
        <f t="shared" si="5"/>
        <v>45983</v>
      </c>
    </row>
    <row r="124" spans="1:9" ht="15" customHeight="1" x14ac:dyDescent="0.25">
      <c r="A124" s="4">
        <v>1000053</v>
      </c>
      <c r="B124" s="29" t="s">
        <v>146</v>
      </c>
      <c r="C124" s="30">
        <v>2</v>
      </c>
      <c r="D124" s="32">
        <v>500</v>
      </c>
      <c r="E124" s="32">
        <v>1000</v>
      </c>
      <c r="F124" s="1">
        <v>45984.398032407407</v>
      </c>
      <c r="G124" s="25">
        <f>VLOOKUP(Base_données[Code],Stock_Magasin[],4,0)</f>
        <v>400</v>
      </c>
      <c r="H124" s="25">
        <f>Base_données[[#This Row],[Quantité]]*Base_données[[#This Row],[Coût d''Achat Unitaire TTC]]</f>
        <v>800</v>
      </c>
      <c r="I124" s="14">
        <f t="shared" ref="I124:I129" si="6">INT(F124)</f>
        <v>45984</v>
      </c>
    </row>
    <row r="125" spans="1:9" ht="15" customHeight="1" x14ac:dyDescent="0.25">
      <c r="A125" s="4">
        <v>1000053</v>
      </c>
      <c r="B125" s="29" t="s">
        <v>146</v>
      </c>
      <c r="C125" s="30">
        <v>8</v>
      </c>
      <c r="D125" s="32">
        <v>500</v>
      </c>
      <c r="E125" s="32">
        <v>4000</v>
      </c>
      <c r="F125" s="1">
        <v>45984.3984375</v>
      </c>
      <c r="G125" s="25">
        <f>VLOOKUP(Base_données[Code],Stock_Magasin[],4,0)</f>
        <v>400</v>
      </c>
      <c r="H125" s="25">
        <f>Base_données[[#This Row],[Quantité]]*Base_données[[#This Row],[Coût d''Achat Unitaire TTC]]</f>
        <v>3200</v>
      </c>
      <c r="I125" s="14">
        <f t="shared" si="6"/>
        <v>45984</v>
      </c>
    </row>
    <row r="126" spans="1:9" ht="15" customHeight="1" x14ac:dyDescent="0.25">
      <c r="A126" s="4">
        <v>1000054</v>
      </c>
      <c r="B126" s="29" t="s">
        <v>148</v>
      </c>
      <c r="C126" s="30">
        <v>7</v>
      </c>
      <c r="D126" s="32">
        <v>500</v>
      </c>
      <c r="E126" s="32">
        <v>3500</v>
      </c>
      <c r="F126" s="1">
        <v>45984.402326388888</v>
      </c>
      <c r="G126" s="25">
        <f>VLOOKUP(Base_données[Code],Stock_Magasin[],4,0)</f>
        <v>400</v>
      </c>
      <c r="H126" s="25">
        <f>Base_données[[#This Row],[Quantité]]*Base_données[[#This Row],[Coût d''Achat Unitaire TTC]]</f>
        <v>2800</v>
      </c>
      <c r="I126" s="14">
        <f t="shared" si="6"/>
        <v>45984</v>
      </c>
    </row>
    <row r="127" spans="1:9" ht="15" customHeight="1" x14ac:dyDescent="0.25">
      <c r="A127" s="4">
        <v>1000014</v>
      </c>
      <c r="B127" s="29" t="s">
        <v>44</v>
      </c>
      <c r="C127" s="30">
        <v>4</v>
      </c>
      <c r="D127" s="32">
        <v>43750</v>
      </c>
      <c r="E127" s="32">
        <v>175000</v>
      </c>
      <c r="F127" s="1">
        <v>45984.403067129628</v>
      </c>
      <c r="G127" s="25">
        <f>VLOOKUP(Base_données[Code],Stock_Magasin[],4,0)</f>
        <v>35000</v>
      </c>
      <c r="H127" s="25">
        <f>Base_données[[#This Row],[Quantité]]*Base_données[[#This Row],[Coût d''Achat Unitaire TTC]]</f>
        <v>140000</v>
      </c>
      <c r="I127" s="14">
        <f t="shared" si="6"/>
        <v>45984</v>
      </c>
    </row>
    <row r="128" spans="1:9" ht="15" customHeight="1" x14ac:dyDescent="0.25">
      <c r="A128" s="4">
        <v>1000054</v>
      </c>
      <c r="B128" s="29" t="s">
        <v>148</v>
      </c>
      <c r="C128" s="30">
        <v>13</v>
      </c>
      <c r="D128" s="32">
        <v>500</v>
      </c>
      <c r="E128" s="32">
        <v>6500</v>
      </c>
      <c r="F128" s="1">
        <v>45984.40357638889</v>
      </c>
      <c r="G128" s="25">
        <f>VLOOKUP(Base_données[Code],Stock_Magasin[],4,0)</f>
        <v>400</v>
      </c>
      <c r="H128" s="25">
        <f>Base_données[[#This Row],[Quantité]]*Base_données[[#This Row],[Coût d''Achat Unitaire TTC]]</f>
        <v>5200</v>
      </c>
      <c r="I128" s="14">
        <f t="shared" si="6"/>
        <v>45984</v>
      </c>
    </row>
    <row r="129" spans="1:9" ht="15" customHeight="1" x14ac:dyDescent="0.25">
      <c r="A129" s="4">
        <v>1000054</v>
      </c>
      <c r="B129" s="29" t="s">
        <v>148</v>
      </c>
      <c r="C129" s="30">
        <v>2</v>
      </c>
      <c r="D129" s="32">
        <v>500</v>
      </c>
      <c r="E129" s="32">
        <v>1000</v>
      </c>
      <c r="F129" s="1">
        <v>45984.403923611113</v>
      </c>
      <c r="G129" s="25">
        <f>VLOOKUP(Base_données[Code],Stock_Magasin[],4,0)</f>
        <v>400</v>
      </c>
      <c r="H129" s="25">
        <f>Base_données[[#This Row],[Quantité]]*Base_données[[#This Row],[Coût d''Achat Unitaire TTC]]</f>
        <v>800</v>
      </c>
      <c r="I129" s="14">
        <f t="shared" si="6"/>
        <v>45984</v>
      </c>
    </row>
    <row r="130" spans="1:9" x14ac:dyDescent="0.25">
      <c r="A130" s="4">
        <v>1000003</v>
      </c>
      <c r="B130" s="29" t="s">
        <v>30</v>
      </c>
      <c r="C130" s="30">
        <v>1</v>
      </c>
      <c r="D130" s="32">
        <v>500</v>
      </c>
      <c r="E130" s="32">
        <v>500</v>
      </c>
      <c r="F130" s="1">
        <v>45984.683715277781</v>
      </c>
      <c r="G130" s="25">
        <f>VLOOKUP(Base_données[Code],Stock_Magasin[],4,0)</f>
        <v>400</v>
      </c>
      <c r="H130" s="25">
        <f>Base_données[[#This Row],[Quantité]]*Base_données[[#This Row],[Coût d''Achat Unitaire TTC]]</f>
        <v>400</v>
      </c>
      <c r="I130" s="14">
        <f t="shared" ref="I130:I142" si="7">INT(F130)</f>
        <v>45984</v>
      </c>
    </row>
    <row r="131" spans="1:9" ht="15" customHeight="1" x14ac:dyDescent="0.25">
      <c r="A131" s="4">
        <v>1000020</v>
      </c>
      <c r="B131" s="29" t="s">
        <v>78</v>
      </c>
      <c r="C131" s="30">
        <v>27</v>
      </c>
      <c r="D131" s="32">
        <v>250</v>
      </c>
      <c r="E131" s="32">
        <v>6750</v>
      </c>
      <c r="F131" s="1">
        <v>45985.417430555557</v>
      </c>
      <c r="G131" s="25">
        <f>VLOOKUP(Base_données[Code],Stock_Magasin[],4,0)</f>
        <v>200</v>
      </c>
      <c r="H131" s="25">
        <f>Base_données[[#This Row],[Quantité]]*Base_données[[#This Row],[Coût d''Achat Unitaire TTC]]</f>
        <v>5400</v>
      </c>
      <c r="I131" s="14">
        <f t="shared" si="7"/>
        <v>45985</v>
      </c>
    </row>
    <row r="132" spans="1:9" ht="15" customHeight="1" x14ac:dyDescent="0.25">
      <c r="A132" s="4">
        <v>1000014</v>
      </c>
      <c r="B132" s="29" t="s">
        <v>44</v>
      </c>
      <c r="C132" s="30">
        <v>2</v>
      </c>
      <c r="D132" s="32">
        <v>43750</v>
      </c>
      <c r="E132" s="32">
        <v>87500</v>
      </c>
      <c r="F132" s="1">
        <v>45985.417430555557</v>
      </c>
      <c r="G132" s="25">
        <f>VLOOKUP(Base_données[Code],Stock_Magasin[],4,0)</f>
        <v>35000</v>
      </c>
      <c r="H132" s="25">
        <f>Base_données[[#This Row],[Quantité]]*Base_données[[#This Row],[Coût d''Achat Unitaire TTC]]</f>
        <v>70000</v>
      </c>
      <c r="I132" s="14">
        <f t="shared" si="7"/>
        <v>45985</v>
      </c>
    </row>
    <row r="133" spans="1:9" ht="15" customHeight="1" x14ac:dyDescent="0.25">
      <c r="A133" s="4">
        <v>1000034</v>
      </c>
      <c r="B133" s="29" t="s">
        <v>120</v>
      </c>
      <c r="C133" s="30">
        <v>2</v>
      </c>
      <c r="D133" s="32">
        <v>31250</v>
      </c>
      <c r="E133" s="32">
        <v>62500</v>
      </c>
      <c r="F133" s="1">
        <v>45985.417430555557</v>
      </c>
      <c r="G133" s="25">
        <f>VLOOKUP(Base_données[Code],Stock_Magasin[],4,0)</f>
        <v>25000</v>
      </c>
      <c r="H133" s="25">
        <f>Base_données[[#This Row],[Quantité]]*Base_données[[#This Row],[Coût d''Achat Unitaire TTC]]</f>
        <v>50000</v>
      </c>
      <c r="I133" s="14">
        <f t="shared" si="7"/>
        <v>45985</v>
      </c>
    </row>
    <row r="134" spans="1:9" x14ac:dyDescent="0.25">
      <c r="A134" s="4">
        <v>1000003</v>
      </c>
      <c r="B134" s="29" t="s">
        <v>30</v>
      </c>
      <c r="C134" s="30">
        <v>2</v>
      </c>
      <c r="D134" s="32">
        <v>500</v>
      </c>
      <c r="E134" s="32">
        <v>1000</v>
      </c>
      <c r="F134" s="1">
        <v>45985.426805555559</v>
      </c>
      <c r="G134" s="25">
        <f>VLOOKUP(Base_données[Code],Stock_Magasin[],4,0)</f>
        <v>400</v>
      </c>
      <c r="H134" s="25">
        <f>Base_données[[#This Row],[Quantité]]*Base_données[[#This Row],[Coût d''Achat Unitaire TTC]]</f>
        <v>800</v>
      </c>
      <c r="I134" s="14">
        <f t="shared" si="7"/>
        <v>45985</v>
      </c>
    </row>
    <row r="135" spans="1:9" ht="15" customHeight="1" x14ac:dyDescent="0.25">
      <c r="A135" s="4">
        <v>1000023</v>
      </c>
      <c r="B135" s="29" t="s">
        <v>81</v>
      </c>
      <c r="C135" s="30">
        <v>1</v>
      </c>
      <c r="D135" s="32">
        <v>1500</v>
      </c>
      <c r="E135" s="32">
        <v>1500</v>
      </c>
      <c r="F135" s="1">
        <v>45985.426805555559</v>
      </c>
      <c r="G135" s="25">
        <f>VLOOKUP(Base_données[Code],Stock_Magasin[],4,0)</f>
        <v>1200</v>
      </c>
      <c r="H135" s="25">
        <f>Base_données[[#This Row],[Quantité]]*Base_données[[#This Row],[Coût d''Achat Unitaire TTC]]</f>
        <v>1200</v>
      </c>
      <c r="I135" s="14">
        <f t="shared" si="7"/>
        <v>45985</v>
      </c>
    </row>
    <row r="136" spans="1:9" ht="15" customHeight="1" x14ac:dyDescent="0.25">
      <c r="A136" s="4">
        <v>1000038</v>
      </c>
      <c r="B136" s="29" t="s">
        <v>124</v>
      </c>
      <c r="C136" s="30">
        <v>1</v>
      </c>
      <c r="D136" s="32">
        <v>1250</v>
      </c>
      <c r="E136" s="32">
        <v>1250</v>
      </c>
      <c r="F136" s="1">
        <v>45985.426805555559</v>
      </c>
      <c r="G136" s="25">
        <f>VLOOKUP(Base_données[Code],Stock_Magasin[],4,0)</f>
        <v>1000</v>
      </c>
      <c r="H136" s="25">
        <f>Base_données[[#This Row],[Quantité]]*Base_données[[#This Row],[Coût d''Achat Unitaire TTC]]</f>
        <v>1000</v>
      </c>
      <c r="I136" s="14">
        <f t="shared" si="7"/>
        <v>45985</v>
      </c>
    </row>
    <row r="137" spans="1:9" x14ac:dyDescent="0.25">
      <c r="A137" s="4">
        <v>1000003</v>
      </c>
      <c r="B137" s="29" t="s">
        <v>30</v>
      </c>
      <c r="C137" s="30">
        <v>2</v>
      </c>
      <c r="D137" s="32">
        <v>500</v>
      </c>
      <c r="E137" s="32">
        <v>1000</v>
      </c>
      <c r="F137" s="1">
        <v>45985.429039351853</v>
      </c>
      <c r="G137" s="25">
        <f>VLOOKUP(Base_données[Code],Stock_Magasin[],4,0)</f>
        <v>400</v>
      </c>
      <c r="H137" s="25">
        <f>Base_données[[#This Row],[Quantité]]*Base_données[[#This Row],[Coût d''Achat Unitaire TTC]]</f>
        <v>800</v>
      </c>
      <c r="I137" s="14">
        <f t="shared" si="7"/>
        <v>45985</v>
      </c>
    </row>
    <row r="138" spans="1:9" ht="15" customHeight="1" x14ac:dyDescent="0.25">
      <c r="A138" s="4">
        <v>1000038</v>
      </c>
      <c r="B138" s="29" t="s">
        <v>124</v>
      </c>
      <c r="C138" s="30">
        <v>1</v>
      </c>
      <c r="D138" s="32">
        <v>1250</v>
      </c>
      <c r="E138" s="32">
        <v>1250</v>
      </c>
      <c r="F138" s="1">
        <v>45985.429039351853</v>
      </c>
      <c r="G138" s="25">
        <f>VLOOKUP(Base_données[Code],Stock_Magasin[],4,0)</f>
        <v>1000</v>
      </c>
      <c r="H138" s="25">
        <f>Base_données[[#This Row],[Quantité]]*Base_données[[#This Row],[Coût d''Achat Unitaire TTC]]</f>
        <v>1000</v>
      </c>
      <c r="I138" s="14">
        <f t="shared" si="7"/>
        <v>45985</v>
      </c>
    </row>
    <row r="139" spans="1:9" ht="15" customHeight="1" x14ac:dyDescent="0.25">
      <c r="A139" s="4">
        <v>1000023</v>
      </c>
      <c r="B139" s="29" t="s">
        <v>81</v>
      </c>
      <c r="C139" s="30">
        <v>4</v>
      </c>
      <c r="D139" s="32">
        <v>1500</v>
      </c>
      <c r="E139" s="32">
        <v>6000</v>
      </c>
      <c r="F139" s="1">
        <v>45985.429039351853</v>
      </c>
      <c r="G139" s="25">
        <f>VLOOKUP(Base_données[Code],Stock_Magasin[],4,0)</f>
        <v>1200</v>
      </c>
      <c r="H139" s="25">
        <f>Base_données[[#This Row],[Quantité]]*Base_données[[#This Row],[Coût d''Achat Unitaire TTC]]</f>
        <v>4800</v>
      </c>
      <c r="I139" s="14">
        <f t="shared" si="7"/>
        <v>45985</v>
      </c>
    </row>
    <row r="140" spans="1:9" x14ac:dyDescent="0.25">
      <c r="A140" s="4">
        <v>1000003</v>
      </c>
      <c r="B140" s="29" t="s">
        <v>30</v>
      </c>
      <c r="C140" s="30">
        <v>2</v>
      </c>
      <c r="D140" s="32">
        <v>500</v>
      </c>
      <c r="E140" s="32">
        <v>1000</v>
      </c>
      <c r="F140" s="1">
        <v>45985.430532407408</v>
      </c>
      <c r="G140" s="25">
        <f>VLOOKUP(Base_données[Code],Stock_Magasin[],4,0)</f>
        <v>400</v>
      </c>
      <c r="H140" s="25">
        <f>Base_données[[#This Row],[Quantité]]*Base_données[[#This Row],[Coût d''Achat Unitaire TTC]]</f>
        <v>800</v>
      </c>
      <c r="I140" s="14">
        <f t="shared" si="7"/>
        <v>45985</v>
      </c>
    </row>
    <row r="141" spans="1:9" ht="15" customHeight="1" x14ac:dyDescent="0.25">
      <c r="A141" s="4">
        <v>1000023</v>
      </c>
      <c r="B141" s="29" t="s">
        <v>81</v>
      </c>
      <c r="C141" s="30">
        <v>4</v>
      </c>
      <c r="D141" s="32">
        <v>1500</v>
      </c>
      <c r="E141" s="32">
        <v>6000</v>
      </c>
      <c r="F141" s="1">
        <v>45985.430532407408</v>
      </c>
      <c r="G141" s="25">
        <f>VLOOKUP(Base_données[Code],Stock_Magasin[],4,0)</f>
        <v>1200</v>
      </c>
      <c r="H141" s="25">
        <f>Base_données[[#This Row],[Quantité]]*Base_données[[#This Row],[Coût d''Achat Unitaire TTC]]</f>
        <v>4800</v>
      </c>
      <c r="I141" s="14">
        <f t="shared" si="7"/>
        <v>45985</v>
      </c>
    </row>
    <row r="142" spans="1:9" ht="15" customHeight="1" x14ac:dyDescent="0.25">
      <c r="A142" s="4">
        <v>1000038</v>
      </c>
      <c r="B142" s="29" t="s">
        <v>124</v>
      </c>
      <c r="C142" s="30">
        <v>1</v>
      </c>
      <c r="D142" s="32">
        <v>1250</v>
      </c>
      <c r="E142" s="32">
        <v>1250</v>
      </c>
      <c r="F142" s="1">
        <v>45985.430532407408</v>
      </c>
      <c r="G142" s="25">
        <f>VLOOKUP(Base_données[Code],Stock_Magasin[],4,0)</f>
        <v>1000</v>
      </c>
      <c r="H142" s="25">
        <f>Base_données[[#This Row],[Quantité]]*Base_données[[#This Row],[Coût d''Achat Unitaire TTC]]</f>
        <v>1000</v>
      </c>
      <c r="I142" s="14">
        <f t="shared" si="7"/>
        <v>45985</v>
      </c>
    </row>
    <row r="143" spans="1:9" ht="15" customHeight="1" x14ac:dyDescent="0.25">
      <c r="A143" s="4">
        <v>1000054</v>
      </c>
      <c r="B143" s="29" t="s">
        <v>148</v>
      </c>
      <c r="C143" s="30">
        <v>10</v>
      </c>
      <c r="D143" s="32">
        <v>500</v>
      </c>
      <c r="E143" s="32">
        <v>5000</v>
      </c>
      <c r="F143" s="1">
        <v>45986.738078703704</v>
      </c>
      <c r="G143" s="25">
        <f>VLOOKUP(Base_données[Code],Stock_Magasin[],4,0)</f>
        <v>400</v>
      </c>
      <c r="H143" s="25">
        <f>Base_données[[#This Row],[Quantité]]*Base_données[[#This Row],[Coût d''Achat Unitaire TTC]]</f>
        <v>4000</v>
      </c>
      <c r="I143" s="14">
        <f t="shared" ref="I143:I157" si="8">INT(F143)</f>
        <v>45986</v>
      </c>
    </row>
    <row r="144" spans="1:9" ht="15" customHeight="1" x14ac:dyDescent="0.25">
      <c r="A144" s="4">
        <v>1000053</v>
      </c>
      <c r="B144" s="29" t="s">
        <v>149</v>
      </c>
      <c r="C144" s="30">
        <v>13</v>
      </c>
      <c r="D144" s="32">
        <v>500</v>
      </c>
      <c r="E144" s="32">
        <v>6500</v>
      </c>
      <c r="F144" s="1">
        <v>45986.738078703704</v>
      </c>
      <c r="G144" s="25">
        <f>VLOOKUP(Base_données[Code],Stock_Magasin[],4,0)</f>
        <v>400</v>
      </c>
      <c r="H144" s="25">
        <f>Base_données[[#This Row],[Quantité]]*Base_données[[#This Row],[Coût d''Achat Unitaire TTC]]</f>
        <v>5200</v>
      </c>
      <c r="I144" s="14">
        <f t="shared" si="8"/>
        <v>45986</v>
      </c>
    </row>
    <row r="145" spans="1:9" ht="15" customHeight="1" x14ac:dyDescent="0.25">
      <c r="A145" s="4">
        <v>1000052</v>
      </c>
      <c r="B145" s="29" t="s">
        <v>137</v>
      </c>
      <c r="C145" s="30">
        <v>17</v>
      </c>
      <c r="D145" s="32">
        <v>1500</v>
      </c>
      <c r="E145" s="32">
        <v>25500</v>
      </c>
      <c r="F145" s="1">
        <v>45986.738078703704</v>
      </c>
      <c r="G145" s="25">
        <f>VLOOKUP(Base_données[Code],Stock_Magasin[],4,0)</f>
        <v>1200</v>
      </c>
      <c r="H145" s="25">
        <f>Base_données[[#This Row],[Quantité]]*Base_données[[#This Row],[Coût d''Achat Unitaire TTC]]</f>
        <v>20400</v>
      </c>
      <c r="I145" s="14">
        <f t="shared" si="8"/>
        <v>45986</v>
      </c>
    </row>
    <row r="146" spans="1:9" ht="15" customHeight="1" x14ac:dyDescent="0.25">
      <c r="A146" s="4">
        <v>1000014</v>
      </c>
      <c r="B146" s="29" t="s">
        <v>44</v>
      </c>
      <c r="C146" s="30">
        <v>3</v>
      </c>
      <c r="D146" s="32">
        <v>43750</v>
      </c>
      <c r="E146" s="32">
        <v>131250</v>
      </c>
      <c r="F146" s="1">
        <v>45986.738321759258</v>
      </c>
      <c r="G146" s="25">
        <f>VLOOKUP(Base_données[Code],Stock_Magasin[],4,0)</f>
        <v>35000</v>
      </c>
      <c r="H146" s="25">
        <f>Base_données[[#This Row],[Quantité]]*Base_données[[#This Row],[Coût d''Achat Unitaire TTC]]</f>
        <v>105000</v>
      </c>
      <c r="I146" s="14">
        <f t="shared" si="8"/>
        <v>45986</v>
      </c>
    </row>
    <row r="147" spans="1:9" ht="15" customHeight="1" x14ac:dyDescent="0.25">
      <c r="A147" s="4">
        <v>1000030</v>
      </c>
      <c r="B147" s="29" t="s">
        <v>116</v>
      </c>
      <c r="C147" s="30">
        <v>30</v>
      </c>
      <c r="D147" s="32">
        <v>500</v>
      </c>
      <c r="E147" s="32">
        <v>15000</v>
      </c>
      <c r="F147" s="1">
        <v>45987.739594907405</v>
      </c>
      <c r="G147" s="25">
        <f>VLOOKUP(Base_données[Code],Stock_Magasin[],4,0)</f>
        <v>400</v>
      </c>
      <c r="H147" s="25">
        <f>Base_données[[#This Row],[Quantité]]*Base_données[[#This Row],[Coût d''Achat Unitaire TTC]]</f>
        <v>12000</v>
      </c>
      <c r="I147" s="14">
        <f t="shared" si="8"/>
        <v>45987</v>
      </c>
    </row>
    <row r="148" spans="1:9" ht="15" customHeight="1" x14ac:dyDescent="0.25">
      <c r="A148" s="4">
        <v>1000027</v>
      </c>
      <c r="B148" s="29" t="s">
        <v>88</v>
      </c>
      <c r="C148" s="30">
        <v>30</v>
      </c>
      <c r="D148" s="32">
        <v>500</v>
      </c>
      <c r="E148" s="32">
        <v>15000</v>
      </c>
      <c r="F148" s="1">
        <v>45987.739594907405</v>
      </c>
      <c r="G148" s="25">
        <f>VLOOKUP(Base_données[Code],Stock_Magasin[],4,0)</f>
        <v>400</v>
      </c>
      <c r="H148" s="25">
        <f>Base_données[[#This Row],[Quantité]]*Base_données[[#This Row],[Coût d''Achat Unitaire TTC]]</f>
        <v>12000</v>
      </c>
      <c r="I148" s="14">
        <f t="shared" si="8"/>
        <v>45987</v>
      </c>
    </row>
    <row r="149" spans="1:9" ht="15" customHeight="1" x14ac:dyDescent="0.25">
      <c r="A149" s="4">
        <v>1000046</v>
      </c>
      <c r="B149" s="29" t="s">
        <v>131</v>
      </c>
      <c r="C149" s="30">
        <v>24</v>
      </c>
      <c r="D149" s="32">
        <v>500</v>
      </c>
      <c r="E149" s="32">
        <v>12000</v>
      </c>
      <c r="F149" s="1">
        <v>45987.739849537036</v>
      </c>
      <c r="G149" s="25">
        <f>VLOOKUP(Base_données[Code],Stock_Magasin[],4,0)</f>
        <v>400</v>
      </c>
      <c r="H149" s="25">
        <f>Base_données[[#This Row],[Quantité]]*Base_données[[#This Row],[Coût d''Achat Unitaire TTC]]</f>
        <v>9600</v>
      </c>
      <c r="I149" s="14">
        <f t="shared" si="8"/>
        <v>45987</v>
      </c>
    </row>
    <row r="150" spans="1:9" ht="15" customHeight="1" x14ac:dyDescent="0.25">
      <c r="A150" s="4">
        <v>1000007</v>
      </c>
      <c r="B150" s="29" t="s">
        <v>34</v>
      </c>
      <c r="C150" s="30">
        <v>3</v>
      </c>
      <c r="D150" s="32">
        <v>5000</v>
      </c>
      <c r="E150" s="32">
        <v>15000</v>
      </c>
      <c r="F150" s="1">
        <v>45987.740902777776</v>
      </c>
      <c r="G150" s="25">
        <f>VLOOKUP(Base_données[Code],Stock_Magasin[],4,0)</f>
        <v>4000</v>
      </c>
      <c r="H150" s="25">
        <f>Base_données[[#This Row],[Quantité]]*Base_données[[#This Row],[Coût d''Achat Unitaire TTC]]</f>
        <v>12000</v>
      </c>
      <c r="I150" s="14">
        <f t="shared" si="8"/>
        <v>45987</v>
      </c>
    </row>
    <row r="151" spans="1:9" ht="15" customHeight="1" x14ac:dyDescent="0.25">
      <c r="A151" s="4">
        <v>1000009</v>
      </c>
      <c r="B151" s="29" t="s">
        <v>36</v>
      </c>
      <c r="C151" s="30">
        <v>8</v>
      </c>
      <c r="D151" s="32">
        <v>2250</v>
      </c>
      <c r="E151" s="32">
        <v>18000</v>
      </c>
      <c r="F151" s="1">
        <v>45987.741365740738</v>
      </c>
      <c r="G151" s="25">
        <f>VLOOKUP(Base_données[Code],Stock_Magasin[],4,0)</f>
        <v>1800</v>
      </c>
      <c r="H151" s="25">
        <f>Base_données[[#This Row],[Quantité]]*Base_données[[#This Row],[Coût d''Achat Unitaire TTC]]</f>
        <v>14400</v>
      </c>
      <c r="I151" s="14">
        <f t="shared" si="8"/>
        <v>45987</v>
      </c>
    </row>
    <row r="152" spans="1:9" ht="15" customHeight="1" x14ac:dyDescent="0.25">
      <c r="A152" s="4">
        <v>1000025</v>
      </c>
      <c r="B152" s="29" t="s">
        <v>83</v>
      </c>
      <c r="C152" s="30">
        <v>30</v>
      </c>
      <c r="D152" s="32">
        <v>500</v>
      </c>
      <c r="E152" s="32">
        <v>15000</v>
      </c>
      <c r="F152" s="1">
        <v>45987.741967592592</v>
      </c>
      <c r="G152" s="25">
        <f>VLOOKUP(Base_données[Code],Stock_Magasin[],4,0)</f>
        <v>400</v>
      </c>
      <c r="H152" s="25">
        <f>Base_données[[#This Row],[Quantité]]*Base_données[[#This Row],[Coût d''Achat Unitaire TTC]]</f>
        <v>12000</v>
      </c>
      <c r="I152" s="14">
        <f t="shared" si="8"/>
        <v>45987</v>
      </c>
    </row>
    <row r="153" spans="1:9" ht="15" customHeight="1" x14ac:dyDescent="0.25">
      <c r="A153" s="4">
        <v>1000035</v>
      </c>
      <c r="B153" s="29" t="s">
        <v>121</v>
      </c>
      <c r="C153" s="30">
        <v>2</v>
      </c>
      <c r="D153" s="32">
        <v>31250</v>
      </c>
      <c r="E153" s="32">
        <v>62500</v>
      </c>
      <c r="F153" s="1">
        <v>45988.743206018517</v>
      </c>
      <c r="G153" s="25">
        <f>VLOOKUP(Base_données[Code],Stock_Magasin[],4,0)</f>
        <v>25000</v>
      </c>
      <c r="H153" s="25">
        <f>Base_données[[#This Row],[Quantité]]*Base_données[[#This Row],[Coût d''Achat Unitaire TTC]]</f>
        <v>50000</v>
      </c>
      <c r="I153" s="14">
        <f t="shared" si="8"/>
        <v>45988</v>
      </c>
    </row>
    <row r="154" spans="1:9" ht="15" customHeight="1" x14ac:dyDescent="0.25">
      <c r="A154" s="4">
        <v>1000031</v>
      </c>
      <c r="B154" s="29" t="s">
        <v>117</v>
      </c>
      <c r="C154" s="30">
        <v>13</v>
      </c>
      <c r="D154" s="32">
        <v>2125</v>
      </c>
      <c r="E154" s="32">
        <v>27625</v>
      </c>
      <c r="F154" s="1">
        <v>45988.743206018517</v>
      </c>
      <c r="G154" s="25">
        <f>VLOOKUP(Base_données[Code],Stock_Magasin[],4,0)</f>
        <v>1700</v>
      </c>
      <c r="H154" s="25">
        <f>Base_données[[#This Row],[Quantité]]*Base_données[[#This Row],[Coût d''Achat Unitaire TTC]]</f>
        <v>22100</v>
      </c>
      <c r="I154" s="14">
        <f t="shared" si="8"/>
        <v>45988</v>
      </c>
    </row>
    <row r="155" spans="1:9" ht="15" customHeight="1" x14ac:dyDescent="0.25">
      <c r="A155" s="4">
        <v>1000035</v>
      </c>
      <c r="B155" s="29" t="s">
        <v>121</v>
      </c>
      <c r="C155" s="30">
        <v>2</v>
      </c>
      <c r="D155" s="32">
        <v>31250</v>
      </c>
      <c r="E155" s="32">
        <v>62500</v>
      </c>
      <c r="F155" s="1">
        <v>45988.743518518517</v>
      </c>
      <c r="G155" s="25">
        <f>VLOOKUP(Base_données[Code],Stock_Magasin[],4,0)</f>
        <v>25000</v>
      </c>
      <c r="H155" s="25">
        <f>Base_données[[#This Row],[Quantité]]*Base_données[[#This Row],[Coût d''Achat Unitaire TTC]]</f>
        <v>50000</v>
      </c>
      <c r="I155" s="14">
        <f t="shared" si="8"/>
        <v>45988</v>
      </c>
    </row>
    <row r="156" spans="1:9" ht="15" customHeight="1" x14ac:dyDescent="0.25">
      <c r="A156" s="4">
        <v>1000031</v>
      </c>
      <c r="B156" s="29" t="s">
        <v>117</v>
      </c>
      <c r="C156" s="30">
        <v>13</v>
      </c>
      <c r="D156" s="32">
        <v>2125</v>
      </c>
      <c r="E156" s="32">
        <v>27625</v>
      </c>
      <c r="F156" s="1">
        <v>45988.743518518517</v>
      </c>
      <c r="G156" s="25">
        <f>VLOOKUP(Base_données[Code],Stock_Magasin[],4,0)</f>
        <v>1700</v>
      </c>
      <c r="H156" s="25">
        <f>Base_données[[#This Row],[Quantité]]*Base_données[[#This Row],[Coût d''Achat Unitaire TTC]]</f>
        <v>22100</v>
      </c>
      <c r="I156" s="14">
        <f t="shared" si="8"/>
        <v>45988</v>
      </c>
    </row>
    <row r="157" spans="1:9" ht="15" customHeight="1" x14ac:dyDescent="0.25">
      <c r="A157" s="4">
        <v>1000049</v>
      </c>
      <c r="B157" s="29" t="s">
        <v>134</v>
      </c>
      <c r="C157" s="30">
        <v>10</v>
      </c>
      <c r="D157" s="32">
        <v>1250</v>
      </c>
      <c r="E157" s="32">
        <v>12500</v>
      </c>
      <c r="F157" s="1">
        <v>45988.743518518517</v>
      </c>
      <c r="G157" s="25">
        <f>VLOOKUP(Base_données[Code],Stock_Magasin[],4,0)</f>
        <v>1000</v>
      </c>
      <c r="H157" s="25">
        <f>Base_données[[#This Row],[Quantité]]*Base_données[[#This Row],[Coût d''Achat Unitaire TTC]]</f>
        <v>10000</v>
      </c>
      <c r="I157" s="14">
        <f t="shared" si="8"/>
        <v>45988</v>
      </c>
    </row>
    <row r="158" spans="1:9" ht="15" customHeight="1" x14ac:dyDescent="0.25">
      <c r="A158" s="4">
        <v>1000013</v>
      </c>
      <c r="B158" s="29" t="s">
        <v>45</v>
      </c>
      <c r="C158" s="30">
        <v>14</v>
      </c>
      <c r="D158" s="32">
        <v>3125</v>
      </c>
      <c r="E158" s="32">
        <v>43750</v>
      </c>
      <c r="F158" s="1">
        <v>45989.718946759262</v>
      </c>
      <c r="G158" s="25">
        <f>VLOOKUP(Base_données[Code],Stock_Magasin[],4,0)</f>
        <v>2500</v>
      </c>
      <c r="H158" s="25">
        <f>Base_données[[#This Row],[Quantité]]*Base_données[[#This Row],[Coût d''Achat Unitaire TTC]]</f>
        <v>35000</v>
      </c>
      <c r="I158" s="14">
        <f t="shared" ref="I158:I169" si="9">INT(F158)</f>
        <v>45989</v>
      </c>
    </row>
    <row r="159" spans="1:9" ht="15" customHeight="1" x14ac:dyDescent="0.25">
      <c r="A159" s="4">
        <v>1000037</v>
      </c>
      <c r="B159" s="29" t="s">
        <v>123</v>
      </c>
      <c r="C159" s="30">
        <v>23</v>
      </c>
      <c r="D159" s="32">
        <v>1250</v>
      </c>
      <c r="E159" s="32">
        <v>28750</v>
      </c>
      <c r="F159" s="1">
        <v>45989.86645833333</v>
      </c>
      <c r="G159" s="25">
        <f>VLOOKUP(Base_données[Code],Stock_Magasin[],4,0)</f>
        <v>1000</v>
      </c>
      <c r="H159" s="25">
        <f>Base_données[[#This Row],[Quantité]]*Base_données[[#This Row],[Coût d''Achat Unitaire TTC]]</f>
        <v>23000</v>
      </c>
      <c r="I159" s="14">
        <f t="shared" si="9"/>
        <v>45989</v>
      </c>
    </row>
    <row r="160" spans="1:9" ht="15" customHeight="1" x14ac:dyDescent="0.25">
      <c r="A160" s="4">
        <v>1000048</v>
      </c>
      <c r="B160" s="29" t="s">
        <v>144</v>
      </c>
      <c r="C160" s="30">
        <v>27</v>
      </c>
      <c r="D160" s="32">
        <v>1250</v>
      </c>
      <c r="E160" s="32">
        <v>33750</v>
      </c>
      <c r="F160" s="1">
        <v>45989.8669212963</v>
      </c>
      <c r="G160" s="25">
        <f>VLOOKUP(Base_données[Code],Stock_Magasin[],4,0)</f>
        <v>1000</v>
      </c>
      <c r="H160" s="25">
        <f>Base_données[[#This Row],[Quantité]]*Base_données[[#This Row],[Coût d''Achat Unitaire TTC]]</f>
        <v>27000</v>
      </c>
      <c r="I160" s="14">
        <f t="shared" si="9"/>
        <v>45989</v>
      </c>
    </row>
    <row r="161" spans="1:9" ht="15" customHeight="1" x14ac:dyDescent="0.25">
      <c r="A161" s="4">
        <v>1000008</v>
      </c>
      <c r="B161" s="29" t="s">
        <v>35</v>
      </c>
      <c r="C161" s="30">
        <v>17</v>
      </c>
      <c r="D161" s="32">
        <v>1250</v>
      </c>
      <c r="E161" s="32">
        <v>21250</v>
      </c>
      <c r="F161" s="1">
        <v>45989.867476851854</v>
      </c>
      <c r="G161" s="25">
        <f>VLOOKUP(Base_données[Code],Stock_Magasin[],4,0)</f>
        <v>1000</v>
      </c>
      <c r="H161" s="25">
        <f>Base_données[[#This Row],[Quantité]]*Base_données[[#This Row],[Coût d''Achat Unitaire TTC]]</f>
        <v>17000</v>
      </c>
      <c r="I161" s="14">
        <f t="shared" si="9"/>
        <v>45989</v>
      </c>
    </row>
    <row r="162" spans="1:9" ht="15" customHeight="1" x14ac:dyDescent="0.25">
      <c r="A162" s="4">
        <v>1000029</v>
      </c>
      <c r="B162" s="29" t="s">
        <v>115</v>
      </c>
      <c r="C162" s="30">
        <v>38</v>
      </c>
      <c r="D162" s="32">
        <v>1125</v>
      </c>
      <c r="E162" s="32">
        <v>42750</v>
      </c>
      <c r="F162" s="1">
        <v>45990.410254629627</v>
      </c>
      <c r="G162" s="25">
        <f>VLOOKUP(Base_données[Code],Stock_Magasin[],4,0)</f>
        <v>900</v>
      </c>
      <c r="H162" s="25">
        <f>Base_données[[#This Row],[Quantité]]*Base_données[[#This Row],[Coût d''Achat Unitaire TTC]]</f>
        <v>34200</v>
      </c>
      <c r="I162" s="14">
        <f t="shared" si="9"/>
        <v>45990</v>
      </c>
    </row>
    <row r="163" spans="1:9" ht="15" customHeight="1" x14ac:dyDescent="0.25">
      <c r="A163" s="4">
        <v>1000041</v>
      </c>
      <c r="B163" s="29" t="s">
        <v>126</v>
      </c>
      <c r="C163" s="30">
        <v>27</v>
      </c>
      <c r="D163" s="32">
        <v>1250</v>
      </c>
      <c r="E163" s="32">
        <v>33750</v>
      </c>
      <c r="F163" s="1">
        <v>45990.410671296297</v>
      </c>
      <c r="G163" s="25">
        <f>VLOOKUP(Base_données[Code],Stock_Magasin[],4,0)</f>
        <v>1000</v>
      </c>
      <c r="H163" s="25">
        <f>Base_données[[#This Row],[Quantité]]*Base_données[[#This Row],[Coût d''Achat Unitaire TTC]]</f>
        <v>27000</v>
      </c>
      <c r="I163" s="14">
        <f t="shared" si="9"/>
        <v>45990</v>
      </c>
    </row>
    <row r="164" spans="1:9" ht="15" customHeight="1" x14ac:dyDescent="0.25">
      <c r="A164" s="4">
        <v>1000050</v>
      </c>
      <c r="B164" s="29" t="s">
        <v>135</v>
      </c>
      <c r="C164" s="30">
        <v>15</v>
      </c>
      <c r="D164" s="32">
        <v>1250</v>
      </c>
      <c r="E164" s="32">
        <v>18750</v>
      </c>
      <c r="F164" s="1">
        <v>45990.411192129628</v>
      </c>
      <c r="G164" s="25">
        <f>VLOOKUP(Base_données[Code],Stock_Magasin[],4,0)</f>
        <v>1000</v>
      </c>
      <c r="H164" s="25">
        <f>Base_données[[#This Row],[Quantité]]*Base_données[[#This Row],[Coût d''Achat Unitaire TTC]]</f>
        <v>15000</v>
      </c>
      <c r="I164" s="14">
        <f t="shared" si="9"/>
        <v>45990</v>
      </c>
    </row>
    <row r="165" spans="1:9" ht="15" customHeight="1" x14ac:dyDescent="0.25">
      <c r="A165" s="4">
        <v>1000051</v>
      </c>
      <c r="B165" s="29" t="s">
        <v>136</v>
      </c>
      <c r="C165" s="30">
        <v>18</v>
      </c>
      <c r="D165" s="32">
        <v>1500</v>
      </c>
      <c r="E165" s="32">
        <v>27000</v>
      </c>
      <c r="F165" s="1">
        <v>45990.411192129628</v>
      </c>
      <c r="G165" s="25">
        <f>VLOOKUP(Base_données[Code],Stock_Magasin[],4,0)</f>
        <v>1200</v>
      </c>
      <c r="H165" s="25">
        <f>Base_données[[#This Row],[Quantité]]*Base_données[[#This Row],[Coût d''Achat Unitaire TTC]]</f>
        <v>21600</v>
      </c>
      <c r="I165" s="14">
        <f t="shared" si="9"/>
        <v>45990</v>
      </c>
    </row>
    <row r="166" spans="1:9" ht="15" customHeight="1" x14ac:dyDescent="0.25">
      <c r="A166" s="4">
        <v>1000015</v>
      </c>
      <c r="B166" s="29" t="s">
        <v>40</v>
      </c>
      <c r="C166" s="30">
        <v>17</v>
      </c>
      <c r="D166" s="32">
        <v>2500</v>
      </c>
      <c r="E166" s="32">
        <v>42500</v>
      </c>
      <c r="F166" s="1">
        <v>45991.538310185184</v>
      </c>
      <c r="G166" s="25">
        <f>VLOOKUP(Base_données[Code],Stock_Magasin[],4,0)</f>
        <v>2000</v>
      </c>
      <c r="H166" s="25">
        <f>Base_données[[#This Row],[Quantité]]*Base_données[[#This Row],[Coût d''Achat Unitaire TTC]]</f>
        <v>34000</v>
      </c>
      <c r="I166" s="14">
        <f t="shared" si="9"/>
        <v>45991</v>
      </c>
    </row>
    <row r="167" spans="1:9" ht="15" customHeight="1" x14ac:dyDescent="0.25">
      <c r="A167" s="4">
        <v>1000045</v>
      </c>
      <c r="B167" s="29" t="s">
        <v>130</v>
      </c>
      <c r="C167" s="30">
        <v>14</v>
      </c>
      <c r="D167" s="32">
        <v>500</v>
      </c>
      <c r="E167" s="32">
        <v>7000</v>
      </c>
      <c r="F167" s="1">
        <v>45991.538310185184</v>
      </c>
      <c r="G167" s="25">
        <f>VLOOKUP(Base_données[Code],Stock_Magasin[],4,0)</f>
        <v>400</v>
      </c>
      <c r="H167" s="25">
        <f>Base_données[[#This Row],[Quantité]]*Base_données[[#This Row],[Coût d''Achat Unitaire TTC]]</f>
        <v>5600</v>
      </c>
      <c r="I167" s="14">
        <f t="shared" si="9"/>
        <v>45991</v>
      </c>
    </row>
    <row r="168" spans="1:9" ht="15" customHeight="1" x14ac:dyDescent="0.25">
      <c r="A168" s="4">
        <v>1000009</v>
      </c>
      <c r="B168" s="29" t="s">
        <v>36</v>
      </c>
      <c r="C168" s="30">
        <v>10</v>
      </c>
      <c r="D168" s="32">
        <v>2250</v>
      </c>
      <c r="E168" s="32">
        <v>22500</v>
      </c>
      <c r="F168" s="1">
        <v>45991.541412037041</v>
      </c>
      <c r="G168" s="25">
        <f>VLOOKUP(Base_données[Code],Stock_Magasin[],4,0)</f>
        <v>1800</v>
      </c>
      <c r="H168" s="25">
        <f>Base_données[[#This Row],[Quantité]]*Base_données[[#This Row],[Coût d''Achat Unitaire TTC]]</f>
        <v>18000</v>
      </c>
      <c r="I168" s="14">
        <f t="shared" si="9"/>
        <v>45991</v>
      </c>
    </row>
    <row r="169" spans="1:9" ht="15" customHeight="1" x14ac:dyDescent="0.25">
      <c r="A169" s="4">
        <v>1000001</v>
      </c>
      <c r="B169" s="29" t="s">
        <v>47</v>
      </c>
      <c r="C169" s="30">
        <v>17</v>
      </c>
      <c r="D169" s="32">
        <v>1250</v>
      </c>
      <c r="E169" s="32">
        <v>21250</v>
      </c>
      <c r="F169" s="1">
        <v>45991.542002314818</v>
      </c>
      <c r="G169" s="25">
        <f>VLOOKUP(Base_données[Code],Stock_Magasin[],4,0)</f>
        <v>1000</v>
      </c>
      <c r="H169" s="25">
        <f>Base_données[[#This Row],[Quantité]]*Base_données[[#This Row],[Coût d''Achat Unitaire TTC]]</f>
        <v>17000</v>
      </c>
      <c r="I169" s="14">
        <f t="shared" si="9"/>
        <v>45991</v>
      </c>
    </row>
    <row r="170" spans="1:9" ht="15" customHeight="1" x14ac:dyDescent="0.25">
      <c r="A170" s="4">
        <v>1000001</v>
      </c>
      <c r="B170" s="29" t="s">
        <v>47</v>
      </c>
      <c r="C170" s="30">
        <v>23</v>
      </c>
      <c r="D170" s="32">
        <v>1250</v>
      </c>
      <c r="E170" s="32">
        <v>28750</v>
      </c>
      <c r="F170" s="1">
        <v>45992.633020833331</v>
      </c>
      <c r="G170" s="25">
        <f>VLOOKUP(Base_données[Code],Stock_Magasin[],4,0)</f>
        <v>1000</v>
      </c>
      <c r="H170" s="25">
        <f>Base_données[[#This Row],[Quantité]]*Base_données[[#This Row],[Coût d''Achat Unitaire TTC]]</f>
        <v>23000</v>
      </c>
      <c r="I170" s="14">
        <f t="shared" ref="I170:I176" si="10">INT(F170)</f>
        <v>45992</v>
      </c>
    </row>
    <row r="171" spans="1:9" x14ac:dyDescent="0.25">
      <c r="A171" s="4">
        <v>1000002</v>
      </c>
      <c r="B171" s="29" t="s">
        <v>29</v>
      </c>
      <c r="C171" s="30">
        <v>6</v>
      </c>
      <c r="D171" s="32">
        <v>1250</v>
      </c>
      <c r="E171" s="32">
        <v>7500</v>
      </c>
      <c r="F171" s="1">
        <v>45992.725243055553</v>
      </c>
      <c r="G171" s="25">
        <f>VLOOKUP(Base_données[Code],Stock_Magasin[],4,0)</f>
        <v>1000</v>
      </c>
      <c r="H171" s="25">
        <f>Base_données[[#This Row],[Quantité]]*Base_données[[#This Row],[Coût d''Achat Unitaire TTC]]</f>
        <v>6000</v>
      </c>
      <c r="I171" s="14">
        <f t="shared" si="10"/>
        <v>45992</v>
      </c>
    </row>
    <row r="172" spans="1:9" x14ac:dyDescent="0.25">
      <c r="A172" s="4">
        <v>1000003</v>
      </c>
      <c r="B172" s="29" t="s">
        <v>30</v>
      </c>
      <c r="C172" s="30">
        <v>17</v>
      </c>
      <c r="D172" s="32">
        <v>500</v>
      </c>
      <c r="E172" s="32">
        <v>8500</v>
      </c>
      <c r="F172" s="1">
        <v>45992.727013888885</v>
      </c>
      <c r="G172" s="25">
        <f>VLOOKUP(Base_données[Code],Stock_Magasin[],4,0)</f>
        <v>400</v>
      </c>
      <c r="H172" s="25">
        <f>Base_données[[#This Row],[Quantité]]*Base_données[[#This Row],[Coût d''Achat Unitaire TTC]]</f>
        <v>6800</v>
      </c>
      <c r="I172" s="14">
        <f t="shared" si="10"/>
        <v>45992</v>
      </c>
    </row>
    <row r="173" spans="1:9" x14ac:dyDescent="0.25">
      <c r="A173" s="4">
        <v>1000004</v>
      </c>
      <c r="B173" s="29" t="s">
        <v>31</v>
      </c>
      <c r="C173" s="30">
        <v>13</v>
      </c>
      <c r="D173" s="32">
        <v>1500</v>
      </c>
      <c r="E173" s="32">
        <v>19500</v>
      </c>
      <c r="F173" s="1">
        <v>45992.727013888885</v>
      </c>
      <c r="G173" s="25">
        <f>VLOOKUP(Base_données[Code],Stock_Magasin[],4,0)</f>
        <v>1200</v>
      </c>
      <c r="H173" s="25">
        <f>Base_données[[#This Row],[Quantité]]*Base_données[[#This Row],[Coût d''Achat Unitaire TTC]]</f>
        <v>15600</v>
      </c>
      <c r="I173" s="14">
        <f t="shared" si="10"/>
        <v>45992</v>
      </c>
    </row>
    <row r="174" spans="1:9" x14ac:dyDescent="0.25">
      <c r="A174" s="4">
        <v>1000005</v>
      </c>
      <c r="B174" s="29" t="s">
        <v>32</v>
      </c>
      <c r="C174" s="30">
        <v>2</v>
      </c>
      <c r="D174" s="32">
        <v>1875</v>
      </c>
      <c r="E174" s="32">
        <v>3750</v>
      </c>
      <c r="F174" s="1">
        <v>45992.729143518518</v>
      </c>
      <c r="G174" s="25">
        <f>VLOOKUP(Base_données[Code],Stock_Magasin[],4,0)</f>
        <v>1500</v>
      </c>
      <c r="H174" s="25">
        <f>Base_données[[#This Row],[Quantité]]*Base_données[[#This Row],[Coût d''Achat Unitaire TTC]]</f>
        <v>3000</v>
      </c>
      <c r="I174" s="14">
        <f t="shared" si="10"/>
        <v>45992</v>
      </c>
    </row>
    <row r="175" spans="1:9" x14ac:dyDescent="0.25">
      <c r="A175" s="4">
        <v>1000006</v>
      </c>
      <c r="B175" s="29" t="s">
        <v>33</v>
      </c>
      <c r="C175" s="30">
        <v>15</v>
      </c>
      <c r="D175" s="32">
        <v>1500</v>
      </c>
      <c r="E175" s="32">
        <v>22500</v>
      </c>
      <c r="F175" s="1">
        <v>45992.729143518518</v>
      </c>
      <c r="G175" s="25">
        <f>VLOOKUP(Base_données[Code],Stock_Magasin[],4,0)</f>
        <v>1200</v>
      </c>
      <c r="H175" s="25">
        <f>Base_données[[#This Row],[Quantité]]*Base_données[[#This Row],[Coût d''Achat Unitaire TTC]]</f>
        <v>18000</v>
      </c>
      <c r="I175" s="14">
        <f t="shared" si="10"/>
        <v>45992</v>
      </c>
    </row>
    <row r="176" spans="1:9" x14ac:dyDescent="0.25">
      <c r="A176" s="4">
        <v>1000007</v>
      </c>
      <c r="B176" s="29" t="s">
        <v>34</v>
      </c>
      <c r="C176" s="30">
        <v>19</v>
      </c>
      <c r="D176" s="32">
        <v>5000</v>
      </c>
      <c r="E176" s="32">
        <v>95000</v>
      </c>
      <c r="F176" s="1">
        <v>45992.729143518518</v>
      </c>
      <c r="G176" s="25">
        <f>VLOOKUP(Base_données[Code],Stock_Magasin[],4,0)</f>
        <v>4000</v>
      </c>
      <c r="H176" s="25">
        <f>Base_données[[#This Row],[Quantité]]*Base_données[[#This Row],[Coût d''Achat Unitaire TTC]]</f>
        <v>76000</v>
      </c>
      <c r="I176" s="14">
        <f t="shared" si="10"/>
        <v>45992</v>
      </c>
    </row>
    <row r="177" spans="1:9" x14ac:dyDescent="0.25">
      <c r="A177" s="4">
        <v>1000008</v>
      </c>
      <c r="B177" s="29" t="s">
        <v>35</v>
      </c>
      <c r="C177" s="30">
        <v>29</v>
      </c>
      <c r="D177" s="32">
        <v>1250</v>
      </c>
      <c r="E177" s="32">
        <v>36250</v>
      </c>
      <c r="F177" s="1">
        <v>45993.857662037037</v>
      </c>
      <c r="G177" s="25">
        <f>VLOOKUP(Base_données[Code],Stock_Magasin[],4,0)</f>
        <v>1000</v>
      </c>
      <c r="H177" s="25">
        <f>Base_données[[#This Row],[Quantité]]*Base_données[[#This Row],[Coût d''Achat Unitaire TTC]]</f>
        <v>29000</v>
      </c>
      <c r="I177" s="14">
        <f t="shared" ref="I177:I208" si="11">INT(F177)</f>
        <v>45993</v>
      </c>
    </row>
    <row r="178" spans="1:9" x14ac:dyDescent="0.25">
      <c r="A178" s="4">
        <v>1000009</v>
      </c>
      <c r="B178" s="29" t="s">
        <v>36</v>
      </c>
      <c r="C178" s="30">
        <v>22</v>
      </c>
      <c r="D178" s="32">
        <v>2250</v>
      </c>
      <c r="E178" s="32">
        <v>49500</v>
      </c>
      <c r="F178" s="1">
        <v>45993.857662037037</v>
      </c>
      <c r="G178" s="25">
        <f>VLOOKUP(Base_données[Code],Stock_Magasin[],4,0)</f>
        <v>1800</v>
      </c>
      <c r="H178" s="25">
        <f>Base_données[[#This Row],[Quantité]]*Base_données[[#This Row],[Coût d''Achat Unitaire TTC]]</f>
        <v>39600</v>
      </c>
      <c r="I178" s="14">
        <f t="shared" si="11"/>
        <v>45993</v>
      </c>
    </row>
    <row r="179" spans="1:9" x14ac:dyDescent="0.25">
      <c r="A179" s="4">
        <v>1000009</v>
      </c>
      <c r="B179" s="29" t="s">
        <v>36</v>
      </c>
      <c r="C179" s="30">
        <v>4</v>
      </c>
      <c r="D179" s="32">
        <v>2250</v>
      </c>
      <c r="E179" s="32">
        <v>9000</v>
      </c>
      <c r="F179" s="1">
        <v>45993.859652777777</v>
      </c>
      <c r="G179" s="25">
        <f>VLOOKUP(Base_données[Code],Stock_Magasin[],4,0)</f>
        <v>1800</v>
      </c>
      <c r="H179" s="25">
        <f>Base_données[[#This Row],[Quantité]]*Base_données[[#This Row],[Coût d''Achat Unitaire TTC]]</f>
        <v>7200</v>
      </c>
      <c r="I179" s="14">
        <f t="shared" si="11"/>
        <v>45993</v>
      </c>
    </row>
    <row r="180" spans="1:9" x14ac:dyDescent="0.25">
      <c r="A180" s="4">
        <v>1000008</v>
      </c>
      <c r="B180" s="29" t="s">
        <v>35</v>
      </c>
      <c r="C180" s="30">
        <v>5</v>
      </c>
      <c r="D180" s="32">
        <v>1250</v>
      </c>
      <c r="E180" s="32">
        <v>6250</v>
      </c>
      <c r="F180" s="1">
        <v>45993.860312500001</v>
      </c>
      <c r="G180" s="25">
        <f>VLOOKUP(Base_données[Code],Stock_Magasin[],4,0)</f>
        <v>1000</v>
      </c>
      <c r="H180" s="25">
        <f>Base_données[[#This Row],[Quantité]]*Base_données[[#This Row],[Coût d''Achat Unitaire TTC]]</f>
        <v>5000</v>
      </c>
      <c r="I180" s="14">
        <f t="shared" si="11"/>
        <v>45993</v>
      </c>
    </row>
    <row r="181" spans="1:9" x14ac:dyDescent="0.25">
      <c r="A181" s="4">
        <v>1000010</v>
      </c>
      <c r="B181" s="29" t="s">
        <v>37</v>
      </c>
      <c r="C181" s="30">
        <v>16</v>
      </c>
      <c r="D181" s="32">
        <v>1500</v>
      </c>
      <c r="E181" s="32">
        <v>24000</v>
      </c>
      <c r="F181" s="1">
        <v>45994.86178240741</v>
      </c>
      <c r="G181" s="25">
        <f>VLOOKUP(Base_données[Code],Stock_Magasin[],4,0)</f>
        <v>1200</v>
      </c>
      <c r="H181" s="25">
        <f>Base_données[[#This Row],[Quantité]]*Base_données[[#This Row],[Coût d''Achat Unitaire TTC]]</f>
        <v>19200</v>
      </c>
      <c r="I181" s="14">
        <f t="shared" si="11"/>
        <v>45994</v>
      </c>
    </row>
    <row r="182" spans="1:9" x14ac:dyDescent="0.25">
      <c r="A182" s="4">
        <v>1000011</v>
      </c>
      <c r="B182" s="29" t="s">
        <v>38</v>
      </c>
      <c r="C182" s="30">
        <v>31</v>
      </c>
      <c r="D182" s="32">
        <v>1875</v>
      </c>
      <c r="E182" s="32">
        <v>58125</v>
      </c>
      <c r="F182" s="1">
        <v>45994.86178240741</v>
      </c>
      <c r="G182" s="25">
        <f>VLOOKUP(Base_données[Code],Stock_Magasin[],4,0)</f>
        <v>1500</v>
      </c>
      <c r="H182" s="25">
        <f>Base_données[[#This Row],[Quantité]]*Base_données[[#This Row],[Coût d''Achat Unitaire TTC]]</f>
        <v>46500</v>
      </c>
      <c r="I182" s="14">
        <f t="shared" si="11"/>
        <v>45994</v>
      </c>
    </row>
    <row r="183" spans="1:9" x14ac:dyDescent="0.25">
      <c r="A183" s="4">
        <v>1000012</v>
      </c>
      <c r="B183" s="29" t="s">
        <v>39</v>
      </c>
      <c r="C183" s="30">
        <v>5</v>
      </c>
      <c r="D183" s="32">
        <v>1500</v>
      </c>
      <c r="E183" s="32">
        <v>7500</v>
      </c>
      <c r="F183" s="1">
        <v>45994.86178240741</v>
      </c>
      <c r="G183" s="25">
        <f>VLOOKUP(Base_données[Code],Stock_Magasin[],4,0)</f>
        <v>1200</v>
      </c>
      <c r="H183" s="25">
        <f>Base_données[[#This Row],[Quantité]]*Base_données[[#This Row],[Coût d''Achat Unitaire TTC]]</f>
        <v>6000</v>
      </c>
      <c r="I183" s="14">
        <f t="shared" si="11"/>
        <v>45994</v>
      </c>
    </row>
    <row r="184" spans="1:9" x14ac:dyDescent="0.25">
      <c r="A184" s="4">
        <v>1000009</v>
      </c>
      <c r="B184" s="29" t="s">
        <v>36</v>
      </c>
      <c r="C184" s="30">
        <v>3</v>
      </c>
      <c r="D184" s="32">
        <v>2250</v>
      </c>
      <c r="E184" s="32">
        <v>6750</v>
      </c>
      <c r="F184" s="1">
        <v>45994.86178240741</v>
      </c>
      <c r="G184" s="25">
        <f>VLOOKUP(Base_données[Code],Stock_Magasin[],4,0)</f>
        <v>1800</v>
      </c>
      <c r="H184" s="25">
        <f>Base_données[[#This Row],[Quantité]]*Base_données[[#This Row],[Coût d''Achat Unitaire TTC]]</f>
        <v>5400</v>
      </c>
      <c r="I184" s="14">
        <f t="shared" si="11"/>
        <v>45994</v>
      </c>
    </row>
    <row r="185" spans="1:9" x14ac:dyDescent="0.25">
      <c r="A185" s="4">
        <v>1000014</v>
      </c>
      <c r="B185" s="29" t="s">
        <v>44</v>
      </c>
      <c r="C185" s="30">
        <v>2</v>
      </c>
      <c r="D185" s="32">
        <v>43750</v>
      </c>
      <c r="E185" s="32">
        <v>87500</v>
      </c>
      <c r="F185" s="1">
        <v>45995.779398148145</v>
      </c>
      <c r="G185" s="25">
        <f>VLOOKUP(Base_données[Code],Stock_Magasin[],4,0)</f>
        <v>35000</v>
      </c>
      <c r="H185" s="25">
        <f>Base_données[[#This Row],[Quantité]]*Base_données[[#This Row],[Coût d''Achat Unitaire TTC]]</f>
        <v>70000</v>
      </c>
      <c r="I185" s="14">
        <f t="shared" si="11"/>
        <v>45995</v>
      </c>
    </row>
    <row r="186" spans="1:9" x14ac:dyDescent="0.25">
      <c r="A186" s="4">
        <v>1000013</v>
      </c>
      <c r="B186" s="29" t="s">
        <v>45</v>
      </c>
      <c r="C186" s="30">
        <v>5</v>
      </c>
      <c r="D186" s="32">
        <v>3125</v>
      </c>
      <c r="E186" s="32">
        <v>15625</v>
      </c>
      <c r="F186" s="1">
        <v>45995.779398148145</v>
      </c>
      <c r="G186" s="25">
        <f>VLOOKUP(Base_données[Code],Stock_Magasin[],4,0)</f>
        <v>2500</v>
      </c>
      <c r="H186" s="25">
        <f>Base_données[[#This Row],[Quantité]]*Base_données[[#This Row],[Coût d''Achat Unitaire TTC]]</f>
        <v>12500</v>
      </c>
      <c r="I186" s="14">
        <f t="shared" si="11"/>
        <v>45995</v>
      </c>
    </row>
    <row r="187" spans="1:9" x14ac:dyDescent="0.25">
      <c r="A187" s="4">
        <v>1000015</v>
      </c>
      <c r="B187" s="29" t="s">
        <v>40</v>
      </c>
      <c r="C187" s="30">
        <v>15</v>
      </c>
      <c r="D187" s="32">
        <v>2500</v>
      </c>
      <c r="E187" s="32">
        <v>37500</v>
      </c>
      <c r="F187" s="1">
        <v>45996.780312499999</v>
      </c>
      <c r="G187" s="25">
        <f>VLOOKUP(Base_données[Code],Stock_Magasin[],4,0)</f>
        <v>2000</v>
      </c>
      <c r="H187" s="25">
        <f>Base_données[[#This Row],[Quantité]]*Base_données[[#This Row],[Coût d''Achat Unitaire TTC]]</f>
        <v>30000</v>
      </c>
      <c r="I187" s="14">
        <f t="shared" si="11"/>
        <v>45996</v>
      </c>
    </row>
    <row r="188" spans="1:9" x14ac:dyDescent="0.25">
      <c r="A188" s="4">
        <v>1000016</v>
      </c>
      <c r="B188" s="29" t="s">
        <v>41</v>
      </c>
      <c r="C188" s="30">
        <v>39</v>
      </c>
      <c r="D188" s="32">
        <v>1000</v>
      </c>
      <c r="E188" s="32">
        <v>39000</v>
      </c>
      <c r="F188" s="1">
        <v>45996.780312499999</v>
      </c>
      <c r="G188" s="25">
        <f>VLOOKUP(Base_données[Code],Stock_Magasin[],4,0)</f>
        <v>800</v>
      </c>
      <c r="H188" s="25">
        <f>Base_données[[#This Row],[Quantité]]*Base_données[[#This Row],[Coût d''Achat Unitaire TTC]]</f>
        <v>31200</v>
      </c>
      <c r="I188" s="14">
        <f t="shared" si="11"/>
        <v>45996</v>
      </c>
    </row>
    <row r="189" spans="1:9" x14ac:dyDescent="0.25">
      <c r="A189" s="4">
        <v>1000013</v>
      </c>
      <c r="B189" s="29" t="s">
        <v>45</v>
      </c>
      <c r="C189" s="30">
        <v>17</v>
      </c>
      <c r="D189" s="32">
        <v>3125</v>
      </c>
      <c r="E189" s="32">
        <v>53125</v>
      </c>
      <c r="F189" s="1">
        <v>45996.780312499999</v>
      </c>
      <c r="G189" s="25">
        <f>VLOOKUP(Base_données[Code],Stock_Magasin[],4,0)</f>
        <v>2500</v>
      </c>
      <c r="H189" s="25">
        <f>Base_données[[#This Row],[Quantité]]*Base_données[[#This Row],[Coût d''Achat Unitaire TTC]]</f>
        <v>42500</v>
      </c>
      <c r="I189" s="14">
        <f t="shared" si="11"/>
        <v>45996</v>
      </c>
    </row>
    <row r="190" spans="1:9" x14ac:dyDescent="0.25">
      <c r="A190" s="4">
        <v>1000017</v>
      </c>
      <c r="B190" s="29" t="s">
        <v>42</v>
      </c>
      <c r="C190" s="30">
        <v>24</v>
      </c>
      <c r="D190" s="32">
        <v>875</v>
      </c>
      <c r="E190" s="32">
        <v>21000</v>
      </c>
      <c r="F190" s="1">
        <v>45997.781817129631</v>
      </c>
      <c r="G190" s="25">
        <f>VLOOKUP(Base_données[Code],Stock_Magasin[],4,0)</f>
        <v>700</v>
      </c>
      <c r="H190" s="25">
        <f>Base_données[[#This Row],[Quantité]]*Base_données[[#This Row],[Coût d''Achat Unitaire TTC]]</f>
        <v>16800</v>
      </c>
      <c r="I190" s="14">
        <f t="shared" si="11"/>
        <v>45997</v>
      </c>
    </row>
    <row r="191" spans="1:9" x14ac:dyDescent="0.25">
      <c r="A191" s="4">
        <v>1000018</v>
      </c>
      <c r="B191" s="29" t="s">
        <v>54</v>
      </c>
      <c r="C191" s="30">
        <v>37</v>
      </c>
      <c r="D191" s="32">
        <v>250</v>
      </c>
      <c r="E191" s="32">
        <v>9250</v>
      </c>
      <c r="F191" s="1">
        <v>45997.781817129631</v>
      </c>
      <c r="G191" s="25">
        <f>VLOOKUP(Base_données[Code],Stock_Magasin[],4,0)</f>
        <v>200</v>
      </c>
      <c r="H191" s="25">
        <f>Base_données[[#This Row],[Quantité]]*Base_données[[#This Row],[Coût d''Achat Unitaire TTC]]</f>
        <v>7400</v>
      </c>
      <c r="I191" s="14">
        <f t="shared" si="11"/>
        <v>45997</v>
      </c>
    </row>
    <row r="192" spans="1:9" x14ac:dyDescent="0.25">
      <c r="A192" s="4">
        <v>1000019</v>
      </c>
      <c r="B192" s="29" t="s">
        <v>77</v>
      </c>
      <c r="C192" s="30">
        <v>15</v>
      </c>
      <c r="D192" s="32">
        <v>1500</v>
      </c>
      <c r="E192" s="32">
        <v>22500</v>
      </c>
      <c r="F192" s="1">
        <v>45997.781817129631</v>
      </c>
      <c r="G192" s="25">
        <f>VLOOKUP(Base_données[Code],Stock_Magasin[],4,0)</f>
        <v>1200</v>
      </c>
      <c r="H192" s="25">
        <f>Base_données[[#This Row],[Quantité]]*Base_données[[#This Row],[Coût d''Achat Unitaire TTC]]</f>
        <v>18000</v>
      </c>
      <c r="I192" s="14">
        <f t="shared" si="11"/>
        <v>45997</v>
      </c>
    </row>
    <row r="193" spans="1:9" x14ac:dyDescent="0.25">
      <c r="A193" s="4">
        <v>1000020</v>
      </c>
      <c r="B193" s="29" t="s">
        <v>78</v>
      </c>
      <c r="C193" s="30">
        <v>19</v>
      </c>
      <c r="D193" s="32">
        <v>250</v>
      </c>
      <c r="E193" s="32">
        <v>4750</v>
      </c>
      <c r="F193" s="1">
        <v>45997.781817129631</v>
      </c>
      <c r="G193" s="25">
        <f>VLOOKUP(Base_données[Code],Stock_Magasin[],4,0)</f>
        <v>200</v>
      </c>
      <c r="H193" s="25">
        <f>Base_données[[#This Row],[Quantité]]*Base_données[[#This Row],[Coût d''Achat Unitaire TTC]]</f>
        <v>3800</v>
      </c>
      <c r="I193" s="14">
        <f t="shared" si="11"/>
        <v>45997</v>
      </c>
    </row>
    <row r="194" spans="1:9" x14ac:dyDescent="0.25">
      <c r="A194" s="4">
        <v>1000013</v>
      </c>
      <c r="B194" s="29" t="s">
        <v>45</v>
      </c>
      <c r="C194" s="30">
        <v>6</v>
      </c>
      <c r="D194" s="32">
        <v>3125</v>
      </c>
      <c r="E194" s="32">
        <v>18750</v>
      </c>
      <c r="F194" s="1">
        <v>45997.781817129631</v>
      </c>
      <c r="G194" s="25">
        <f>VLOOKUP(Base_données[Code],Stock_Magasin[],4,0)</f>
        <v>2500</v>
      </c>
      <c r="H194" s="25">
        <f>Base_données[[#This Row],[Quantité]]*Base_données[[#This Row],[Coût d''Achat Unitaire TTC]]</f>
        <v>15000</v>
      </c>
      <c r="I194" s="14">
        <f t="shared" si="11"/>
        <v>45997</v>
      </c>
    </row>
    <row r="195" spans="1:9" x14ac:dyDescent="0.25">
      <c r="A195" s="4">
        <v>1000009</v>
      </c>
      <c r="B195" s="29" t="s">
        <v>36</v>
      </c>
      <c r="C195" s="30">
        <v>8</v>
      </c>
      <c r="D195" s="32">
        <v>2250</v>
      </c>
      <c r="E195" s="32">
        <v>18000</v>
      </c>
      <c r="F195" s="1">
        <v>45997.781817129631</v>
      </c>
      <c r="G195" s="25">
        <f>VLOOKUP(Base_données[Code],Stock_Magasin[],4,0)</f>
        <v>1800</v>
      </c>
      <c r="H195" s="25">
        <f>Base_données[[#This Row],[Quantité]]*Base_données[[#This Row],[Coût d''Achat Unitaire TTC]]</f>
        <v>14400</v>
      </c>
      <c r="I195" s="14">
        <f t="shared" si="11"/>
        <v>45997</v>
      </c>
    </row>
    <row r="196" spans="1:9" x14ac:dyDescent="0.25">
      <c r="A196" s="4">
        <v>1000021</v>
      </c>
      <c r="B196" s="29" t="s">
        <v>79</v>
      </c>
      <c r="C196" s="30">
        <v>22</v>
      </c>
      <c r="D196" s="32">
        <v>500</v>
      </c>
      <c r="E196" s="32">
        <v>11000</v>
      </c>
      <c r="F196" s="1">
        <v>45998.782962962963</v>
      </c>
      <c r="G196" s="25">
        <f>VLOOKUP(Base_données[Code],Stock_Magasin[],4,0)</f>
        <v>400</v>
      </c>
      <c r="H196" s="25">
        <f>Base_données[[#This Row],[Quantité]]*Base_données[[#This Row],[Coût d''Achat Unitaire TTC]]</f>
        <v>8800</v>
      </c>
      <c r="I196" s="14">
        <f t="shared" si="11"/>
        <v>45998</v>
      </c>
    </row>
    <row r="197" spans="1:9" x14ac:dyDescent="0.25">
      <c r="A197" s="4">
        <v>1000022</v>
      </c>
      <c r="B197" s="29" t="s">
        <v>80</v>
      </c>
      <c r="C197" s="30">
        <v>13</v>
      </c>
      <c r="D197" s="32">
        <v>750</v>
      </c>
      <c r="E197" s="32">
        <v>9750</v>
      </c>
      <c r="F197" s="1">
        <v>45998.782962962963</v>
      </c>
      <c r="G197" s="25">
        <f>VLOOKUP(Base_données[Code],Stock_Magasin[],4,0)</f>
        <v>600</v>
      </c>
      <c r="H197" s="25">
        <f>Base_données[[#This Row],[Quantité]]*Base_données[[#This Row],[Coût d''Achat Unitaire TTC]]</f>
        <v>7800</v>
      </c>
      <c r="I197" s="14">
        <f t="shared" si="11"/>
        <v>45998</v>
      </c>
    </row>
    <row r="198" spans="1:9" x14ac:dyDescent="0.25">
      <c r="A198" s="4">
        <v>1000014</v>
      </c>
      <c r="B198" s="29" t="s">
        <v>44</v>
      </c>
      <c r="C198" s="30">
        <v>1</v>
      </c>
      <c r="D198" s="32">
        <v>43750</v>
      </c>
      <c r="E198" s="32">
        <v>43750</v>
      </c>
      <c r="F198" s="1">
        <v>45998.782962962963</v>
      </c>
      <c r="G198" s="25">
        <f>VLOOKUP(Base_données[Code],Stock_Magasin[],4,0)</f>
        <v>35000</v>
      </c>
      <c r="H198" s="25">
        <f>Base_données[[#This Row],[Quantité]]*Base_données[[#This Row],[Coût d''Achat Unitaire TTC]]</f>
        <v>35000</v>
      </c>
      <c r="I198" s="14">
        <f t="shared" si="11"/>
        <v>45998</v>
      </c>
    </row>
    <row r="199" spans="1:9" x14ac:dyDescent="0.25">
      <c r="A199" s="4">
        <v>1000007</v>
      </c>
      <c r="B199" s="29" t="s">
        <v>34</v>
      </c>
      <c r="C199" s="30">
        <v>4</v>
      </c>
      <c r="D199" s="32">
        <v>5000</v>
      </c>
      <c r="E199" s="32">
        <v>20000</v>
      </c>
      <c r="F199" s="1">
        <v>45998.78297453704</v>
      </c>
      <c r="G199" s="25">
        <f>VLOOKUP(Base_données[Code],Stock_Magasin[],4,0)</f>
        <v>4000</v>
      </c>
      <c r="H199" s="25">
        <f>Base_données[[#This Row],[Quantité]]*Base_données[[#This Row],[Coût d''Achat Unitaire TTC]]</f>
        <v>16000</v>
      </c>
      <c r="I199" s="14">
        <f t="shared" si="11"/>
        <v>45998</v>
      </c>
    </row>
    <row r="200" spans="1:9" x14ac:dyDescent="0.25">
      <c r="A200" s="4">
        <v>1000009</v>
      </c>
      <c r="B200" s="29" t="s">
        <v>36</v>
      </c>
      <c r="C200" s="30">
        <v>7</v>
      </c>
      <c r="D200" s="32">
        <v>2250</v>
      </c>
      <c r="E200" s="32">
        <v>15750</v>
      </c>
      <c r="F200" s="1">
        <v>45998.78297453704</v>
      </c>
      <c r="G200" s="25">
        <f>VLOOKUP(Base_données[Code],Stock_Magasin[],4,0)</f>
        <v>1800</v>
      </c>
      <c r="H200" s="25">
        <f>Base_données[[#This Row],[Quantité]]*Base_données[[#This Row],[Coût d''Achat Unitaire TTC]]</f>
        <v>12600</v>
      </c>
      <c r="I200" s="14">
        <f t="shared" si="11"/>
        <v>45998</v>
      </c>
    </row>
    <row r="201" spans="1:9" x14ac:dyDescent="0.25">
      <c r="A201" s="4">
        <v>1000023</v>
      </c>
      <c r="B201" s="29" t="s">
        <v>81</v>
      </c>
      <c r="C201" s="30">
        <v>17</v>
      </c>
      <c r="D201" s="32">
        <v>1500</v>
      </c>
      <c r="E201" s="32">
        <v>25500</v>
      </c>
      <c r="F201" s="1">
        <v>45999.785416666666</v>
      </c>
      <c r="G201" s="25">
        <f>VLOOKUP(Base_données[Code],Stock_Magasin[],4,0)</f>
        <v>1200</v>
      </c>
      <c r="H201" s="25">
        <f>Base_données[[#This Row],[Quantité]]*Base_données[[#This Row],[Coût d''Achat Unitaire TTC]]</f>
        <v>20400</v>
      </c>
      <c r="I201" s="14">
        <f t="shared" si="11"/>
        <v>45999</v>
      </c>
    </row>
    <row r="202" spans="1:9" x14ac:dyDescent="0.25">
      <c r="A202" s="4">
        <v>1000024</v>
      </c>
      <c r="B202" s="29" t="s">
        <v>82</v>
      </c>
      <c r="C202" s="30">
        <v>19</v>
      </c>
      <c r="D202" s="32">
        <v>750</v>
      </c>
      <c r="E202" s="32">
        <v>14250</v>
      </c>
      <c r="F202" s="1">
        <v>45999.785416666666</v>
      </c>
      <c r="G202" s="25">
        <f>VLOOKUP(Base_données[Code],Stock_Magasin[],4,0)</f>
        <v>600</v>
      </c>
      <c r="H202" s="25">
        <f>Base_données[[#This Row],[Quantité]]*Base_données[[#This Row],[Coût d''Achat Unitaire TTC]]</f>
        <v>11400</v>
      </c>
      <c r="I202" s="14">
        <f t="shared" si="11"/>
        <v>45999</v>
      </c>
    </row>
    <row r="203" spans="1:9" x14ac:dyDescent="0.25">
      <c r="A203" s="4">
        <v>1000025</v>
      </c>
      <c r="B203" s="29" t="s">
        <v>83</v>
      </c>
      <c r="C203" s="30">
        <v>25</v>
      </c>
      <c r="D203" s="32">
        <v>500</v>
      </c>
      <c r="E203" s="32">
        <v>12500</v>
      </c>
      <c r="F203" s="1">
        <v>45999.785416666666</v>
      </c>
      <c r="G203" s="25">
        <f>VLOOKUP(Base_données[Code],Stock_Magasin[],4,0)</f>
        <v>400</v>
      </c>
      <c r="H203" s="25">
        <f>Base_données[[#This Row],[Quantité]]*Base_données[[#This Row],[Coût d''Achat Unitaire TTC]]</f>
        <v>10000</v>
      </c>
      <c r="I203" s="14">
        <f t="shared" si="11"/>
        <v>45999</v>
      </c>
    </row>
    <row r="204" spans="1:9" x14ac:dyDescent="0.25">
      <c r="A204" s="4">
        <v>1000026</v>
      </c>
      <c r="B204" s="29" t="s">
        <v>84</v>
      </c>
      <c r="C204" s="30">
        <v>6</v>
      </c>
      <c r="D204" s="32">
        <v>1250</v>
      </c>
      <c r="E204" s="32">
        <v>7500</v>
      </c>
      <c r="F204" s="1">
        <v>45999.785416666666</v>
      </c>
      <c r="G204" s="25">
        <f>VLOOKUP(Base_données[Code],Stock_Magasin[],4,0)</f>
        <v>1000</v>
      </c>
      <c r="H204" s="25">
        <f>Base_données[[#This Row],[Quantité]]*Base_données[[#This Row],[Coût d''Achat Unitaire TTC]]</f>
        <v>6000</v>
      </c>
      <c r="I204" s="14">
        <f t="shared" si="11"/>
        <v>45999</v>
      </c>
    </row>
    <row r="205" spans="1:9" x14ac:dyDescent="0.25">
      <c r="A205" s="4">
        <v>1000027</v>
      </c>
      <c r="B205" s="29" t="s">
        <v>88</v>
      </c>
      <c r="C205" s="30">
        <v>20</v>
      </c>
      <c r="D205" s="32">
        <v>500</v>
      </c>
      <c r="E205" s="32">
        <v>10000</v>
      </c>
      <c r="F205" s="1">
        <v>45999.785416666666</v>
      </c>
      <c r="G205" s="25">
        <f>VLOOKUP(Base_données[Code],Stock_Magasin[],4,0)</f>
        <v>400</v>
      </c>
      <c r="H205" s="25">
        <f>Base_données[[#This Row],[Quantité]]*Base_données[[#This Row],[Coût d''Achat Unitaire TTC]]</f>
        <v>8000</v>
      </c>
      <c r="I205" s="14">
        <f t="shared" si="11"/>
        <v>45999</v>
      </c>
    </row>
    <row r="206" spans="1:9" x14ac:dyDescent="0.25">
      <c r="A206" s="4">
        <v>1000028</v>
      </c>
      <c r="B206" s="29" t="s">
        <v>114</v>
      </c>
      <c r="C206" s="30">
        <v>12</v>
      </c>
      <c r="D206" s="32">
        <v>500</v>
      </c>
      <c r="E206" s="32">
        <v>6000</v>
      </c>
      <c r="F206" s="1">
        <v>45999.785428240742</v>
      </c>
      <c r="G206" s="25">
        <f>VLOOKUP(Base_données[Code],Stock_Magasin[],4,0)</f>
        <v>400</v>
      </c>
      <c r="H206" s="25">
        <f>Base_données[[#This Row],[Quantité]]*Base_données[[#This Row],[Coût d''Achat Unitaire TTC]]</f>
        <v>4800</v>
      </c>
      <c r="I206" s="14">
        <f t="shared" si="11"/>
        <v>45999</v>
      </c>
    </row>
    <row r="207" spans="1:9" x14ac:dyDescent="0.25">
      <c r="A207" s="4">
        <v>1000030</v>
      </c>
      <c r="B207" s="29" t="s">
        <v>116</v>
      </c>
      <c r="C207" s="30">
        <v>8</v>
      </c>
      <c r="D207" s="32">
        <v>500</v>
      </c>
      <c r="E207" s="32">
        <v>4000</v>
      </c>
      <c r="F207" s="1">
        <v>45999.785428240742</v>
      </c>
      <c r="G207" s="25">
        <f>VLOOKUP(Base_données[Code],Stock_Magasin[],4,0)</f>
        <v>400</v>
      </c>
      <c r="H207" s="25">
        <f>Base_données[[#This Row],[Quantité]]*Base_données[[#This Row],[Coût d''Achat Unitaire TTC]]</f>
        <v>3200</v>
      </c>
      <c r="I207" s="14">
        <f t="shared" si="11"/>
        <v>45999</v>
      </c>
    </row>
    <row r="208" spans="1:9" x14ac:dyDescent="0.25">
      <c r="A208" s="4">
        <v>1000007</v>
      </c>
      <c r="B208" s="29" t="s">
        <v>34</v>
      </c>
      <c r="C208" s="30">
        <v>10</v>
      </c>
      <c r="D208" s="32">
        <v>5000</v>
      </c>
      <c r="E208" s="32">
        <v>50000</v>
      </c>
      <c r="F208" s="1">
        <v>45999.785428240742</v>
      </c>
      <c r="G208" s="25">
        <f>VLOOKUP(Base_données[Code],Stock_Magasin[],4,0)</f>
        <v>4000</v>
      </c>
      <c r="H208" s="25">
        <f>Base_données[[#This Row],[Quantité]]*Base_données[[#This Row],[Coût d''Achat Unitaire TTC]]</f>
        <v>40000</v>
      </c>
      <c r="I208" s="14">
        <f t="shared" si="11"/>
        <v>45999</v>
      </c>
    </row>
    <row r="209" spans="1:9" x14ac:dyDescent="0.25">
      <c r="A209" s="4">
        <v>1000009</v>
      </c>
      <c r="B209" s="29" t="s">
        <v>36</v>
      </c>
      <c r="C209" s="30">
        <v>7</v>
      </c>
      <c r="D209" s="32">
        <v>2250</v>
      </c>
      <c r="E209" s="32">
        <v>15750</v>
      </c>
      <c r="F209" s="1">
        <v>45999.785428240742</v>
      </c>
      <c r="G209" s="25">
        <f>VLOOKUP(Base_données[Code],Stock_Magasin[],4,0)</f>
        <v>1800</v>
      </c>
      <c r="H209" s="25">
        <f>Base_données[[#This Row],[Quantité]]*Base_données[[#This Row],[Coût d''Achat Unitaire TTC]]</f>
        <v>12600</v>
      </c>
      <c r="I209" s="14">
        <f t="shared" ref="I209:I240" si="12">INT(F209)</f>
        <v>45999</v>
      </c>
    </row>
    <row r="210" spans="1:9" x14ac:dyDescent="0.25">
      <c r="A210" s="4">
        <v>1000029</v>
      </c>
      <c r="B210" s="29" t="s">
        <v>115</v>
      </c>
      <c r="C210" s="30">
        <v>32</v>
      </c>
      <c r="D210" s="32">
        <v>1125</v>
      </c>
      <c r="E210" s="32">
        <v>36000</v>
      </c>
      <c r="F210" s="1">
        <v>46000.792812500003</v>
      </c>
      <c r="G210" s="25">
        <f>VLOOKUP(Base_données[Code],Stock_Magasin[],4,0)</f>
        <v>900</v>
      </c>
      <c r="H210" s="25">
        <f>Base_données[[#This Row],[Quantité]]*Base_données[[#This Row],[Coût d''Achat Unitaire TTC]]</f>
        <v>28800</v>
      </c>
      <c r="I210" s="14">
        <f t="shared" si="12"/>
        <v>46000</v>
      </c>
    </row>
    <row r="211" spans="1:9" x14ac:dyDescent="0.25">
      <c r="A211" s="4">
        <v>1000030</v>
      </c>
      <c r="B211" s="29" t="s">
        <v>116</v>
      </c>
      <c r="C211" s="30">
        <v>24</v>
      </c>
      <c r="D211" s="32">
        <v>500</v>
      </c>
      <c r="E211" s="32">
        <v>12000</v>
      </c>
      <c r="F211" s="1">
        <v>46000.792812500003</v>
      </c>
      <c r="G211" s="25">
        <f>VLOOKUP(Base_données[Code],Stock_Magasin[],4,0)</f>
        <v>400</v>
      </c>
      <c r="H211" s="25">
        <f>Base_données[[#This Row],[Quantité]]*Base_données[[#This Row],[Coût d''Achat Unitaire TTC]]</f>
        <v>9600</v>
      </c>
      <c r="I211" s="14">
        <f t="shared" si="12"/>
        <v>46000</v>
      </c>
    </row>
    <row r="212" spans="1:9" x14ac:dyDescent="0.25">
      <c r="A212" s="4">
        <v>1000031</v>
      </c>
      <c r="B212" s="29" t="s">
        <v>117</v>
      </c>
      <c r="C212" s="30">
        <v>16</v>
      </c>
      <c r="D212" s="32">
        <v>2125</v>
      </c>
      <c r="E212" s="32">
        <v>34000</v>
      </c>
      <c r="F212" s="1">
        <v>46000.792812500003</v>
      </c>
      <c r="G212" s="25">
        <f>VLOOKUP(Base_données[Code],Stock_Magasin[],4,0)</f>
        <v>1700</v>
      </c>
      <c r="H212" s="25">
        <f>Base_données[[#This Row],[Quantité]]*Base_données[[#This Row],[Coût d''Achat Unitaire TTC]]</f>
        <v>27200</v>
      </c>
      <c r="I212" s="14">
        <f t="shared" si="12"/>
        <v>46000</v>
      </c>
    </row>
    <row r="213" spans="1:9" x14ac:dyDescent="0.25">
      <c r="A213" s="4">
        <v>1000032</v>
      </c>
      <c r="B213" s="29" t="s">
        <v>118</v>
      </c>
      <c r="C213" s="30">
        <v>13</v>
      </c>
      <c r="D213" s="32">
        <v>500</v>
      </c>
      <c r="E213" s="32">
        <v>6500</v>
      </c>
      <c r="F213" s="1">
        <v>46000.792812500003</v>
      </c>
      <c r="G213" s="25">
        <f>VLOOKUP(Base_données[Code],Stock_Magasin[],4,0)</f>
        <v>400</v>
      </c>
      <c r="H213" s="25">
        <f>Base_données[[#This Row],[Quantité]]*Base_données[[#This Row],[Coût d''Achat Unitaire TTC]]</f>
        <v>5200</v>
      </c>
      <c r="I213" s="14">
        <f t="shared" si="12"/>
        <v>46000</v>
      </c>
    </row>
    <row r="214" spans="1:9" x14ac:dyDescent="0.25">
      <c r="A214" s="4">
        <v>1000033</v>
      </c>
      <c r="B214" s="29" t="s">
        <v>119</v>
      </c>
      <c r="C214" s="30">
        <v>19</v>
      </c>
      <c r="D214" s="32">
        <v>500</v>
      </c>
      <c r="E214" s="32">
        <v>9500</v>
      </c>
      <c r="F214" s="1">
        <v>46000.792812500003</v>
      </c>
      <c r="G214" s="25">
        <f>VLOOKUP(Base_données[Code],Stock_Magasin[],4,0)</f>
        <v>400</v>
      </c>
      <c r="H214" s="25">
        <f>Base_données[[#This Row],[Quantité]]*Base_données[[#This Row],[Coût d''Achat Unitaire TTC]]</f>
        <v>7600</v>
      </c>
      <c r="I214" s="14">
        <f t="shared" si="12"/>
        <v>46000</v>
      </c>
    </row>
    <row r="215" spans="1:9" x14ac:dyDescent="0.25">
      <c r="A215" s="4">
        <v>1000034</v>
      </c>
      <c r="B215" s="29" t="s">
        <v>120</v>
      </c>
      <c r="C215" s="30">
        <v>4</v>
      </c>
      <c r="D215" s="32">
        <v>31250</v>
      </c>
      <c r="E215" s="32">
        <v>125000</v>
      </c>
      <c r="F215" s="1">
        <v>46001.794803240744</v>
      </c>
      <c r="G215" s="25">
        <f>VLOOKUP(Base_données[Code],Stock_Magasin[],4,0)</f>
        <v>25000</v>
      </c>
      <c r="H215" s="25">
        <f>Base_données[[#This Row],[Quantité]]*Base_données[[#This Row],[Coût d''Achat Unitaire TTC]]</f>
        <v>100000</v>
      </c>
      <c r="I215" s="14">
        <f t="shared" si="12"/>
        <v>46001</v>
      </c>
    </row>
    <row r="216" spans="1:9" x14ac:dyDescent="0.25">
      <c r="A216" s="4">
        <v>1000003</v>
      </c>
      <c r="B216" s="29" t="s">
        <v>30</v>
      </c>
      <c r="C216" s="30">
        <v>34</v>
      </c>
      <c r="D216" s="32">
        <v>500</v>
      </c>
      <c r="E216" s="32">
        <v>17000</v>
      </c>
      <c r="F216" s="1">
        <v>46001.794803240744</v>
      </c>
      <c r="G216" s="25">
        <f>VLOOKUP(Base_données[Code],Stock_Magasin[],4,0)</f>
        <v>400</v>
      </c>
      <c r="H216" s="25">
        <f>Base_données[[#This Row],[Quantité]]*Base_données[[#This Row],[Coût d''Achat Unitaire TTC]]</f>
        <v>13600</v>
      </c>
      <c r="I216" s="14">
        <f t="shared" si="12"/>
        <v>46001</v>
      </c>
    </row>
    <row r="217" spans="1:9" x14ac:dyDescent="0.25">
      <c r="A217" s="4">
        <v>1000035</v>
      </c>
      <c r="B217" s="29" t="s">
        <v>121</v>
      </c>
      <c r="C217" s="30">
        <v>2</v>
      </c>
      <c r="D217" s="32">
        <v>31250</v>
      </c>
      <c r="E217" s="32">
        <v>62500</v>
      </c>
      <c r="F217" s="1">
        <v>46002.795578703706</v>
      </c>
      <c r="G217" s="25">
        <f>VLOOKUP(Base_données[Code],Stock_Magasin[],4,0)</f>
        <v>25000</v>
      </c>
      <c r="H217" s="25">
        <f>Base_données[[#This Row],[Quantité]]*Base_données[[#This Row],[Coût d''Achat Unitaire TTC]]</f>
        <v>50000</v>
      </c>
      <c r="I217" s="14">
        <f t="shared" si="12"/>
        <v>46002</v>
      </c>
    </row>
    <row r="218" spans="1:9" x14ac:dyDescent="0.25">
      <c r="A218" s="4">
        <v>1000036</v>
      </c>
      <c r="B218" s="29" t="s">
        <v>122</v>
      </c>
      <c r="C218" s="30">
        <v>8</v>
      </c>
      <c r="D218" s="32">
        <v>9375</v>
      </c>
      <c r="E218" s="32">
        <v>75000</v>
      </c>
      <c r="F218" s="1">
        <v>46002.795578703706</v>
      </c>
      <c r="G218" s="25">
        <f>VLOOKUP(Base_données[Code],Stock_Magasin[],4,0)</f>
        <v>7500</v>
      </c>
      <c r="H218" s="25">
        <f>Base_données[[#This Row],[Quantité]]*Base_données[[#This Row],[Coût d''Achat Unitaire TTC]]</f>
        <v>60000</v>
      </c>
      <c r="I218" s="14">
        <f t="shared" si="12"/>
        <v>46002</v>
      </c>
    </row>
    <row r="219" spans="1:9" x14ac:dyDescent="0.25">
      <c r="A219" s="4">
        <v>1000003</v>
      </c>
      <c r="B219" s="29" t="s">
        <v>30</v>
      </c>
      <c r="C219" s="30">
        <v>26</v>
      </c>
      <c r="D219" s="32">
        <v>500</v>
      </c>
      <c r="E219" s="32">
        <v>13000</v>
      </c>
      <c r="F219" s="1">
        <v>46002.796747685185</v>
      </c>
      <c r="G219" s="25">
        <f>VLOOKUP(Base_données[Code],Stock_Magasin[],4,0)</f>
        <v>400</v>
      </c>
      <c r="H219" s="25">
        <f>Base_données[[#This Row],[Quantité]]*Base_données[[#This Row],[Coût d''Achat Unitaire TTC]]</f>
        <v>10400</v>
      </c>
      <c r="I219" s="14">
        <f t="shared" si="12"/>
        <v>46002</v>
      </c>
    </row>
    <row r="220" spans="1:9" x14ac:dyDescent="0.25">
      <c r="A220" s="4">
        <v>1000037</v>
      </c>
      <c r="B220" s="29" t="s">
        <v>123</v>
      </c>
      <c r="C220" s="30">
        <v>23</v>
      </c>
      <c r="D220" s="32">
        <v>1250</v>
      </c>
      <c r="E220" s="32">
        <v>28750</v>
      </c>
      <c r="F220" s="1">
        <v>46003.798032407409</v>
      </c>
      <c r="G220" s="25">
        <f>VLOOKUP(Base_données[Code],Stock_Magasin[],4,0)</f>
        <v>1000</v>
      </c>
      <c r="H220" s="25">
        <f>Base_données[[#This Row],[Quantité]]*Base_données[[#This Row],[Coût d''Achat Unitaire TTC]]</f>
        <v>23000</v>
      </c>
      <c r="I220" s="14">
        <f t="shared" si="12"/>
        <v>46003</v>
      </c>
    </row>
    <row r="221" spans="1:9" x14ac:dyDescent="0.25">
      <c r="A221" s="4">
        <v>1000038</v>
      </c>
      <c r="B221" s="29" t="s">
        <v>124</v>
      </c>
      <c r="C221" s="30">
        <v>13</v>
      </c>
      <c r="D221" s="32">
        <v>1250</v>
      </c>
      <c r="E221" s="32">
        <v>16250</v>
      </c>
      <c r="F221" s="1">
        <v>46003.798032407409</v>
      </c>
      <c r="G221" s="25">
        <f>VLOOKUP(Base_données[Code],Stock_Magasin[],4,0)</f>
        <v>1000</v>
      </c>
      <c r="H221" s="25">
        <f>Base_données[[#This Row],[Quantité]]*Base_données[[#This Row],[Coût d''Achat Unitaire TTC]]</f>
        <v>13000</v>
      </c>
      <c r="I221" s="14">
        <f t="shared" si="12"/>
        <v>46003</v>
      </c>
    </row>
    <row r="222" spans="1:9" x14ac:dyDescent="0.25">
      <c r="A222" s="4">
        <v>1000039</v>
      </c>
      <c r="B222" s="29" t="s">
        <v>125</v>
      </c>
      <c r="C222" s="30">
        <v>18</v>
      </c>
      <c r="D222" s="32">
        <v>1250</v>
      </c>
      <c r="E222" s="32">
        <v>22500</v>
      </c>
      <c r="F222" s="1">
        <v>46003.798032407409</v>
      </c>
      <c r="G222" s="25">
        <f>VLOOKUP(Base_données[Code],Stock_Magasin[],4,0)</f>
        <v>1000</v>
      </c>
      <c r="H222" s="25">
        <f>Base_données[[#This Row],[Quantité]]*Base_données[[#This Row],[Coût d''Achat Unitaire TTC]]</f>
        <v>18000</v>
      </c>
      <c r="I222" s="14">
        <f t="shared" si="12"/>
        <v>46003</v>
      </c>
    </row>
    <row r="223" spans="1:9" x14ac:dyDescent="0.25">
      <c r="A223" s="4">
        <v>1000040</v>
      </c>
      <c r="B223" s="29" t="s">
        <v>138</v>
      </c>
      <c r="C223" s="30">
        <v>15</v>
      </c>
      <c r="D223" s="32">
        <v>1250</v>
      </c>
      <c r="E223" s="32">
        <v>18750</v>
      </c>
      <c r="F223" s="1">
        <v>46003.798032407409</v>
      </c>
      <c r="G223" s="25">
        <f>VLOOKUP(Base_données[Code],Stock_Magasin[],4,0)</f>
        <v>1000</v>
      </c>
      <c r="H223" s="25">
        <f>Base_données[[#This Row],[Quantité]]*Base_données[[#This Row],[Coût d''Achat Unitaire TTC]]</f>
        <v>15000</v>
      </c>
      <c r="I223" s="14">
        <f t="shared" si="12"/>
        <v>46003</v>
      </c>
    </row>
    <row r="224" spans="1:9" x14ac:dyDescent="0.25">
      <c r="A224" s="4">
        <v>1000041</v>
      </c>
      <c r="B224" s="29" t="s">
        <v>126</v>
      </c>
      <c r="C224" s="30">
        <v>10</v>
      </c>
      <c r="D224" s="32">
        <v>1250</v>
      </c>
      <c r="E224" s="32">
        <v>12500</v>
      </c>
      <c r="F224" s="1">
        <v>46003.798032407409</v>
      </c>
      <c r="G224" s="25">
        <f>VLOOKUP(Base_données[Code],Stock_Magasin[],4,0)</f>
        <v>1000</v>
      </c>
      <c r="H224" s="25">
        <f>Base_données[[#This Row],[Quantité]]*Base_données[[#This Row],[Coût d''Achat Unitaire TTC]]</f>
        <v>10000</v>
      </c>
      <c r="I224" s="14">
        <f t="shared" si="12"/>
        <v>46003</v>
      </c>
    </row>
    <row r="225" spans="1:9" x14ac:dyDescent="0.25">
      <c r="A225" s="4">
        <v>1000041</v>
      </c>
      <c r="B225" s="29" t="s">
        <v>126</v>
      </c>
      <c r="C225" s="30">
        <v>23</v>
      </c>
      <c r="D225" s="32">
        <v>1250</v>
      </c>
      <c r="E225" s="32">
        <v>28750</v>
      </c>
      <c r="F225" s="1">
        <v>46004.924675925926</v>
      </c>
      <c r="G225" s="25">
        <f>VLOOKUP(Base_données[Code],Stock_Magasin[],4,0)</f>
        <v>1000</v>
      </c>
      <c r="H225" s="25">
        <f>Base_données[[#This Row],[Quantité]]*Base_données[[#This Row],[Coût d''Achat Unitaire TTC]]</f>
        <v>23000</v>
      </c>
      <c r="I225" s="14">
        <f t="shared" si="12"/>
        <v>46004</v>
      </c>
    </row>
    <row r="226" spans="1:9" x14ac:dyDescent="0.25">
      <c r="A226" s="4">
        <v>1000042</v>
      </c>
      <c r="B226" s="29" t="s">
        <v>127</v>
      </c>
      <c r="C226" s="30">
        <v>13</v>
      </c>
      <c r="D226" s="32">
        <v>1250</v>
      </c>
      <c r="E226" s="32">
        <v>16250</v>
      </c>
      <c r="F226" s="1">
        <v>46004.924675925926</v>
      </c>
      <c r="G226" s="25">
        <f>VLOOKUP(Base_données[Code],Stock_Magasin[],4,0)</f>
        <v>1000</v>
      </c>
      <c r="H226" s="25">
        <f>Base_données[[#This Row],[Quantité]]*Base_données[[#This Row],[Coût d''Achat Unitaire TTC]]</f>
        <v>13000</v>
      </c>
      <c r="I226" s="14">
        <f t="shared" si="12"/>
        <v>46004</v>
      </c>
    </row>
    <row r="227" spans="1:9" x14ac:dyDescent="0.25">
      <c r="A227" s="4">
        <v>1000043</v>
      </c>
      <c r="B227" s="29" t="s">
        <v>128</v>
      </c>
      <c r="C227" s="30">
        <v>34</v>
      </c>
      <c r="D227" s="32">
        <v>500</v>
      </c>
      <c r="E227" s="32">
        <v>17000</v>
      </c>
      <c r="F227" s="1">
        <v>46004.924675925926</v>
      </c>
      <c r="G227" s="25">
        <f>VLOOKUP(Base_données[Code],Stock_Magasin[],4,0)</f>
        <v>400</v>
      </c>
      <c r="H227" s="25">
        <f>Base_données[[#This Row],[Quantité]]*Base_données[[#This Row],[Coût d''Achat Unitaire TTC]]</f>
        <v>13600</v>
      </c>
      <c r="I227" s="14">
        <f t="shared" si="12"/>
        <v>46004</v>
      </c>
    </row>
    <row r="228" spans="1:9" x14ac:dyDescent="0.25">
      <c r="A228" s="4">
        <v>1000044</v>
      </c>
      <c r="B228" s="29" t="s">
        <v>129</v>
      </c>
      <c r="C228" s="30">
        <v>19</v>
      </c>
      <c r="D228" s="32">
        <v>1875</v>
      </c>
      <c r="E228" s="32">
        <v>35625</v>
      </c>
      <c r="F228" s="1">
        <v>46004.924675925926</v>
      </c>
      <c r="G228" s="25">
        <f>VLOOKUP(Base_données[Code],Stock_Magasin[],4,0)</f>
        <v>1500</v>
      </c>
      <c r="H228" s="25">
        <f>Base_données[[#This Row],[Quantité]]*Base_données[[#This Row],[Coût d''Achat Unitaire TTC]]</f>
        <v>28500</v>
      </c>
      <c r="I228" s="14">
        <f t="shared" si="12"/>
        <v>46004</v>
      </c>
    </row>
    <row r="229" spans="1:9" x14ac:dyDescent="0.25">
      <c r="A229" s="4">
        <v>1000040</v>
      </c>
      <c r="B229" s="29" t="s">
        <v>138</v>
      </c>
      <c r="C229" s="30">
        <v>10</v>
      </c>
      <c r="D229" s="32">
        <v>1250</v>
      </c>
      <c r="E229" s="32">
        <v>12500</v>
      </c>
      <c r="F229" s="1">
        <v>46004.924675925926</v>
      </c>
      <c r="G229" s="25">
        <f>VLOOKUP(Base_données[Code],Stock_Magasin[],4,0)</f>
        <v>1000</v>
      </c>
      <c r="H229" s="25">
        <f>Base_données[[#This Row],[Quantité]]*Base_données[[#This Row],[Coût d''Achat Unitaire TTC]]</f>
        <v>10000</v>
      </c>
      <c r="I229" s="14">
        <f t="shared" si="12"/>
        <v>46004</v>
      </c>
    </row>
    <row r="230" spans="1:9" x14ac:dyDescent="0.25">
      <c r="A230" s="4">
        <v>1000045</v>
      </c>
      <c r="B230" s="29" t="s">
        <v>130</v>
      </c>
      <c r="C230" s="30">
        <v>32</v>
      </c>
      <c r="D230" s="32">
        <v>500</v>
      </c>
      <c r="E230" s="32">
        <v>16000</v>
      </c>
      <c r="F230" s="1">
        <v>46005.934953703705</v>
      </c>
      <c r="G230" s="25">
        <f>VLOOKUP(Base_données[Code],Stock_Magasin[],4,0)</f>
        <v>400</v>
      </c>
      <c r="H230" s="25">
        <f>Base_données[[#This Row],[Quantité]]*Base_données[[#This Row],[Coût d''Achat Unitaire TTC]]</f>
        <v>12800</v>
      </c>
      <c r="I230" s="14">
        <f t="shared" si="12"/>
        <v>46005</v>
      </c>
    </row>
    <row r="231" spans="1:9" x14ac:dyDescent="0.25">
      <c r="A231" s="4">
        <v>1000046</v>
      </c>
      <c r="B231" s="29" t="s">
        <v>131</v>
      </c>
      <c r="C231" s="30">
        <v>15</v>
      </c>
      <c r="D231" s="32">
        <v>500</v>
      </c>
      <c r="E231" s="32">
        <v>7500</v>
      </c>
      <c r="F231" s="1">
        <v>46005.934953703705</v>
      </c>
      <c r="G231" s="25">
        <f>VLOOKUP(Base_données[Code],Stock_Magasin[],4,0)</f>
        <v>400</v>
      </c>
      <c r="H231" s="25">
        <f>Base_données[[#This Row],[Quantité]]*Base_données[[#This Row],[Coût d''Achat Unitaire TTC]]</f>
        <v>6000</v>
      </c>
      <c r="I231" s="14">
        <f t="shared" si="12"/>
        <v>46005</v>
      </c>
    </row>
    <row r="232" spans="1:9" x14ac:dyDescent="0.25">
      <c r="A232" s="4">
        <v>1000047</v>
      </c>
      <c r="B232" s="29" t="s">
        <v>132</v>
      </c>
      <c r="C232" s="30">
        <v>19</v>
      </c>
      <c r="D232" s="32">
        <v>500</v>
      </c>
      <c r="E232" s="32">
        <v>9500</v>
      </c>
      <c r="F232" s="1">
        <v>46005.934953703705</v>
      </c>
      <c r="G232" s="25">
        <f>VLOOKUP(Base_données[Code],Stock_Magasin[],4,0)</f>
        <v>400</v>
      </c>
      <c r="H232" s="25">
        <f>Base_données[[#This Row],[Quantité]]*Base_données[[#This Row],[Coût d''Achat Unitaire TTC]]</f>
        <v>7600</v>
      </c>
      <c r="I232" s="14">
        <f t="shared" si="12"/>
        <v>46005</v>
      </c>
    </row>
    <row r="233" spans="1:9" x14ac:dyDescent="0.25">
      <c r="A233" s="4">
        <v>1000048</v>
      </c>
      <c r="B233" s="29" t="s">
        <v>144</v>
      </c>
      <c r="C233" s="30">
        <v>14</v>
      </c>
      <c r="D233" s="32">
        <v>1250</v>
      </c>
      <c r="E233" s="32">
        <v>17500</v>
      </c>
      <c r="F233" s="1">
        <v>46005.934953703705</v>
      </c>
      <c r="G233" s="25">
        <f>VLOOKUP(Base_données[Code],Stock_Magasin[],4,0)</f>
        <v>1000</v>
      </c>
      <c r="H233" s="25">
        <f>Base_données[[#This Row],[Quantité]]*Base_données[[#This Row],[Coût d''Achat Unitaire TTC]]</f>
        <v>14000</v>
      </c>
      <c r="I233" s="14">
        <f t="shared" si="12"/>
        <v>46005</v>
      </c>
    </row>
    <row r="234" spans="1:9" x14ac:dyDescent="0.25">
      <c r="A234" s="4">
        <v>1000049</v>
      </c>
      <c r="B234" s="29" t="s">
        <v>134</v>
      </c>
      <c r="C234" s="30">
        <v>23</v>
      </c>
      <c r="D234" s="32">
        <v>1250</v>
      </c>
      <c r="E234" s="32">
        <v>28750</v>
      </c>
      <c r="F234" s="1">
        <v>46005.934953703705</v>
      </c>
      <c r="G234" s="25">
        <f>VLOOKUP(Base_données[Code],Stock_Magasin[],4,0)</f>
        <v>1000</v>
      </c>
      <c r="H234" s="25">
        <f>Base_données[[#This Row],[Quantité]]*Base_données[[#This Row],[Coût d''Achat Unitaire TTC]]</f>
        <v>23000</v>
      </c>
      <c r="I234" s="14">
        <f t="shared" si="12"/>
        <v>46005</v>
      </c>
    </row>
    <row r="235" spans="1:9" x14ac:dyDescent="0.25">
      <c r="A235" s="4">
        <v>1000024</v>
      </c>
      <c r="B235" s="29" t="s">
        <v>82</v>
      </c>
      <c r="C235" s="30">
        <v>21</v>
      </c>
      <c r="D235" s="32">
        <v>750</v>
      </c>
      <c r="E235" s="32">
        <v>15750</v>
      </c>
      <c r="F235" s="1">
        <v>46005.934953703705</v>
      </c>
      <c r="G235" s="25">
        <f>VLOOKUP(Base_données[Code],Stock_Magasin[],4,0)</f>
        <v>600</v>
      </c>
      <c r="H235" s="25">
        <f>Base_données[[#This Row],[Quantité]]*Base_données[[#This Row],[Coût d''Achat Unitaire TTC]]</f>
        <v>12600</v>
      </c>
      <c r="I235" s="14">
        <f t="shared" si="12"/>
        <v>46005</v>
      </c>
    </row>
    <row r="236" spans="1:9" x14ac:dyDescent="0.25">
      <c r="A236" s="4">
        <v>1000051</v>
      </c>
      <c r="B236" s="29" t="s">
        <v>136</v>
      </c>
      <c r="C236" s="30">
        <v>27</v>
      </c>
      <c r="D236" s="32">
        <v>1500</v>
      </c>
      <c r="E236" s="32">
        <v>40500</v>
      </c>
      <c r="F236" s="1">
        <v>46006.938935185186</v>
      </c>
      <c r="G236" s="25">
        <f>VLOOKUP(Base_données[Code],Stock_Magasin[],4,0)</f>
        <v>1200</v>
      </c>
      <c r="H236" s="25">
        <f>Base_données[[#This Row],[Quantité]]*Base_données[[#This Row],[Coût d''Achat Unitaire TTC]]</f>
        <v>32400</v>
      </c>
      <c r="I236" s="14">
        <f t="shared" si="12"/>
        <v>46006</v>
      </c>
    </row>
    <row r="237" spans="1:9" x14ac:dyDescent="0.25">
      <c r="A237" s="4">
        <v>1000053</v>
      </c>
      <c r="B237" s="29" t="s">
        <v>149</v>
      </c>
      <c r="C237" s="30">
        <v>2</v>
      </c>
      <c r="D237" s="32">
        <v>500</v>
      </c>
      <c r="E237" s="32">
        <v>1000</v>
      </c>
      <c r="F237" s="1">
        <v>46006.941250000003</v>
      </c>
      <c r="G237" s="25">
        <f>VLOOKUP(Base_données[Code],Stock_Magasin[],4,0)</f>
        <v>400</v>
      </c>
      <c r="H237" s="25">
        <f>Base_données[[#This Row],[Quantité]]*Base_données[[#This Row],[Coût d''Achat Unitaire TTC]]</f>
        <v>800</v>
      </c>
      <c r="I237" s="14">
        <f t="shared" si="12"/>
        <v>46006</v>
      </c>
    </row>
    <row r="238" spans="1:9" x14ac:dyDescent="0.25">
      <c r="A238" s="4">
        <v>1000035</v>
      </c>
      <c r="B238" s="29" t="s">
        <v>121</v>
      </c>
      <c r="C238" s="30">
        <v>2</v>
      </c>
      <c r="D238" s="32">
        <v>31250</v>
      </c>
      <c r="E238" s="32">
        <v>62500</v>
      </c>
      <c r="F238" s="1">
        <v>46006.942442129628</v>
      </c>
      <c r="G238" s="25">
        <f>VLOOKUP(Base_données[Code],Stock_Magasin[],4,0)</f>
        <v>25000</v>
      </c>
      <c r="H238" s="25">
        <f>Base_données[[#This Row],[Quantité]]*Base_données[[#This Row],[Coût d''Achat Unitaire TTC]]</f>
        <v>50000</v>
      </c>
      <c r="I238" s="14">
        <f t="shared" si="12"/>
        <v>46006</v>
      </c>
    </row>
    <row r="239" spans="1:9" x14ac:dyDescent="0.25">
      <c r="A239" s="4">
        <v>1000050</v>
      </c>
      <c r="B239" s="29" t="s">
        <v>135</v>
      </c>
      <c r="C239" s="30">
        <v>13</v>
      </c>
      <c r="D239" s="32">
        <v>1250</v>
      </c>
      <c r="E239" s="32">
        <v>16250</v>
      </c>
      <c r="F239" s="1">
        <v>46006.944456018522</v>
      </c>
      <c r="G239" s="25">
        <f>VLOOKUP(Base_données[Code],Stock_Magasin[],4,0)</f>
        <v>1000</v>
      </c>
      <c r="H239" s="25">
        <f>Base_données[[#This Row],[Quantité]]*Base_données[[#This Row],[Coût d''Achat Unitaire TTC]]</f>
        <v>13000</v>
      </c>
      <c r="I239" s="14">
        <f t="shared" si="12"/>
        <v>46006</v>
      </c>
    </row>
    <row r="240" spans="1:9" x14ac:dyDescent="0.25">
      <c r="A240" s="4">
        <v>1000001</v>
      </c>
      <c r="B240" s="29" t="s">
        <v>47</v>
      </c>
      <c r="C240" s="30">
        <v>7</v>
      </c>
      <c r="D240" s="32">
        <v>1250</v>
      </c>
      <c r="E240" s="32">
        <v>8750</v>
      </c>
      <c r="F240" s="1">
        <v>46006.946712962963</v>
      </c>
      <c r="G240" s="25">
        <f>VLOOKUP(Base_données[Code],Stock_Magasin[],4,0)</f>
        <v>1000</v>
      </c>
      <c r="H240" s="25">
        <f>Base_données[[#This Row],[Quantité]]*Base_données[[#This Row],[Coût d''Achat Unitaire TTC]]</f>
        <v>7000</v>
      </c>
      <c r="I240" s="14">
        <f t="shared" si="12"/>
        <v>46006</v>
      </c>
    </row>
    <row r="241" spans="1:9" x14ac:dyDescent="0.25">
      <c r="A241" s="4">
        <v>1000052</v>
      </c>
      <c r="B241" s="29" t="s">
        <v>137</v>
      </c>
      <c r="C241" s="30">
        <v>20</v>
      </c>
      <c r="D241" s="32">
        <v>1500</v>
      </c>
      <c r="E241" s="32">
        <v>30000</v>
      </c>
      <c r="F241" s="1">
        <v>46006.953692129631</v>
      </c>
      <c r="G241" s="25">
        <f>VLOOKUP(Base_données[Code],Stock_Magasin[],4,0)</f>
        <v>1200</v>
      </c>
      <c r="H241" s="25">
        <f>Base_données[[#This Row],[Quantité]]*Base_données[[#This Row],[Coût d''Achat Unitaire TTC]]</f>
        <v>24000</v>
      </c>
      <c r="I241" s="14">
        <f t="shared" ref="I241:I263" si="13">INT(F241)</f>
        <v>46006</v>
      </c>
    </row>
    <row r="242" spans="1:9" x14ac:dyDescent="0.25">
      <c r="A242" s="4">
        <v>1000054</v>
      </c>
      <c r="B242" s="29" t="s">
        <v>148</v>
      </c>
      <c r="C242" s="30">
        <v>10</v>
      </c>
      <c r="D242" s="32">
        <v>500</v>
      </c>
      <c r="E242" s="32">
        <v>5000</v>
      </c>
      <c r="F242" s="1">
        <v>46006.953692129631</v>
      </c>
      <c r="G242" s="25">
        <f>VLOOKUP(Base_données[Code],Stock_Magasin[],4,0)</f>
        <v>400</v>
      </c>
      <c r="H242" s="25">
        <f>Base_données[[#This Row],[Quantité]]*Base_données[[#This Row],[Coût d''Achat Unitaire TTC]]</f>
        <v>4000</v>
      </c>
      <c r="I242" s="14">
        <f t="shared" si="13"/>
        <v>46006</v>
      </c>
    </row>
    <row r="243" spans="1:9" x14ac:dyDescent="0.25">
      <c r="A243" s="4">
        <v>1000035</v>
      </c>
      <c r="B243" s="29" t="s">
        <v>121</v>
      </c>
      <c r="C243" s="30">
        <v>3</v>
      </c>
      <c r="D243" s="32">
        <v>31250</v>
      </c>
      <c r="E243" s="32">
        <v>93750</v>
      </c>
      <c r="F243" s="1">
        <v>46007.956400462965</v>
      </c>
      <c r="G243" s="25">
        <f>VLOOKUP(Base_données[Code],Stock_Magasin[],4,0)</f>
        <v>25000</v>
      </c>
      <c r="H243" s="25">
        <f>Base_données[[#This Row],[Quantité]]*Base_données[[#This Row],[Coût d''Achat Unitaire TTC]]</f>
        <v>75000</v>
      </c>
      <c r="I243" s="14">
        <f t="shared" si="13"/>
        <v>46007</v>
      </c>
    </row>
    <row r="244" spans="1:9" x14ac:dyDescent="0.25">
      <c r="A244" s="4">
        <v>1000024</v>
      </c>
      <c r="B244" s="29" t="s">
        <v>82</v>
      </c>
      <c r="C244" s="30">
        <v>35</v>
      </c>
      <c r="D244" s="32">
        <v>750</v>
      </c>
      <c r="E244" s="32">
        <v>26250</v>
      </c>
      <c r="F244" s="1">
        <v>46007.957025462965</v>
      </c>
      <c r="G244" s="25">
        <f>VLOOKUP(Base_données[Code],Stock_Magasin[],4,0)</f>
        <v>600</v>
      </c>
      <c r="H244" s="25">
        <f>Base_données[[#This Row],[Quantité]]*Base_données[[#This Row],[Coût d''Achat Unitaire TTC]]</f>
        <v>21000</v>
      </c>
      <c r="I244" s="14">
        <f t="shared" si="13"/>
        <v>46007</v>
      </c>
    </row>
    <row r="245" spans="1:9" x14ac:dyDescent="0.25">
      <c r="A245" s="4">
        <v>1000035</v>
      </c>
      <c r="B245" s="29" t="s">
        <v>121</v>
      </c>
      <c r="C245" s="30">
        <v>2</v>
      </c>
      <c r="D245" s="32">
        <v>31250</v>
      </c>
      <c r="E245" s="32">
        <v>62500</v>
      </c>
      <c r="F245" s="1">
        <v>46007.958865740744</v>
      </c>
      <c r="G245" s="25">
        <f>VLOOKUP(Base_données[Code],Stock_Magasin[],4,0)</f>
        <v>25000</v>
      </c>
      <c r="H245" s="25">
        <f>Base_données[[#This Row],[Quantité]]*Base_données[[#This Row],[Coût d''Achat Unitaire TTC]]</f>
        <v>50000</v>
      </c>
      <c r="I245" s="14">
        <f t="shared" si="13"/>
        <v>46007</v>
      </c>
    </row>
    <row r="246" spans="1:9" x14ac:dyDescent="0.25">
      <c r="A246" s="4">
        <v>1000024</v>
      </c>
      <c r="B246" s="29" t="s">
        <v>82</v>
      </c>
      <c r="C246" s="30">
        <v>32</v>
      </c>
      <c r="D246" s="32">
        <v>750</v>
      </c>
      <c r="E246" s="32">
        <v>24000</v>
      </c>
      <c r="F246" s="1">
        <v>46007.958865740744</v>
      </c>
      <c r="G246" s="25">
        <f>VLOOKUP(Base_données[Code],Stock_Magasin[],4,0)</f>
        <v>600</v>
      </c>
      <c r="H246" s="25">
        <f>Base_données[[#This Row],[Quantité]]*Base_données[[#This Row],[Coût d''Achat Unitaire TTC]]</f>
        <v>19200</v>
      </c>
      <c r="I246" s="14">
        <f t="shared" si="13"/>
        <v>46007</v>
      </c>
    </row>
    <row r="247" spans="1:9" x14ac:dyDescent="0.25">
      <c r="A247" s="4">
        <v>1000052</v>
      </c>
      <c r="B247" s="29" t="s">
        <v>137</v>
      </c>
      <c r="C247" s="30">
        <v>23</v>
      </c>
      <c r="D247" s="32">
        <v>1500</v>
      </c>
      <c r="E247" s="32">
        <v>34500</v>
      </c>
      <c r="F247" s="1">
        <v>46007.958865740744</v>
      </c>
      <c r="G247" s="25">
        <f>VLOOKUP(Base_données[Code],Stock_Magasin[],4,0)</f>
        <v>1200</v>
      </c>
      <c r="H247" s="25">
        <f>Base_données[[#This Row],[Quantité]]*Base_données[[#This Row],[Coût d''Achat Unitaire TTC]]</f>
        <v>27600</v>
      </c>
      <c r="I247" s="14">
        <f t="shared" si="13"/>
        <v>46007</v>
      </c>
    </row>
    <row r="248" spans="1:9" x14ac:dyDescent="0.25">
      <c r="A248" s="4">
        <v>1000014</v>
      </c>
      <c r="B248" s="29" t="s">
        <v>44</v>
      </c>
      <c r="C248" s="30">
        <v>1</v>
      </c>
      <c r="D248" s="32">
        <v>43750</v>
      </c>
      <c r="E248" s="32">
        <v>43750</v>
      </c>
      <c r="F248" s="1">
        <v>46008.335127314815</v>
      </c>
      <c r="G248" s="25">
        <f>VLOOKUP(Base_données[Code],Stock_Magasin[],4,0)</f>
        <v>35000</v>
      </c>
      <c r="H248" s="25">
        <f>Base_données[[#This Row],[Quantité]]*Base_données[[#This Row],[Coût d''Achat Unitaire TTC]]</f>
        <v>35000</v>
      </c>
      <c r="I248" s="14">
        <f t="shared" si="13"/>
        <v>46008</v>
      </c>
    </row>
    <row r="249" spans="1:9" x14ac:dyDescent="0.25">
      <c r="A249" s="4">
        <v>1000001</v>
      </c>
      <c r="B249" s="29" t="s">
        <v>47</v>
      </c>
      <c r="C249" s="30">
        <v>40</v>
      </c>
      <c r="D249" s="32">
        <v>1250</v>
      </c>
      <c r="E249" s="32">
        <v>50000</v>
      </c>
      <c r="F249" s="1">
        <v>46008.335138888891</v>
      </c>
      <c r="G249" s="25">
        <f>VLOOKUP(Base_données[Code],Stock_Magasin[],4,0)</f>
        <v>1000</v>
      </c>
      <c r="H249" s="25">
        <f>Base_données[[#This Row],[Quantité]]*Base_données[[#This Row],[Coût d''Achat Unitaire TTC]]</f>
        <v>40000</v>
      </c>
      <c r="I249" s="14">
        <f t="shared" si="13"/>
        <v>46008</v>
      </c>
    </row>
    <row r="250" spans="1:9" x14ac:dyDescent="0.25">
      <c r="A250" s="4">
        <v>1000018</v>
      </c>
      <c r="B250" s="29" t="s">
        <v>155</v>
      </c>
      <c r="C250" s="30">
        <v>13</v>
      </c>
      <c r="D250" s="32">
        <v>250</v>
      </c>
      <c r="E250" s="32">
        <v>3250</v>
      </c>
      <c r="F250" s="1">
        <v>46009.495208333334</v>
      </c>
      <c r="G250" s="25">
        <f>VLOOKUP(Base_données[Code],Stock_Magasin[],4,0)</f>
        <v>200</v>
      </c>
      <c r="H250" s="25">
        <f>Base_données[[#This Row],[Quantité]]*Base_données[[#This Row],[Coût d''Achat Unitaire TTC]]</f>
        <v>2600</v>
      </c>
      <c r="I250" s="14">
        <f t="shared" si="13"/>
        <v>46009</v>
      </c>
    </row>
    <row r="251" spans="1:9" x14ac:dyDescent="0.25">
      <c r="A251" s="4">
        <v>1000011</v>
      </c>
      <c r="B251" s="29" t="s">
        <v>38</v>
      </c>
      <c r="C251" s="30">
        <v>16</v>
      </c>
      <c r="D251" s="32">
        <v>1875</v>
      </c>
      <c r="E251" s="32">
        <v>30000</v>
      </c>
      <c r="F251" s="1">
        <v>46009.495208333334</v>
      </c>
      <c r="G251" s="25">
        <f>VLOOKUP(Base_données[Code],Stock_Magasin[],4,0)</f>
        <v>1500</v>
      </c>
      <c r="H251" s="25">
        <f>Base_données[[#This Row],[Quantité]]*Base_données[[#This Row],[Coût d''Achat Unitaire TTC]]</f>
        <v>24000</v>
      </c>
      <c r="I251" s="14">
        <f t="shared" si="13"/>
        <v>46009</v>
      </c>
    </row>
    <row r="252" spans="1:9" x14ac:dyDescent="0.25">
      <c r="A252" s="4">
        <v>1000007</v>
      </c>
      <c r="B252" s="29" t="s">
        <v>34</v>
      </c>
      <c r="C252" s="30">
        <v>12</v>
      </c>
      <c r="D252" s="32">
        <v>5000</v>
      </c>
      <c r="E252" s="32">
        <v>60000</v>
      </c>
      <c r="F252" s="1">
        <v>46009.495208333334</v>
      </c>
      <c r="G252" s="25">
        <f>VLOOKUP(Base_données[Code],Stock_Magasin[],4,0)</f>
        <v>4000</v>
      </c>
      <c r="H252" s="25">
        <f>Base_données[[#This Row],[Quantité]]*Base_données[[#This Row],[Coût d''Achat Unitaire TTC]]</f>
        <v>48000</v>
      </c>
      <c r="I252" s="14">
        <f t="shared" si="13"/>
        <v>46009</v>
      </c>
    </row>
    <row r="253" spans="1:9" x14ac:dyDescent="0.25">
      <c r="A253" s="4">
        <v>1000016</v>
      </c>
      <c r="B253" s="29" t="s">
        <v>41</v>
      </c>
      <c r="C253" s="30">
        <v>7</v>
      </c>
      <c r="D253" s="32">
        <v>1000</v>
      </c>
      <c r="E253" s="32">
        <v>7000</v>
      </c>
      <c r="F253" s="1">
        <v>46009.495208333334</v>
      </c>
      <c r="G253" s="25">
        <f>VLOOKUP(Base_données[Code],Stock_Magasin[],4,0)</f>
        <v>800</v>
      </c>
      <c r="H253" s="25">
        <f>Base_données[[#This Row],[Quantité]]*Base_données[[#This Row],[Coût d''Achat Unitaire TTC]]</f>
        <v>5600</v>
      </c>
      <c r="I253" s="14">
        <f t="shared" si="13"/>
        <v>46009</v>
      </c>
    </row>
    <row r="254" spans="1:9" x14ac:dyDescent="0.25">
      <c r="A254" s="4">
        <v>1000006</v>
      </c>
      <c r="B254" s="29" t="s">
        <v>33</v>
      </c>
      <c r="C254" s="30">
        <v>12</v>
      </c>
      <c r="D254" s="32">
        <v>1500</v>
      </c>
      <c r="E254" s="32">
        <v>18000</v>
      </c>
      <c r="F254" s="1">
        <v>46010.503101851849</v>
      </c>
      <c r="G254" s="25">
        <f>VLOOKUP(Base_données[Code],Stock_Magasin[],4,0)</f>
        <v>1200</v>
      </c>
      <c r="H254" s="25">
        <f>Base_données[[#This Row],[Quantité]]*Base_données[[#This Row],[Coût d''Achat Unitaire TTC]]</f>
        <v>14400</v>
      </c>
      <c r="I254" s="14">
        <f t="shared" si="13"/>
        <v>46010</v>
      </c>
    </row>
    <row r="255" spans="1:9" x14ac:dyDescent="0.25">
      <c r="A255" s="4">
        <v>1000021</v>
      </c>
      <c r="B255" s="29" t="s">
        <v>79</v>
      </c>
      <c r="C255" s="30">
        <v>17</v>
      </c>
      <c r="D255" s="32">
        <v>500</v>
      </c>
      <c r="E255" s="32">
        <v>8500</v>
      </c>
      <c r="F255" s="1">
        <v>46010.503101851849</v>
      </c>
      <c r="G255" s="25">
        <f>VLOOKUP(Base_données[Code],Stock_Magasin[],4,0)</f>
        <v>400</v>
      </c>
      <c r="H255" s="25">
        <f>Base_données[[#This Row],[Quantité]]*Base_données[[#This Row],[Coût d''Achat Unitaire TTC]]</f>
        <v>6800</v>
      </c>
      <c r="I255" s="14">
        <f t="shared" si="13"/>
        <v>46010</v>
      </c>
    </row>
    <row r="256" spans="1:9" x14ac:dyDescent="0.25">
      <c r="A256" s="4">
        <v>1000014</v>
      </c>
      <c r="B256" s="29" t="s">
        <v>44</v>
      </c>
      <c r="C256" s="30">
        <v>1</v>
      </c>
      <c r="D256" s="32">
        <v>43750</v>
      </c>
      <c r="E256" s="32">
        <v>43750</v>
      </c>
      <c r="F256" s="1">
        <v>46010.503101851849</v>
      </c>
      <c r="G256" s="25">
        <f>VLOOKUP(Base_données[Code],Stock_Magasin[],4,0)</f>
        <v>35000</v>
      </c>
      <c r="H256" s="25">
        <f>Base_données[[#This Row],[Quantité]]*Base_données[[#This Row],[Coût d''Achat Unitaire TTC]]</f>
        <v>35000</v>
      </c>
      <c r="I256" s="14">
        <f t="shared" si="13"/>
        <v>46010</v>
      </c>
    </row>
    <row r="257" spans="1:9" x14ac:dyDescent="0.25">
      <c r="A257" s="4">
        <v>1000029</v>
      </c>
      <c r="B257" s="29" t="s">
        <v>115</v>
      </c>
      <c r="C257" s="30">
        <v>9</v>
      </c>
      <c r="D257" s="32">
        <v>1125</v>
      </c>
      <c r="E257" s="32">
        <v>10125</v>
      </c>
      <c r="F257" s="1">
        <v>46010.503101851849</v>
      </c>
      <c r="G257" s="25">
        <f>VLOOKUP(Base_données[Code],Stock_Magasin[],4,0)</f>
        <v>900</v>
      </c>
      <c r="H257" s="25">
        <f>Base_données[[#This Row],[Quantité]]*Base_données[[#This Row],[Coût d''Achat Unitaire TTC]]</f>
        <v>8100</v>
      </c>
      <c r="I257" s="14">
        <f t="shared" si="13"/>
        <v>46010</v>
      </c>
    </row>
    <row r="258" spans="1:9" x14ac:dyDescent="0.25">
      <c r="A258" s="4">
        <v>1000022</v>
      </c>
      <c r="B258" s="29" t="s">
        <v>80</v>
      </c>
      <c r="C258" s="30">
        <v>15</v>
      </c>
      <c r="D258" s="32">
        <v>750</v>
      </c>
      <c r="E258" s="32">
        <v>11250</v>
      </c>
      <c r="F258" s="1">
        <v>46010.503101851849</v>
      </c>
      <c r="G258" s="25">
        <f>VLOOKUP(Base_données[Code],Stock_Magasin[],4,0)</f>
        <v>600</v>
      </c>
      <c r="H258" s="25">
        <f>Base_données[[#This Row],[Quantité]]*Base_données[[#This Row],[Coût d''Achat Unitaire TTC]]</f>
        <v>9000</v>
      </c>
      <c r="I258" s="14">
        <f t="shared" si="13"/>
        <v>46010</v>
      </c>
    </row>
    <row r="259" spans="1:9" x14ac:dyDescent="0.25">
      <c r="A259" s="4">
        <v>1000001</v>
      </c>
      <c r="B259" s="29" t="s">
        <v>47</v>
      </c>
      <c r="C259" s="30">
        <v>1</v>
      </c>
      <c r="D259" s="32">
        <v>1250</v>
      </c>
      <c r="E259" s="32">
        <v>1250</v>
      </c>
      <c r="F259" s="1">
        <v>46010.591192129628</v>
      </c>
      <c r="G259" s="25">
        <f>VLOOKUP(Base_données[Code],Stock_Magasin[],4,0)</f>
        <v>1000</v>
      </c>
      <c r="H259" s="25">
        <f>Base_données[[#This Row],[Quantité]]*Base_données[[#This Row],[Coût d''Achat Unitaire TTC]]</f>
        <v>1000</v>
      </c>
      <c r="I259" s="14">
        <f t="shared" si="13"/>
        <v>46010</v>
      </c>
    </row>
    <row r="260" spans="1:9" x14ac:dyDescent="0.25">
      <c r="A260" s="4">
        <v>1000002</v>
      </c>
      <c r="B260" s="29" t="s">
        <v>29</v>
      </c>
      <c r="C260" s="30">
        <v>2</v>
      </c>
      <c r="D260" s="32">
        <v>1250</v>
      </c>
      <c r="E260" s="32">
        <v>2500</v>
      </c>
      <c r="F260" s="1">
        <v>46010.591493055559</v>
      </c>
      <c r="G260" s="25">
        <f>VLOOKUP(Base_données[Code],Stock_Magasin[],4,0)</f>
        <v>1000</v>
      </c>
      <c r="H260" s="25">
        <f>Base_données[[#This Row],[Quantité]]*Base_données[[#This Row],[Coût d''Achat Unitaire TTC]]</f>
        <v>2000</v>
      </c>
      <c r="I260" s="14">
        <f t="shared" si="13"/>
        <v>46010</v>
      </c>
    </row>
    <row r="261" spans="1:9" x14ac:dyDescent="0.25">
      <c r="A261" s="4">
        <v>1000052</v>
      </c>
      <c r="B261" s="29" t="s">
        <v>137</v>
      </c>
      <c r="C261" s="30">
        <v>2</v>
      </c>
      <c r="D261" s="32">
        <v>1500</v>
      </c>
      <c r="E261" s="32">
        <v>3000</v>
      </c>
      <c r="F261" s="1">
        <v>46010.592013888891</v>
      </c>
      <c r="G261" s="25">
        <f>VLOOKUP(Base_données[Code],Stock_Magasin[],4,0)</f>
        <v>1200</v>
      </c>
      <c r="H261" s="25">
        <f>Base_données[[#This Row],[Quantité]]*Base_données[[#This Row],[Coût d''Achat Unitaire TTC]]</f>
        <v>2400</v>
      </c>
      <c r="I261" s="14">
        <f t="shared" si="13"/>
        <v>46010</v>
      </c>
    </row>
    <row r="262" spans="1:9" x14ac:dyDescent="0.25">
      <c r="A262" s="4">
        <v>1000053</v>
      </c>
      <c r="B262" s="29" t="s">
        <v>149</v>
      </c>
      <c r="C262" s="30">
        <v>2</v>
      </c>
      <c r="D262" s="32">
        <v>500</v>
      </c>
      <c r="E262" s="32">
        <v>1000</v>
      </c>
      <c r="F262" s="1">
        <v>46010.592430555553</v>
      </c>
      <c r="G262" s="25">
        <f>VLOOKUP(Base_données[Code],Stock_Magasin[],4,0)</f>
        <v>400</v>
      </c>
      <c r="H262" s="25">
        <f>Base_données[[#This Row],[Quantité]]*Base_données[[#This Row],[Coût d''Achat Unitaire TTC]]</f>
        <v>800</v>
      </c>
      <c r="I262" s="14">
        <f t="shared" si="13"/>
        <v>46010</v>
      </c>
    </row>
    <row r="263" spans="1:9" x14ac:dyDescent="0.25">
      <c r="A263" s="4">
        <v>1000054</v>
      </c>
      <c r="B263" s="29" t="s">
        <v>148</v>
      </c>
      <c r="C263" s="30">
        <v>2</v>
      </c>
      <c r="D263" s="32">
        <v>500</v>
      </c>
      <c r="E263" s="32">
        <v>1000</v>
      </c>
      <c r="F263" s="1">
        <v>46010.592430555553</v>
      </c>
      <c r="G263" s="25">
        <f>VLOOKUP(Base_données[Code],Stock_Magasin[],4,0)</f>
        <v>400</v>
      </c>
      <c r="H263" s="25">
        <f>Base_données[[#This Row],[Quantité]]*Base_données[[#This Row],[Coût d''Achat Unitaire TTC]]</f>
        <v>800</v>
      </c>
      <c r="I263" s="14">
        <f t="shared" si="13"/>
        <v>46010</v>
      </c>
    </row>
    <row r="264" spans="1:9" x14ac:dyDescent="0.25">
      <c r="A264" s="4">
        <v>1000048</v>
      </c>
      <c r="B264" s="29" t="s">
        <v>144</v>
      </c>
      <c r="C264" s="30">
        <v>15</v>
      </c>
      <c r="D264" s="32">
        <v>1250</v>
      </c>
      <c r="E264" s="32">
        <v>18750</v>
      </c>
      <c r="F264" s="1">
        <v>46011.917407407411</v>
      </c>
      <c r="G264" s="25">
        <f>VLOOKUP(Base_données[Code],Stock_Magasin[],4,0)</f>
        <v>1000</v>
      </c>
      <c r="H264" s="25">
        <f>Base_données[[#This Row],[Quantité]]*Base_données[[#This Row],[Coût d''Achat Unitaire TTC]]</f>
        <v>15000</v>
      </c>
      <c r="I264" s="14">
        <f t="shared" ref="I264:I275" si="14">INT(F264)</f>
        <v>46011</v>
      </c>
    </row>
    <row r="265" spans="1:9" x14ac:dyDescent="0.25">
      <c r="A265" s="4">
        <v>1000053</v>
      </c>
      <c r="B265" s="29" t="s">
        <v>149</v>
      </c>
      <c r="C265" s="30">
        <v>24</v>
      </c>
      <c r="D265" s="32">
        <v>500</v>
      </c>
      <c r="E265" s="32">
        <v>12000</v>
      </c>
      <c r="F265" s="1">
        <v>46011.917407407411</v>
      </c>
      <c r="G265" s="25">
        <f>VLOOKUP(Base_données[Code],Stock_Magasin[],4,0)</f>
        <v>400</v>
      </c>
      <c r="H265" s="25">
        <f>Base_données[[#This Row],[Quantité]]*Base_données[[#This Row],[Coût d''Achat Unitaire TTC]]</f>
        <v>9600</v>
      </c>
      <c r="I265" s="14">
        <f t="shared" si="14"/>
        <v>46011</v>
      </c>
    </row>
    <row r="266" spans="1:9" x14ac:dyDescent="0.25">
      <c r="A266" s="4">
        <v>1000046</v>
      </c>
      <c r="B266" s="29" t="s">
        <v>131</v>
      </c>
      <c r="C266" s="30">
        <v>19</v>
      </c>
      <c r="D266" s="32">
        <v>500</v>
      </c>
      <c r="E266" s="32">
        <v>9500</v>
      </c>
      <c r="F266" s="1">
        <v>46011.917407407411</v>
      </c>
      <c r="G266" s="25">
        <f>VLOOKUP(Base_données[Code],Stock_Magasin[],4,0)</f>
        <v>400</v>
      </c>
      <c r="H266" s="25">
        <f>Base_données[[#This Row],[Quantité]]*Base_données[[#This Row],[Coût d''Achat Unitaire TTC]]</f>
        <v>7600</v>
      </c>
      <c r="I266" s="14">
        <f t="shared" si="14"/>
        <v>46011</v>
      </c>
    </row>
    <row r="267" spans="1:9" x14ac:dyDescent="0.25">
      <c r="A267" s="4">
        <v>1000035</v>
      </c>
      <c r="B267" s="29" t="s">
        <v>121</v>
      </c>
      <c r="C267" s="30">
        <v>1</v>
      </c>
      <c r="D267" s="32">
        <v>31250</v>
      </c>
      <c r="E267" s="32">
        <v>31250</v>
      </c>
      <c r="F267" s="1">
        <v>46011.91741898148</v>
      </c>
      <c r="G267" s="25">
        <f>VLOOKUP(Base_données[Code],Stock_Magasin[],4,0)</f>
        <v>25000</v>
      </c>
      <c r="H267" s="25">
        <f>Base_données[[#This Row],[Quantité]]*Base_données[[#This Row],[Coût d''Achat Unitaire TTC]]</f>
        <v>25000</v>
      </c>
      <c r="I267" s="14">
        <f t="shared" si="14"/>
        <v>46011</v>
      </c>
    </row>
    <row r="268" spans="1:9" x14ac:dyDescent="0.25">
      <c r="A268" s="4">
        <v>1000036</v>
      </c>
      <c r="B268" s="29" t="s">
        <v>122</v>
      </c>
      <c r="C268" s="30">
        <v>3</v>
      </c>
      <c r="D268" s="32">
        <v>9375</v>
      </c>
      <c r="E268" s="32">
        <v>28125</v>
      </c>
      <c r="F268" s="1">
        <v>46011.91741898148</v>
      </c>
      <c r="G268" s="25">
        <f>VLOOKUP(Base_données[Code],Stock_Magasin[],4,0)</f>
        <v>7500</v>
      </c>
      <c r="H268" s="25">
        <f>Base_données[[#This Row],[Quantité]]*Base_données[[#This Row],[Coût d''Achat Unitaire TTC]]</f>
        <v>22500</v>
      </c>
      <c r="I268" s="14">
        <f t="shared" si="14"/>
        <v>46011</v>
      </c>
    </row>
    <row r="269" spans="1:9" x14ac:dyDescent="0.25">
      <c r="A269" s="4">
        <v>1000007</v>
      </c>
      <c r="B269" s="29" t="s">
        <v>34</v>
      </c>
      <c r="C269" s="30">
        <v>2</v>
      </c>
      <c r="D269" s="32">
        <v>5000</v>
      </c>
      <c r="E269" s="32">
        <v>10000</v>
      </c>
      <c r="F269" s="1">
        <v>46016.70689814815</v>
      </c>
      <c r="G269" s="25">
        <f>VLOOKUP(Base_données[Code],Stock_Magasin[],4,0)</f>
        <v>4000</v>
      </c>
      <c r="H269" s="25">
        <f>Base_données[[#This Row],[Quantité]]*Base_données[[#This Row],[Coût d''Achat Unitaire TTC]]</f>
        <v>8000</v>
      </c>
      <c r="I269" s="14">
        <f t="shared" si="14"/>
        <v>46016</v>
      </c>
    </row>
    <row r="270" spans="1:9" x14ac:dyDescent="0.25">
      <c r="A270" s="4">
        <v>1000036</v>
      </c>
      <c r="B270" s="29" t="s">
        <v>122</v>
      </c>
      <c r="C270" s="30">
        <v>3</v>
      </c>
      <c r="D270" s="32">
        <v>9375</v>
      </c>
      <c r="E270" s="32">
        <v>28125</v>
      </c>
      <c r="F270" s="1">
        <v>46016.70689814815</v>
      </c>
      <c r="G270" s="25">
        <f>VLOOKUP(Base_données[Code],Stock_Magasin[],4,0)</f>
        <v>7500</v>
      </c>
      <c r="H270" s="25">
        <f>Base_données[[#This Row],[Quantité]]*Base_données[[#This Row],[Coût d''Achat Unitaire TTC]]</f>
        <v>22500</v>
      </c>
      <c r="I270" s="14">
        <f t="shared" si="14"/>
        <v>46016</v>
      </c>
    </row>
    <row r="271" spans="1:9" x14ac:dyDescent="0.25">
      <c r="A271" s="4">
        <v>1000009</v>
      </c>
      <c r="B271" s="29" t="s">
        <v>36</v>
      </c>
      <c r="C271" s="30">
        <v>1</v>
      </c>
      <c r="D271" s="32">
        <v>2250</v>
      </c>
      <c r="E271" s="32">
        <v>2250</v>
      </c>
      <c r="F271" s="1">
        <v>46016.70689814815</v>
      </c>
      <c r="G271" s="25">
        <f>VLOOKUP(Base_données[Code],Stock_Magasin[],4,0)</f>
        <v>1800</v>
      </c>
      <c r="H271" s="25">
        <f>Base_données[[#This Row],[Quantité]]*Base_données[[#This Row],[Coût d''Achat Unitaire TTC]]</f>
        <v>1800</v>
      </c>
      <c r="I271" s="14">
        <f t="shared" si="14"/>
        <v>46016</v>
      </c>
    </row>
    <row r="272" spans="1:9" x14ac:dyDescent="0.25">
      <c r="A272" s="4">
        <v>1000028</v>
      </c>
      <c r="B272" s="29" t="s">
        <v>114</v>
      </c>
      <c r="C272" s="30">
        <v>5</v>
      </c>
      <c r="D272" s="32">
        <v>500</v>
      </c>
      <c r="E272" s="32">
        <v>2500</v>
      </c>
      <c r="F272" s="1">
        <v>46016.707361111112</v>
      </c>
      <c r="G272" s="25">
        <f>VLOOKUP(Base_données[Code],Stock_Magasin[],4,0)</f>
        <v>400</v>
      </c>
      <c r="H272" s="25">
        <f>Base_données[[#This Row],[Quantité]]*Base_données[[#This Row],[Coût d''Achat Unitaire TTC]]</f>
        <v>2000</v>
      </c>
      <c r="I272" s="14">
        <f t="shared" si="14"/>
        <v>46016</v>
      </c>
    </row>
    <row r="273" spans="1:9" x14ac:dyDescent="0.25">
      <c r="A273" s="4">
        <v>1000003</v>
      </c>
      <c r="B273" s="29" t="s">
        <v>30</v>
      </c>
      <c r="C273" s="30">
        <v>10</v>
      </c>
      <c r="D273" s="32">
        <v>500</v>
      </c>
      <c r="E273" s="32">
        <v>5000</v>
      </c>
      <c r="F273" s="1">
        <v>46016.707361111112</v>
      </c>
      <c r="G273" s="25">
        <f>VLOOKUP(Base_données[Code],Stock_Magasin[],4,0)</f>
        <v>400</v>
      </c>
      <c r="H273" s="25">
        <f>Base_données[[#This Row],[Quantité]]*Base_données[[#This Row],[Coût d''Achat Unitaire TTC]]</f>
        <v>4000</v>
      </c>
      <c r="I273" s="14">
        <f t="shared" si="14"/>
        <v>46016</v>
      </c>
    </row>
    <row r="274" spans="1:9" x14ac:dyDescent="0.25">
      <c r="A274" s="4">
        <v>1000001</v>
      </c>
      <c r="B274" s="29" t="s">
        <v>47</v>
      </c>
      <c r="C274" s="30">
        <v>100</v>
      </c>
      <c r="D274" s="32">
        <v>1250</v>
      </c>
      <c r="E274" s="32">
        <v>125000</v>
      </c>
      <c r="F274" s="1">
        <v>46016.71533564815</v>
      </c>
      <c r="G274" s="25">
        <f>VLOOKUP(Base_données[Code],Stock_Magasin[],4,0)</f>
        <v>1000</v>
      </c>
      <c r="H274" s="25">
        <f>Base_données[[#This Row],[Quantité]]*Base_données[[#This Row],[Coût d''Achat Unitaire TTC]]</f>
        <v>100000</v>
      </c>
      <c r="I274" s="14">
        <f t="shared" si="14"/>
        <v>46016</v>
      </c>
    </row>
    <row r="275" spans="1:9" x14ac:dyDescent="0.25">
      <c r="A275" s="4">
        <v>1000054</v>
      </c>
      <c r="B275" s="29" t="s">
        <v>148</v>
      </c>
      <c r="C275" s="30">
        <v>100</v>
      </c>
      <c r="D275" s="32">
        <v>500</v>
      </c>
      <c r="E275" s="32">
        <v>50000</v>
      </c>
      <c r="F275" s="1">
        <v>46016.715925925928</v>
      </c>
      <c r="G275" s="25">
        <f>VLOOKUP(Base_données[Code],Stock_Magasin[],4,0)</f>
        <v>400</v>
      </c>
      <c r="H275" s="25">
        <f>Base_données[[#This Row],[Quantité]]*Base_données[[#This Row],[Coût d''Achat Unitaire TTC]]</f>
        <v>40000</v>
      </c>
      <c r="I275" s="14">
        <f t="shared" si="14"/>
        <v>46016</v>
      </c>
    </row>
    <row r="276" spans="1:9" x14ac:dyDescent="0.25">
      <c r="A276" s="4">
        <v>1000053</v>
      </c>
      <c r="B276" s="29" t="s">
        <v>149</v>
      </c>
      <c r="C276" s="30">
        <v>20</v>
      </c>
      <c r="D276" s="32">
        <v>500</v>
      </c>
      <c r="E276" s="32">
        <v>10000</v>
      </c>
      <c r="F276" s="1">
        <v>46086.483900462961</v>
      </c>
      <c r="G276" s="25">
        <f>VLOOKUP(Base_données[Code],Stock_Magasin[],4,0)</f>
        <v>400</v>
      </c>
      <c r="H276" s="25">
        <f>Base_données[[#This Row],[Quantité]]*Base_données[[#This Row],[Coût d''Achat Unitaire TTC]]</f>
        <v>8000</v>
      </c>
      <c r="I276" s="14">
        <f>INT(F276)</f>
        <v>46086</v>
      </c>
    </row>
    <row r="277" spans="1:9" x14ac:dyDescent="0.25">
      <c r="G277"/>
      <c r="H277"/>
    </row>
    <row r="278" spans="1:9" x14ac:dyDescent="0.25">
      <c r="G278"/>
      <c r="H278"/>
    </row>
    <row r="279" spans="1:9" x14ac:dyDescent="0.25">
      <c r="G279"/>
      <c r="H27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Tableau de bord</vt:lpstr>
      <vt:lpstr>Stock</vt:lpstr>
      <vt:lpstr>Admin</vt:lpstr>
      <vt:lpstr>Base de données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CISSE GSM</dc:creator>
  <cp:lastModifiedBy>CISSE GSM</cp:lastModifiedBy>
  <dcterms:created xsi:type="dcterms:W3CDTF">2025-11-14T13:07:53Z</dcterms:created>
  <dcterms:modified xsi:type="dcterms:W3CDTF">2026-08-24T19:37:12Z</dcterms:modified>
</cp:coreProperties>
</file>