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ISSE GSM\Desktop\Récouvrements de créances\"/>
    </mc:Choice>
  </mc:AlternateContent>
  <bookViews>
    <workbookView xWindow="0" yWindow="0" windowWidth="20490" windowHeight="7635"/>
  </bookViews>
  <sheets>
    <sheet name="Dashboard" sheetId="13" r:id="rId1"/>
    <sheet name="Créances" sheetId="8" r:id="rId2"/>
    <sheet name="Règlements" sheetId="11" r:id="rId3"/>
    <sheet name="Paramètres" sheetId="7" r:id="rId4"/>
    <sheet name="Relances" sheetId="12" r:id="rId5"/>
    <sheet name="Traitement" sheetId="14" r:id="rId6"/>
  </sheets>
  <definedNames>
    <definedName name="ChronologieNative_Date_d_émission">#N/A</definedName>
    <definedName name="dateRef">Paramètres!$L$8</definedName>
  </definedNames>
  <calcPr calcId="152511"/>
  <pivotCaches>
    <pivotCache cacheId="8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7" l="1"/>
  <c r="F8" i="11"/>
  <c r="F8" i="8"/>
  <c r="H14" i="8"/>
  <c r="I14" i="8" s="1"/>
  <c r="J14" i="8"/>
  <c r="H15" i="8"/>
  <c r="I15" i="8" s="1"/>
  <c r="J15" i="8"/>
  <c r="K14" i="8" l="1"/>
  <c r="M14" i="8" s="1"/>
  <c r="L14" i="8"/>
  <c r="L15" i="8"/>
  <c r="K15" i="8"/>
  <c r="M15" i="8" s="1"/>
  <c r="H16" i="8"/>
  <c r="I16" i="8" s="1"/>
  <c r="J16" i="8"/>
  <c r="K16" i="8" l="1"/>
  <c r="M16" i="8" s="1"/>
  <c r="L16" i="8"/>
  <c r="H17" i="8"/>
  <c r="I17" i="8" s="1"/>
  <c r="J17" i="8"/>
  <c r="K17" i="8" l="1"/>
  <c r="M17" i="8" s="1"/>
  <c r="L17" i="8"/>
  <c r="H18" i="8"/>
  <c r="I18" i="8" s="1"/>
  <c r="J18" i="8"/>
  <c r="L18" i="8" l="1"/>
  <c r="K18" i="8"/>
  <c r="M18" i="8" s="1"/>
  <c r="H19" i="8"/>
  <c r="I19" i="8" s="1"/>
  <c r="J19" i="8"/>
  <c r="L19" i="8" l="1"/>
  <c r="K19" i="8"/>
  <c r="M19" i="8" s="1"/>
  <c r="AQ5" i="14" l="1"/>
  <c r="AQ6" i="14"/>
  <c r="AQ7" i="14"/>
  <c r="AQ8" i="14"/>
  <c r="AQ4" i="14"/>
  <c r="BN6" i="14"/>
  <c r="BI5" i="14"/>
  <c r="BO6" i="14"/>
  <c r="BC6" i="14"/>
  <c r="BH5" i="14"/>
  <c r="BB6" i="14"/>
  <c r="BU6" i="14"/>
  <c r="BT6" i="14"/>
  <c r="AR8" i="14" l="1"/>
  <c r="AR7" i="14"/>
  <c r="AR6" i="14"/>
  <c r="AR4" i="14"/>
  <c r="AR5" i="14"/>
  <c r="B5" i="14" l="1"/>
  <c r="B3" i="14"/>
  <c r="B6" i="14"/>
  <c r="B8" i="14"/>
  <c r="B7" i="14"/>
  <c r="B4" i="14"/>
  <c r="I4" i="14" s="1"/>
  <c r="E4" i="14" s="1"/>
  <c r="B23" i="14"/>
  <c r="B22" i="14"/>
  <c r="B21" i="14"/>
  <c r="B20" i="14"/>
  <c r="B19" i="14"/>
  <c r="B18" i="14"/>
  <c r="H20" i="8"/>
  <c r="I20" i="8" s="1"/>
  <c r="J20" i="8"/>
  <c r="H21" i="8"/>
  <c r="I21" i="8" s="1"/>
  <c r="J21" i="8"/>
  <c r="H22" i="8"/>
  <c r="I22" i="8" s="1"/>
  <c r="J22" i="8"/>
  <c r="H23" i="8"/>
  <c r="I23" i="8" s="1"/>
  <c r="J23" i="8"/>
  <c r="H24" i="8"/>
  <c r="I24" i="8" s="1"/>
  <c r="L24" i="8" s="1"/>
  <c r="J24" i="8"/>
  <c r="H25" i="8"/>
  <c r="I25" i="8" s="1"/>
  <c r="J25" i="8"/>
  <c r="H26" i="8"/>
  <c r="I26" i="8" s="1"/>
  <c r="J26" i="8"/>
  <c r="H27" i="8"/>
  <c r="I27" i="8" s="1"/>
  <c r="L27" i="8" s="1"/>
  <c r="J27" i="8"/>
  <c r="AI4" i="14"/>
  <c r="S6" i="14"/>
  <c r="AE6" i="14"/>
  <c r="Y6" i="14"/>
  <c r="N4" i="14"/>
  <c r="C4" i="14" l="1"/>
  <c r="L25" i="8"/>
  <c r="L23" i="8"/>
  <c r="L21" i="8"/>
  <c r="L26" i="8"/>
  <c r="L22" i="8"/>
  <c r="L20" i="8"/>
  <c r="F20" i="14"/>
  <c r="D20" i="14" s="1"/>
  <c r="F22" i="14"/>
  <c r="C22" i="14" s="1"/>
  <c r="F21" i="14"/>
  <c r="C21" i="14" s="1"/>
  <c r="F19" i="14"/>
  <c r="C19" i="14" s="1"/>
  <c r="F23" i="14"/>
  <c r="C23" i="14" s="1"/>
  <c r="F18" i="14"/>
  <c r="C18" i="14" s="1"/>
  <c r="I5" i="14"/>
  <c r="C5" i="14" s="1"/>
  <c r="I8" i="14"/>
  <c r="C8" i="14" s="1"/>
  <c r="I6" i="14"/>
  <c r="C6" i="14" s="1"/>
  <c r="I7" i="14"/>
  <c r="C7" i="14" s="1"/>
  <c r="I3" i="14"/>
  <c r="K20" i="8"/>
  <c r="M20" i="8" s="1"/>
  <c r="K21" i="8"/>
  <c r="M21" i="8" s="1"/>
  <c r="K22" i="8"/>
  <c r="M22" i="8" s="1"/>
  <c r="K23" i="8"/>
  <c r="M23" i="8" s="1"/>
  <c r="K24" i="8"/>
  <c r="M24" i="8" s="1"/>
  <c r="K25" i="8"/>
  <c r="M25" i="8" s="1"/>
  <c r="K26" i="8"/>
  <c r="M26" i="8" s="1"/>
  <c r="K27" i="8"/>
  <c r="M27" i="8" s="1"/>
  <c r="H28" i="8"/>
  <c r="I28" i="8" s="1"/>
  <c r="L28" i="8" s="1"/>
  <c r="J28" i="8"/>
  <c r="H11" i="14" l="1"/>
  <c r="D23" i="14"/>
  <c r="C3" i="14"/>
  <c r="D3" i="14" s="1"/>
  <c r="D4" i="14" s="1"/>
  <c r="D5" i="14" s="1"/>
  <c r="D18" i="14"/>
  <c r="E3" i="14"/>
  <c r="F3" i="14" s="1"/>
  <c r="F4" i="14" s="1"/>
  <c r="D21" i="14"/>
  <c r="D19" i="14"/>
  <c r="D22" i="14"/>
  <c r="C20" i="14"/>
  <c r="E7" i="14"/>
  <c r="E8" i="14"/>
  <c r="E5" i="14"/>
  <c r="E6" i="14"/>
  <c r="K28" i="8"/>
  <c r="M28" i="8" s="1"/>
  <c r="H29" i="8"/>
  <c r="H30" i="8"/>
  <c r="H31" i="8"/>
  <c r="H32" i="8"/>
  <c r="H33" i="8"/>
  <c r="H34" i="8"/>
  <c r="H35" i="8"/>
  <c r="H36" i="8"/>
  <c r="H37" i="8"/>
  <c r="F5" i="14" l="1"/>
  <c r="F6" i="14" s="1"/>
  <c r="F7" i="14" s="1"/>
  <c r="F8" i="14" s="1"/>
  <c r="G3" i="14"/>
  <c r="I31" i="8"/>
  <c r="L31" i="8" s="1"/>
  <c r="J29" i="8"/>
  <c r="J30" i="8"/>
  <c r="J31" i="8"/>
  <c r="J33" i="8"/>
  <c r="J34" i="8"/>
  <c r="J35" i="8"/>
  <c r="J36" i="8"/>
  <c r="J37" i="8"/>
  <c r="J32" i="8"/>
  <c r="H3" i="14" l="1"/>
  <c r="J3" i="14" s="1"/>
  <c r="E21" i="14"/>
  <c r="E22" i="14"/>
  <c r="E23" i="14"/>
  <c r="G4" i="14"/>
  <c r="I29" i="8"/>
  <c r="L29" i="8" s="1"/>
  <c r="I36" i="8"/>
  <c r="L36" i="8" s="1"/>
  <c r="I32" i="8"/>
  <c r="I35" i="8"/>
  <c r="I34" i="8"/>
  <c r="I30" i="8"/>
  <c r="I37" i="8"/>
  <c r="I33" i="8"/>
  <c r="L33" i="8" s="1"/>
  <c r="K31" i="8"/>
  <c r="M31" i="8" s="1"/>
  <c r="D9" i="11"/>
  <c r="H4" i="14" l="1"/>
  <c r="J4" i="14" s="1"/>
  <c r="AS6" i="14"/>
  <c r="L32" i="8"/>
  <c r="AS4" i="14"/>
  <c r="L37" i="8"/>
  <c r="AS8" i="14"/>
  <c r="L30" i="8"/>
  <c r="AS7" i="14"/>
  <c r="L34" i="8"/>
  <c r="AS5" i="14"/>
  <c r="L35" i="8"/>
  <c r="D6" i="14"/>
  <c r="G5" i="14"/>
  <c r="K29" i="8"/>
  <c r="M29" i="8" s="1"/>
  <c r="K37" i="8"/>
  <c r="M37" i="8" s="1"/>
  <c r="K32" i="8"/>
  <c r="M32" i="8" s="1"/>
  <c r="K30" i="8"/>
  <c r="M30" i="8" s="1"/>
  <c r="K36" i="8"/>
  <c r="M36" i="8" s="1"/>
  <c r="K33" i="8"/>
  <c r="M33" i="8" s="1"/>
  <c r="K35" i="8"/>
  <c r="M35" i="8" s="1"/>
  <c r="K34" i="8"/>
  <c r="M34" i="8" s="1"/>
  <c r="H5" i="14" l="1"/>
  <c r="J5" i="14" s="1"/>
  <c r="AT8" i="14"/>
  <c r="AT5" i="14"/>
  <c r="AT7" i="14"/>
  <c r="AT6" i="14"/>
  <c r="AT4" i="14"/>
  <c r="D11" i="11"/>
  <c r="D7" i="14"/>
  <c r="D8" i="14" s="1"/>
  <c r="G6" i="14"/>
  <c r="D10" i="11"/>
  <c r="H6" i="14" l="1"/>
  <c r="J6" i="14" s="1"/>
  <c r="G8" i="14"/>
  <c r="G7" i="14"/>
  <c r="H12" i="14" l="1"/>
  <c r="H8" i="14"/>
  <c r="J8" i="14" s="1"/>
  <c r="H7" i="14"/>
  <c r="J7" i="14" s="1"/>
</calcChain>
</file>

<file path=xl/sharedStrings.xml><?xml version="1.0" encoding="utf-8"?>
<sst xmlns="http://schemas.openxmlformats.org/spreadsheetml/2006/main" count="381" uniqueCount="172">
  <si>
    <t>Contact</t>
  </si>
  <si>
    <t>Statut</t>
  </si>
  <si>
    <t>N° Facture</t>
  </si>
  <si>
    <t>Montant facturé</t>
  </si>
  <si>
    <t>Montant encaissé</t>
  </si>
  <si>
    <t>Solde</t>
  </si>
  <si>
    <t>Échéance</t>
  </si>
  <si>
    <t>Délais de règlement</t>
  </si>
  <si>
    <t>Action de récouvrement</t>
  </si>
  <si>
    <t>Délais</t>
  </si>
  <si>
    <t>Date d'émission</t>
  </si>
  <si>
    <t>client</t>
  </si>
  <si>
    <t>Veuillez saisir les informations de chaque créance</t>
  </si>
  <si>
    <t>Adresse</t>
  </si>
  <si>
    <t>Niamakoro</t>
  </si>
  <si>
    <t>kalaban koura</t>
  </si>
  <si>
    <t>Faladiè</t>
  </si>
  <si>
    <t>Golf</t>
  </si>
  <si>
    <t>ACI 2000</t>
  </si>
  <si>
    <t>Sotuba</t>
  </si>
  <si>
    <t>Email</t>
  </si>
  <si>
    <t>contact.alpha@email.com</t>
  </si>
  <si>
    <t>Veuillez saisir manullement les information de chaque client</t>
  </si>
  <si>
    <r>
      <t xml:space="preserve">Liste de </t>
    </r>
    <r>
      <rPr>
        <b/>
        <sz val="14"/>
        <color rgb="FF00B0F0"/>
        <rFont val="Cambria"/>
        <family val="1"/>
      </rPr>
      <t>Clients</t>
    </r>
  </si>
  <si>
    <r>
      <rPr>
        <b/>
        <sz val="14"/>
        <color theme="1" tint="0.34998626667073579"/>
        <rFont val="Cambria"/>
        <family val="1"/>
      </rPr>
      <t>Nouvelle</t>
    </r>
    <r>
      <rPr>
        <b/>
        <sz val="14"/>
        <color theme="1"/>
        <rFont val="Cambria"/>
        <family val="1"/>
      </rPr>
      <t xml:space="preserve"> </t>
    </r>
    <r>
      <rPr>
        <b/>
        <sz val="14"/>
        <color rgb="FF00B0F0"/>
        <rFont val="Cambria"/>
        <family val="1"/>
      </rPr>
      <t>Créance</t>
    </r>
  </si>
  <si>
    <r>
      <rPr>
        <b/>
        <sz val="14"/>
        <color theme="1" tint="0.34998626667073579"/>
        <rFont val="Cambria"/>
        <family val="1"/>
      </rPr>
      <t>Liste d</t>
    </r>
    <r>
      <rPr>
        <b/>
        <sz val="14"/>
        <color theme="1"/>
        <rFont val="Cambria"/>
        <family val="1"/>
      </rPr>
      <t xml:space="preserve">e </t>
    </r>
    <r>
      <rPr>
        <b/>
        <sz val="14"/>
        <color rgb="FF00B0F0"/>
        <rFont val="Cambria"/>
        <family val="1"/>
      </rPr>
      <t>créances</t>
    </r>
  </si>
  <si>
    <t>Remarque sur le client</t>
  </si>
  <si>
    <t>Relance 1</t>
  </si>
  <si>
    <t>Relance 2</t>
  </si>
  <si>
    <t>Relance 3</t>
  </si>
  <si>
    <t>Client</t>
  </si>
  <si>
    <t>Date d'encaissement</t>
  </si>
  <si>
    <t>Référence</t>
  </si>
  <si>
    <t>Mode de paiement</t>
  </si>
  <si>
    <t xml:space="preserve">Montant encaissé </t>
  </si>
  <si>
    <t>Veuillez saisir les informations du règlement</t>
  </si>
  <si>
    <r>
      <rPr>
        <b/>
        <sz val="14"/>
        <color theme="1" tint="0.34998626667073579"/>
        <rFont val="Cambria"/>
        <family val="1"/>
      </rPr>
      <t>Nouvelle</t>
    </r>
    <r>
      <rPr>
        <b/>
        <sz val="14"/>
        <color theme="1"/>
        <rFont val="Cambria"/>
        <family val="1"/>
      </rPr>
      <t xml:space="preserve"> </t>
    </r>
    <r>
      <rPr>
        <b/>
        <sz val="14"/>
        <color rgb="FF00B0F0"/>
        <rFont val="Cambria"/>
        <family val="1"/>
      </rPr>
      <t>règlement</t>
    </r>
  </si>
  <si>
    <t>Retard (jours)</t>
  </si>
  <si>
    <t>Espèce</t>
  </si>
  <si>
    <t>F-012</t>
  </si>
  <si>
    <t>F-013</t>
  </si>
  <si>
    <t>F-014</t>
  </si>
  <si>
    <t>F-015</t>
  </si>
  <si>
    <t>F-016</t>
  </si>
  <si>
    <t>Chèque</t>
  </si>
  <si>
    <t>Virement</t>
  </si>
  <si>
    <t>F-017</t>
  </si>
  <si>
    <t>F-018</t>
  </si>
  <si>
    <t>Retard</t>
  </si>
  <si>
    <t>F-019</t>
  </si>
  <si>
    <t>F-020</t>
  </si>
  <si>
    <r>
      <t xml:space="preserve">Historique de </t>
    </r>
    <r>
      <rPr>
        <b/>
        <sz val="14"/>
        <color rgb="FF00B0F0"/>
        <rFont val="Cambria"/>
        <family val="1"/>
      </rPr>
      <t>règlement</t>
    </r>
  </si>
  <si>
    <r>
      <rPr>
        <b/>
        <sz val="14"/>
        <color rgb="FF777A87"/>
        <rFont val="Cambria"/>
        <family val="1"/>
      </rPr>
      <t>Liste de</t>
    </r>
    <r>
      <rPr>
        <b/>
        <sz val="14"/>
        <color theme="1"/>
        <rFont val="Cambria"/>
        <family val="1"/>
      </rPr>
      <t xml:space="preserve"> </t>
    </r>
    <r>
      <rPr>
        <b/>
        <sz val="14"/>
        <color rgb="FF00B0F0"/>
        <rFont val="Cambria"/>
        <family val="1"/>
      </rPr>
      <t>relance</t>
    </r>
  </si>
  <si>
    <t>N°Facture</t>
  </si>
  <si>
    <t>Relance</t>
  </si>
  <si>
    <t>Téléphone</t>
  </si>
  <si>
    <t>F-022</t>
  </si>
  <si>
    <t>Moussa Traoré</t>
  </si>
  <si>
    <t>Ibrahim Diarra</t>
  </si>
  <si>
    <t>Oumar Keita</t>
  </si>
  <si>
    <t>Amadou Coulibaly</t>
  </si>
  <si>
    <t>Yacouba Konaté</t>
  </si>
  <si>
    <t>Sekou Diallo</t>
  </si>
  <si>
    <t>Abdoulaye Touré</t>
  </si>
  <si>
    <t>Mamadou Cissé</t>
  </si>
  <si>
    <t>Boubacar Sangaré</t>
  </si>
  <si>
    <t>Modibo Sissoko</t>
  </si>
  <si>
    <t>Aliou Dembélé</t>
  </si>
  <si>
    <t>Mahamadou Maïga</t>
  </si>
  <si>
    <t>Lassana Camara</t>
  </si>
  <si>
    <t>Salif Sidibé</t>
  </si>
  <si>
    <t>Aïssata Traoré</t>
  </si>
  <si>
    <t>Mariam Keita</t>
  </si>
  <si>
    <t>Aminata Diarra</t>
  </si>
  <si>
    <t>Hawa Touré</t>
  </si>
  <si>
    <t>Kadidia Konaté</t>
  </si>
  <si>
    <t>moussa.traore@gmail.com</t>
  </si>
  <si>
    <t>ibrahim.diarra@gmail.com</t>
  </si>
  <si>
    <t>oumar.keita@gmail.com</t>
  </si>
  <si>
    <t>amadou.coulibaly@gmail.com</t>
  </si>
  <si>
    <t>yacouba.konate@gmail.com</t>
  </si>
  <si>
    <t>sekou.diallo@gmail.com</t>
  </si>
  <si>
    <t>abdoulaye.toure@gmail.com</t>
  </si>
  <si>
    <t>mamadou.cisse@gmail.com</t>
  </si>
  <si>
    <t>boubacar.sangare@gmail.com</t>
  </si>
  <si>
    <t>modibo.sissoko@gmail.com</t>
  </si>
  <si>
    <t>aliou.dembele@gmail.com</t>
  </si>
  <si>
    <t>mahamadou.maiga@gmail.com</t>
  </si>
  <si>
    <t>lassana.camara@gmail.com</t>
  </si>
  <si>
    <t>salif.sidibe@gmail.com</t>
  </si>
  <si>
    <t>aissata.traore@gmail.com</t>
  </si>
  <si>
    <t>mariam.keita@gmail.com</t>
  </si>
  <si>
    <t>aminata.diarra@gmail.com</t>
  </si>
  <si>
    <t>hawa.toure@gmail.com</t>
  </si>
  <si>
    <t>kadidia.konate@gmail.com</t>
  </si>
  <si>
    <t>Alpha Coumaré</t>
  </si>
  <si>
    <t>F-023</t>
  </si>
  <si>
    <t>F-024</t>
  </si>
  <si>
    <t>F-025</t>
  </si>
  <si>
    <t>F-026</t>
  </si>
  <si>
    <t>F-027</t>
  </si>
  <si>
    <t>F-036</t>
  </si>
  <si>
    <t>F-041</t>
  </si>
  <si>
    <t>F-034</t>
  </si>
  <si>
    <t>R-012</t>
  </si>
  <si>
    <t>R-013</t>
  </si>
  <si>
    <t>R-016</t>
  </si>
  <si>
    <t>R-018</t>
  </si>
  <si>
    <t>R-020</t>
  </si>
  <si>
    <t>R-022</t>
  </si>
  <si>
    <t>R-026</t>
  </si>
  <si>
    <t>R-014</t>
  </si>
  <si>
    <t>R-015</t>
  </si>
  <si>
    <t>R-024</t>
  </si>
  <si>
    <t>Total général</t>
  </si>
  <si>
    <t>Étiquettes de lignes</t>
  </si>
  <si>
    <t>Nombre de N° Facture</t>
  </si>
  <si>
    <t>Somme de Montant facturé</t>
  </si>
  <si>
    <t>Somme de Montant encaissé</t>
  </si>
  <si>
    <t>Somme de Solde</t>
  </si>
  <si>
    <t>Taux de recuvrement</t>
  </si>
  <si>
    <t>Échue</t>
  </si>
  <si>
    <t>CA</t>
  </si>
  <si>
    <t>CumulCA</t>
  </si>
  <si>
    <t>DSO</t>
  </si>
  <si>
    <t>nbre de jours</t>
  </si>
  <si>
    <t xml:space="preserve">Cumul encaissé </t>
  </si>
  <si>
    <t>Créances</t>
  </si>
  <si>
    <t>Dates de Référence 1</t>
  </si>
  <si>
    <t>Dates de Référence 2</t>
  </si>
  <si>
    <r>
      <t xml:space="preserve">Date de </t>
    </r>
    <r>
      <rPr>
        <b/>
        <sz val="14"/>
        <color rgb="FF00B0F0"/>
        <rFont val="Cambria"/>
        <family val="1"/>
      </rPr>
      <t>Référance</t>
    </r>
  </si>
  <si>
    <t>Veuillez saisir manullement les dates de référance</t>
  </si>
  <si>
    <t>Nbre de jrs des 6 derniers mois</t>
  </si>
  <si>
    <t>DSO des 6 derniers mois</t>
  </si>
  <si>
    <t>encaissément</t>
  </si>
  <si>
    <t>Prévision</t>
  </si>
  <si>
    <t>Somme de Retard</t>
  </si>
  <si>
    <t>(Plusieurs éléments)</t>
  </si>
  <si>
    <t>Nombre de Montant facturé</t>
  </si>
  <si>
    <t>F-053</t>
  </si>
  <si>
    <t>Montant non échue  (à venir)</t>
  </si>
  <si>
    <t>Nbre de fac  non échue (à venir)</t>
  </si>
  <si>
    <t>Échue vs Non éhue</t>
  </si>
  <si>
    <t>5 plus anciennes facture échue</t>
  </si>
  <si>
    <t>somme et nbre des fac à relancé</t>
  </si>
  <si>
    <t>somme et nbre des fac de relancé 2</t>
  </si>
  <si>
    <t>somme et nbre des fac de relancé 1</t>
  </si>
  <si>
    <t>somme et nbre des fac de relancé 3</t>
  </si>
  <si>
    <t>DSO (jours)</t>
  </si>
  <si>
    <t>Evolution du DSO</t>
  </si>
  <si>
    <t>Rentrées de fonds réelles vs estiméés prévisions sur 3mois</t>
  </si>
  <si>
    <t>Nbre des fac encaissé</t>
  </si>
  <si>
    <t>Montant facturé et nbre des fac facturé</t>
  </si>
  <si>
    <t>Montant des fac échue (en retard)</t>
  </si>
  <si>
    <t>Nbre des fac échue (en retard)</t>
  </si>
  <si>
    <t>5 premiers clients par solde impayé</t>
  </si>
  <si>
    <t>R-053</t>
  </si>
  <si>
    <t>R-023</t>
  </si>
  <si>
    <t>R-019</t>
  </si>
  <si>
    <t>R-025</t>
  </si>
  <si>
    <t>R-027</t>
  </si>
  <si>
    <t>F-056</t>
  </si>
  <si>
    <t>F-062</t>
  </si>
  <si>
    <t>Non échue</t>
  </si>
  <si>
    <t>F-065</t>
  </si>
  <si>
    <t>F-067</t>
  </si>
  <si>
    <t>F-069</t>
  </si>
  <si>
    <t>RF053</t>
  </si>
  <si>
    <t>RF024</t>
  </si>
  <si>
    <t>RF017</t>
  </si>
  <si>
    <t>F-71</t>
  </si>
  <si>
    <t>R036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</si>
</sst>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#,##0\ &quot;€&quot;"/>
    <numFmt numFmtId="165" formatCode="_-* #,##0\ _€_-;\-* #,##0\ _€_-;_-* &quot;-&quot;??\ _€_-;_-@_-"/>
    <numFmt numFmtId="166" formatCode="mmm&quot;-&quot;yy"/>
    <numFmt numFmtId="167" formatCode="#,##0\ &quot;Fcfa&quot;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mbria"/>
      <family val="1"/>
    </font>
    <font>
      <b/>
      <sz val="14"/>
      <color rgb="FF00B0F0"/>
      <name val="Cambria"/>
      <family val="1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34998626667073579"/>
      <name val="Cambria"/>
      <family val="1"/>
    </font>
    <font>
      <sz val="14"/>
      <color theme="1"/>
      <name val="Cambria"/>
      <family val="1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777A87"/>
      <name val="Cambria"/>
      <family val="1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F0F9F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11">
    <xf numFmtId="0" fontId="0" fillId="0" borderId="0" xfId="0"/>
    <xf numFmtId="20" fontId="1" fillId="2" borderId="0" xfId="0" applyNumberFormat="1" applyFont="1" applyFill="1"/>
    <xf numFmtId="0" fontId="1" fillId="2" borderId="0" xfId="0" applyFont="1" applyFill="1"/>
    <xf numFmtId="0" fontId="1" fillId="2" borderId="0" xfId="0" applyNumberFormat="1" applyFont="1" applyFill="1" applyAlignment="1">
      <alignment horizontal="left"/>
    </xf>
    <xf numFmtId="0" fontId="2" fillId="2" borderId="0" xfId="0" applyFont="1" applyFill="1"/>
    <xf numFmtId="0" fontId="2" fillId="2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horizontal="centerContinuous"/>
    </xf>
    <xf numFmtId="0" fontId="7" fillId="2" borderId="0" xfId="0" applyFont="1" applyFill="1" applyAlignment="1">
      <alignment horizontal="right"/>
    </xf>
    <xf numFmtId="0" fontId="1" fillId="2" borderId="0" xfId="0" applyNumberFormat="1" applyFont="1" applyFill="1"/>
    <xf numFmtId="0" fontId="9" fillId="3" borderId="1" xfId="0" applyNumberFormat="1" applyFont="1" applyFill="1" applyBorder="1" applyAlignment="1">
      <alignment horizontal="left"/>
    </xf>
    <xf numFmtId="0" fontId="9" fillId="3" borderId="1" xfId="0" applyNumberFormat="1" applyFont="1" applyFill="1" applyBorder="1" applyAlignment="1">
      <alignment horizontal="right"/>
    </xf>
    <xf numFmtId="14" fontId="9" fillId="3" borderId="1" xfId="0" applyNumberFormat="1" applyFont="1" applyFill="1" applyBorder="1" applyAlignment="1">
      <alignment horizontal="right"/>
    </xf>
    <xf numFmtId="0" fontId="1" fillId="3" borderId="0" xfId="0" applyFont="1" applyFill="1"/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1" fillId="2" borderId="0" xfId="0" applyFont="1" applyFill="1" applyBorder="1"/>
    <xf numFmtId="0" fontId="1" fillId="2" borderId="0" xfId="0" applyFont="1" applyFill="1" applyAlignment="1">
      <alignment horizontal="left"/>
    </xf>
    <xf numFmtId="1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0" fillId="2" borderId="0" xfId="0" applyFill="1"/>
    <xf numFmtId="0" fontId="0" fillId="2" borderId="0" xfId="0" applyNumberFormat="1" applyFill="1"/>
    <xf numFmtId="0" fontId="1" fillId="3" borderId="0" xfId="0" applyNumberFormat="1" applyFont="1" applyFill="1"/>
    <xf numFmtId="0" fontId="1" fillId="3" borderId="0" xfId="0" applyNumberFormat="1" applyFont="1" applyFill="1" applyAlignment="1">
      <alignment horizontal="center"/>
    </xf>
    <xf numFmtId="0" fontId="9" fillId="2" borderId="0" xfId="0" applyNumberFormat="1" applyFont="1" applyFill="1" applyBorder="1" applyAlignment="1">
      <alignment horizontal="left"/>
    </xf>
    <xf numFmtId="14" fontId="9" fillId="2" borderId="0" xfId="0" applyNumberFormat="1" applyFont="1" applyFill="1" applyBorder="1" applyAlignment="1">
      <alignment horizontal="right"/>
    </xf>
    <xf numFmtId="0" fontId="9" fillId="2" borderId="0" xfId="0" applyNumberFormat="1" applyFont="1" applyFill="1" applyBorder="1" applyAlignment="1">
      <alignment horizontal="right"/>
    </xf>
    <xf numFmtId="164" fontId="9" fillId="2" borderId="0" xfId="0" applyNumberFormat="1" applyFont="1" applyFill="1" applyBorder="1" applyAlignment="1">
      <alignment horizontal="right"/>
    </xf>
    <xf numFmtId="164" fontId="9" fillId="2" borderId="0" xfId="0" applyNumberFormat="1" applyFont="1" applyFill="1" applyBorder="1" applyAlignment="1">
      <alignment horizontal="center"/>
    </xf>
    <xf numFmtId="14" fontId="9" fillId="2" borderId="0" xfId="0" applyNumberFormat="1" applyFont="1" applyFill="1" applyBorder="1" applyAlignment="1">
      <alignment horizontal="center"/>
    </xf>
    <xf numFmtId="0" fontId="9" fillId="2" borderId="0" xfId="0" applyNumberFormat="1" applyFont="1" applyFill="1" applyBorder="1" applyAlignment="1">
      <alignment horizontal="center"/>
    </xf>
    <xf numFmtId="14" fontId="1" fillId="2" borderId="0" xfId="0" applyNumberFormat="1" applyFont="1" applyFill="1" applyBorder="1" applyAlignment="1">
      <alignment horizontal="left"/>
    </xf>
    <xf numFmtId="0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7" fillId="2" borderId="0" xfId="0" applyFont="1" applyFill="1" applyAlignment="1">
      <alignment horizontal="left" vertical="center"/>
    </xf>
    <xf numFmtId="0" fontId="2" fillId="3" borderId="0" xfId="0" applyFont="1" applyFill="1"/>
    <xf numFmtId="0" fontId="2" fillId="3" borderId="0" xfId="0" applyNumberFormat="1" applyFont="1" applyFill="1" applyAlignment="1">
      <alignment horizontal="left"/>
    </xf>
    <xf numFmtId="0" fontId="5" fillId="4" borderId="0" xfId="0" applyFont="1" applyFill="1" applyBorder="1"/>
    <xf numFmtId="0" fontId="5" fillId="4" borderId="0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14" fontId="6" fillId="4" borderId="0" xfId="0" applyNumberFormat="1" applyFont="1" applyFill="1" applyBorder="1" applyAlignment="1">
      <alignment horizontal="center"/>
    </xf>
    <xf numFmtId="0" fontId="1" fillId="4" borderId="0" xfId="0" applyFont="1" applyFill="1" applyAlignment="1">
      <alignment horizontal="left"/>
    </xf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1" fillId="4" borderId="5" xfId="0" applyFont="1" applyFill="1" applyBorder="1"/>
    <xf numFmtId="0" fontId="1" fillId="4" borderId="6" xfId="0" applyFont="1" applyFill="1" applyBorder="1"/>
    <xf numFmtId="0" fontId="1" fillId="4" borderId="4" xfId="0" applyFont="1" applyFill="1" applyBorder="1"/>
    <xf numFmtId="0" fontId="3" fillId="2" borderId="0" xfId="0" applyFont="1" applyFill="1" applyAlignment="1">
      <alignment vertical="top"/>
    </xf>
    <xf numFmtId="0" fontId="9" fillId="2" borderId="0" xfId="0" applyFont="1" applyFill="1"/>
    <xf numFmtId="0" fontId="12" fillId="2" borderId="0" xfId="0" applyFont="1" applyFill="1" applyAlignment="1">
      <alignment horizontal="left"/>
    </xf>
    <xf numFmtId="0" fontId="12" fillId="2" borderId="0" xfId="0" applyFont="1" applyFill="1"/>
    <xf numFmtId="0" fontId="0" fillId="5" borderId="0" xfId="0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0" fontId="0" fillId="15" borderId="0" xfId="0" applyFill="1"/>
    <xf numFmtId="0" fontId="0" fillId="16" borderId="9" xfId="0" applyFill="1" applyBorder="1"/>
    <xf numFmtId="0" fontId="14" fillId="6" borderId="9" xfId="0" applyFont="1" applyFill="1" applyBorder="1"/>
    <xf numFmtId="0" fontId="14" fillId="13" borderId="9" xfId="0" applyFont="1" applyFill="1" applyBorder="1"/>
    <xf numFmtId="0" fontId="14" fillId="9" borderId="9" xfId="0" applyFont="1" applyFill="1" applyBorder="1"/>
    <xf numFmtId="0" fontId="14" fillId="17" borderId="9" xfId="0" applyFont="1" applyFill="1" applyBorder="1"/>
    <xf numFmtId="0" fontId="2" fillId="6" borderId="0" xfId="0" applyFont="1" applyFill="1"/>
    <xf numFmtId="0" fontId="2" fillId="7" borderId="11" xfId="0" applyFont="1" applyFill="1" applyBorder="1"/>
    <xf numFmtId="14" fontId="12" fillId="6" borderId="10" xfId="0" applyNumberFormat="1" applyFont="1" applyFill="1" applyBorder="1"/>
    <xf numFmtId="14" fontId="12" fillId="7" borderId="11" xfId="0" applyNumberFormat="1" applyFont="1" applyFill="1" applyBorder="1"/>
    <xf numFmtId="166" fontId="0" fillId="3" borderId="9" xfId="0" applyNumberFormat="1" applyFill="1" applyBorder="1"/>
    <xf numFmtId="1" fontId="0" fillId="8" borderId="0" xfId="0" applyNumberFormat="1" applyFill="1"/>
    <xf numFmtId="1" fontId="0" fillId="14" borderId="9" xfId="0" applyNumberFormat="1" applyFill="1" applyBorder="1"/>
    <xf numFmtId="165" fontId="0" fillId="7" borderId="9" xfId="1" applyNumberFormat="1" applyFont="1" applyFill="1" applyBorder="1"/>
    <xf numFmtId="165" fontId="0" fillId="3" borderId="9" xfId="1" applyNumberFormat="1" applyFont="1" applyFill="1" applyBorder="1"/>
    <xf numFmtId="165" fontId="0" fillId="10" borderId="9" xfId="1" applyNumberFormat="1" applyFont="1" applyFill="1" applyBorder="1"/>
    <xf numFmtId="0" fontId="13" fillId="12" borderId="0" xfId="0" applyFont="1" applyFill="1"/>
    <xf numFmtId="165" fontId="0" fillId="11" borderId="9" xfId="1" applyNumberFormat="1" applyFont="1" applyFill="1" applyBorder="1"/>
    <xf numFmtId="1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167" fontId="9" fillId="2" borderId="0" xfId="0" applyNumberFormat="1" applyFont="1" applyFill="1" applyBorder="1" applyAlignment="1">
      <alignment horizontal="right"/>
    </xf>
    <xf numFmtId="0" fontId="9" fillId="3" borderId="0" xfId="0" applyFont="1" applyFill="1" applyBorder="1" applyAlignment="1">
      <alignment horizontal="right"/>
    </xf>
    <xf numFmtId="0" fontId="9" fillId="3" borderId="2" xfId="0" applyFont="1" applyFill="1" applyBorder="1" applyAlignment="1">
      <alignment horizontal="right"/>
    </xf>
    <xf numFmtId="167" fontId="9" fillId="3" borderId="2" xfId="1" applyNumberFormat="1" applyFont="1" applyFill="1" applyBorder="1"/>
    <xf numFmtId="0" fontId="9" fillId="3" borderId="0" xfId="0" applyNumberFormat="1" applyFont="1" applyFill="1" applyBorder="1" applyAlignment="1">
      <alignment horizontal="right"/>
    </xf>
    <xf numFmtId="14" fontId="9" fillId="3" borderId="0" xfId="0" applyNumberFormat="1" applyFont="1" applyFill="1" applyBorder="1"/>
    <xf numFmtId="167" fontId="9" fillId="3" borderId="1" xfId="0" applyNumberFormat="1" applyFont="1" applyFill="1" applyBorder="1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NumberFormat="1" applyFont="1" applyFill="1" applyAlignment="1">
      <alignment horizontal="left"/>
    </xf>
    <xf numFmtId="14" fontId="9" fillId="2" borderId="0" xfId="0" applyNumberFormat="1" applyFont="1" applyFill="1" applyAlignment="1">
      <alignment horizontal="left"/>
    </xf>
    <xf numFmtId="167" fontId="9" fillId="2" borderId="0" xfId="0" applyNumberFormat="1" applyFont="1" applyFill="1" applyAlignment="1">
      <alignment horizontal="left"/>
    </xf>
    <xf numFmtId="0" fontId="13" fillId="0" borderId="13" xfId="0" applyFont="1" applyBorder="1" applyAlignment="1">
      <alignment horizontal="centerContinuous"/>
    </xf>
    <xf numFmtId="0" fontId="0" fillId="0" borderId="14" xfId="0" applyBorder="1" applyAlignment="1">
      <alignment horizontal="centerContinuous"/>
    </xf>
    <xf numFmtId="0" fontId="0" fillId="0" borderId="15" xfId="0" applyBorder="1" applyAlignment="1">
      <alignment horizontal="centerContinuous"/>
    </xf>
    <xf numFmtId="0" fontId="13" fillId="0" borderId="12" xfId="0" applyFont="1" applyBorder="1" applyAlignment="1">
      <alignment horizontal="centerContinuous"/>
    </xf>
    <xf numFmtId="0" fontId="0" fillId="0" borderId="9" xfId="0" applyBorder="1"/>
    <xf numFmtId="167" fontId="0" fillId="0" borderId="9" xfId="0" applyNumberFormat="1" applyBorder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15" fillId="2" borderId="7" xfId="0" applyNumberFormat="1" applyFont="1" applyFill="1" applyBorder="1" applyAlignment="1">
      <alignment horizontal="left"/>
    </xf>
    <xf numFmtId="0" fontId="15" fillId="2" borderId="8" xfId="0" applyNumberFormat="1" applyFont="1" applyFill="1" applyBorder="1" applyAlignment="1">
      <alignment horizontal="left"/>
    </xf>
    <xf numFmtId="0" fontId="15" fillId="2" borderId="8" xfId="0" applyFont="1" applyFill="1" applyBorder="1" applyAlignment="1">
      <alignment horizontal="left"/>
    </xf>
    <xf numFmtId="0" fontId="15" fillId="2" borderId="3" xfId="0" applyFont="1" applyFill="1" applyBorder="1" applyAlignment="1">
      <alignment horizontal="left"/>
    </xf>
    <xf numFmtId="14" fontId="15" fillId="2" borderId="8" xfId="0" applyNumberFormat="1" applyFont="1" applyFill="1" applyBorder="1" applyAlignment="1">
      <alignment horizontal="left"/>
    </xf>
    <xf numFmtId="0" fontId="0" fillId="17" borderId="0" xfId="0" applyFill="1" applyAlignment="1">
      <alignment horizontal="right"/>
    </xf>
    <xf numFmtId="0" fontId="0" fillId="9" borderId="0" xfId="0" applyFill="1" applyAlignment="1">
      <alignment horizontal="right"/>
    </xf>
  </cellXfs>
  <cellStyles count="3">
    <cellStyle name="Milliers" xfId="1" builtinId="3"/>
    <cellStyle name="Normal" xfId="0" builtinId="0"/>
    <cellStyle name="Pourcentage" xfId="2" builtinId="5"/>
  </cellStyles>
  <dxfs count="65"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numFmt numFmtId="167" formatCode="#,##0\ &quot;Fcfa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3333CC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4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4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4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3333CC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3333CC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64" formatCode="#,##0\ &quot;€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64" formatCode="#,##0\ &quot;€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64" formatCode="#,##0\ &quot;€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64" formatCode="#,##0\ &quot;€&quot;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64" formatCode="#,##0\ &quot;€&quot;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64" formatCode="#,##0\ &quot;€&quot;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0" formatCode="General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19" formatCode="dd/m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>
        <top style="thin">
          <color theme="0" tint="-0.2499465926084170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4"/>
      </font>
      <fill>
        <patternFill patternType="solid">
          <fgColor indexed="64"/>
          <bgColor theme="0"/>
        </patternFill>
      </fill>
    </dxf>
    <dxf>
      <border>
        <bottom style="thin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3333CC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theme="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FF"/>
      <color rgb="FF0A66FF"/>
      <color rgb="FF8FBCFF"/>
      <color rgb="FFAFCFFF"/>
      <color rgb="FF70AD47"/>
      <color rgb="FF2211F9"/>
      <color rgb="FFF0F9F9"/>
      <color rgb="FFF0F2F2"/>
      <color rgb="FF2CDDC7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[Récouvrements de créances.xlsm]Traitement!Échue vs Non éhue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66FF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rgbClr val="70AD47">
              <a:alpha val="83922"/>
            </a:srgb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Traitement!$AL$3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70AD47">
                  <a:alpha val="83922"/>
                </a:srgb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Traitement!$AK$4:$AK$6</c:f>
              <c:strCache>
                <c:ptCount val="2"/>
                <c:pt idx="0">
                  <c:v>Échue</c:v>
                </c:pt>
                <c:pt idx="1">
                  <c:v>Non échue</c:v>
                </c:pt>
              </c:strCache>
            </c:strRef>
          </c:cat>
          <c:val>
            <c:numRef>
              <c:f>Traitement!$AL$4:$AL$6</c:f>
              <c:numCache>
                <c:formatCode>#,##0\ "Fcfa"</c:formatCode>
                <c:ptCount val="2"/>
                <c:pt idx="0">
                  <c:v>312000</c:v>
                </c:pt>
                <c:pt idx="1">
                  <c:v>270000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2673248"/>
        <c:axId val="482673640"/>
      </c:barChart>
      <c:catAx>
        <c:axId val="48267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2673640"/>
        <c:crosses val="autoZero"/>
        <c:auto val="1"/>
        <c:lblAlgn val="ctr"/>
        <c:lblOffset val="100"/>
        <c:noMultiLvlLbl val="0"/>
      </c:catAx>
      <c:valAx>
        <c:axId val="482673640"/>
        <c:scaling>
          <c:orientation val="minMax"/>
        </c:scaling>
        <c:delete val="1"/>
        <c:axPos val="l"/>
        <c:numFmt formatCode="#,##0\ &quot;Fcfa&quot;" sourceLinked="1"/>
        <c:majorTickMark val="out"/>
        <c:minorTickMark val="none"/>
        <c:tickLblPos val="nextTo"/>
        <c:crossAx val="48267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71840608396656"/>
          <c:y val="6.143947713010238E-2"/>
          <c:w val="0.80417305845646303"/>
          <c:h val="0.675404208666032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A66FF"/>
            </a:solidFill>
            <a:ln>
              <a:noFill/>
            </a:ln>
            <a:effectLst/>
          </c:spPr>
          <c:invertIfNegative val="0"/>
          <c:cat>
            <c:numRef>
              <c:f>Traitement!$B$18:$B$23</c:f>
              <c:numCache>
                <c:formatCode>mmm"-"yy</c:formatCode>
                <c:ptCount val="6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</c:numCache>
            </c:numRef>
          </c:cat>
          <c:val>
            <c:numRef>
              <c:f>Traitement!$C$18:$C$23</c:f>
              <c:numCache>
                <c:formatCode>_-* #,##0\ _€_-;\-* #,##0\ _€_-;_-* "-"??\ _€_-;_-@_-</c:formatCode>
                <c:ptCount val="6"/>
                <c:pt idx="0">
                  <c:v>162000</c:v>
                </c:pt>
                <c:pt idx="1">
                  <c:v>245000</c:v>
                </c:pt>
                <c:pt idx="2">
                  <c:v>150000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numRef>
              <c:f>Traitement!$B$18:$B$23</c:f>
              <c:numCache>
                <c:formatCode>mmm"-"yy</c:formatCode>
                <c:ptCount val="6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</c:numCache>
            </c:numRef>
          </c:cat>
          <c:val>
            <c:numRef>
              <c:f>Traitement!$D$18:$D$23</c:f>
              <c:numCache>
                <c:formatCode>_-* #,##0\ _€_-;\-* #,##0\ _€_-;_-* "-"??\ _€_-;_-@_-</c:formatCode>
                <c:ptCount val="6"/>
                <c:pt idx="0">
                  <c:v>204000</c:v>
                </c:pt>
                <c:pt idx="1">
                  <c:v>258000</c:v>
                </c:pt>
                <c:pt idx="2">
                  <c:v>252000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Traitement!$B$18:$B$23</c:f>
              <c:numCache>
                <c:formatCode>mmm"-"yy</c:formatCode>
                <c:ptCount val="6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</c:numCache>
            </c:numRef>
          </c:cat>
          <c:val>
            <c:numRef>
              <c:f>Traitement!$E$18:$E$23</c:f>
              <c:numCache>
                <c:formatCode>_-* #,##0\ _€_-;\-* #,##0\ _€_-;_-* "-"??\ _€_-;_-@_-</c:formatCode>
                <c:ptCount val="6"/>
                <c:pt idx="3">
                  <c:v>120000</c:v>
                </c:pt>
                <c:pt idx="4">
                  <c:v>60000</c:v>
                </c:pt>
                <c:pt idx="5">
                  <c:v>50000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Traitement!$B$18:$B$23</c:f>
              <c:numCache>
                <c:formatCode>mmm"-"yy</c:formatCode>
                <c:ptCount val="6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</c:numCache>
            </c:numRef>
          </c:cat>
          <c:val>
            <c:numRef>
              <c:f>Traitement!$F$18:$F$23</c:f>
              <c:numCache>
                <c:formatCode>General</c:formatCode>
                <c:ptCount val="6"/>
                <c:pt idx="0">
                  <c:v>31</c:v>
                </c:pt>
                <c:pt idx="1">
                  <c:v>28</c:v>
                </c:pt>
                <c:pt idx="2">
                  <c:v>31</c:v>
                </c:pt>
                <c:pt idx="3">
                  <c:v>30</c:v>
                </c:pt>
                <c:pt idx="4">
                  <c:v>31</c:v>
                </c:pt>
                <c:pt idx="5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0"/>
        <c:axId val="482671288"/>
        <c:axId val="482668152"/>
      </c:barChart>
      <c:dateAx>
        <c:axId val="482671288"/>
        <c:scaling>
          <c:orientation val="minMax"/>
        </c:scaling>
        <c:delete val="0"/>
        <c:axPos val="b"/>
        <c:numFmt formatCode="mmm&quot;-&quot;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2668152"/>
        <c:crosses val="autoZero"/>
        <c:auto val="1"/>
        <c:lblOffset val="100"/>
        <c:baseTimeUnit val="months"/>
      </c:dateAx>
      <c:valAx>
        <c:axId val="482668152"/>
        <c:scaling>
          <c:orientation val="minMax"/>
        </c:scaling>
        <c:delete val="0"/>
        <c:axPos val="l"/>
        <c:numFmt formatCode="_-* #,##0\ _€_-;\-* #,##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267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44000">
                  <a:schemeClr val="accent1">
                    <a:lumMod val="5000"/>
                    <a:lumOff val="95000"/>
                  </a:schemeClr>
                </a:gs>
                <a:gs pos="0">
                  <a:srgbClr val="8FBCFF"/>
                </a:gs>
              </a:gsLst>
              <a:lin ang="5400000" scaled="1"/>
            </a:gradFill>
            <a:ln>
              <a:noFill/>
            </a:ln>
            <a:effectLst/>
          </c:spPr>
          <c:cat>
            <c:numRef>
              <c:f>Traitement!$B$3:$B$8</c:f>
              <c:numCache>
                <c:formatCode>mmm"-"yy</c:formatCode>
                <c:ptCount val="6"/>
                <c:pt idx="0">
                  <c:v>45901</c:v>
                </c:pt>
                <c:pt idx="1">
                  <c:v>45931</c:v>
                </c:pt>
                <c:pt idx="2">
                  <c:v>45962</c:v>
                </c:pt>
                <c:pt idx="3">
                  <c:v>45992</c:v>
                </c:pt>
                <c:pt idx="4">
                  <c:v>46023</c:v>
                </c:pt>
                <c:pt idx="5">
                  <c:v>46054</c:v>
                </c:pt>
              </c:numCache>
            </c:numRef>
          </c:cat>
          <c:val>
            <c:numRef>
              <c:f>Traitement!$H$3:$H$8</c:f>
              <c:numCache>
                <c:formatCode>0</c:formatCode>
                <c:ptCount val="6"/>
                <c:pt idx="0">
                  <c:v>30</c:v>
                </c:pt>
                <c:pt idx="1">
                  <c:v>26.407407407407408</c:v>
                </c:pt>
                <c:pt idx="2">
                  <c:v>79.294117647058826</c:v>
                </c:pt>
                <c:pt idx="3">
                  <c:v>152.72666666666666</c:v>
                </c:pt>
                <c:pt idx="4">
                  <c:v>133.37654320987653</c:v>
                </c:pt>
                <c:pt idx="5">
                  <c:v>78.171428571428578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09384"/>
        <c:axId val="366405856"/>
      </c:area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0A66FF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Traitement!$B$3:$B$8</c:f>
              <c:numCache>
                <c:formatCode>mmm"-"yy</c:formatCode>
                <c:ptCount val="6"/>
                <c:pt idx="0">
                  <c:v>45901</c:v>
                </c:pt>
                <c:pt idx="1">
                  <c:v>45931</c:v>
                </c:pt>
                <c:pt idx="2">
                  <c:v>45962</c:v>
                </c:pt>
                <c:pt idx="3">
                  <c:v>45992</c:v>
                </c:pt>
                <c:pt idx="4">
                  <c:v>46023</c:v>
                </c:pt>
                <c:pt idx="5">
                  <c:v>46054</c:v>
                </c:pt>
              </c:numCache>
            </c:numRef>
          </c:cat>
          <c:val>
            <c:numRef>
              <c:f>Traitement!$J$3:$J$8</c:f>
              <c:numCache>
                <c:formatCode>0</c:formatCode>
                <c:ptCount val="6"/>
                <c:pt idx="0">
                  <c:v>30</c:v>
                </c:pt>
                <c:pt idx="1">
                  <c:v>26.407407407407408</c:v>
                </c:pt>
                <c:pt idx="2">
                  <c:v>79.294117647058826</c:v>
                </c:pt>
                <c:pt idx="3">
                  <c:v>152.72666666666666</c:v>
                </c:pt>
                <c:pt idx="4">
                  <c:v>133.37654320987653</c:v>
                </c:pt>
                <c:pt idx="5">
                  <c:v>78.171428571428578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09384"/>
        <c:axId val="366405856"/>
      </c:lineChart>
      <c:dateAx>
        <c:axId val="366409384"/>
        <c:scaling>
          <c:orientation val="minMax"/>
        </c:scaling>
        <c:delete val="0"/>
        <c:axPos val="b"/>
        <c:numFmt formatCode="mmm&quot;-&quot;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6405856"/>
        <c:crosses val="autoZero"/>
        <c:auto val="1"/>
        <c:lblOffset val="100"/>
        <c:baseTimeUnit val="months"/>
      </c:dateAx>
      <c:valAx>
        <c:axId val="366405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640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[Récouvrements de créances.xlsm]Traitement!5 premiers clients par solde impayé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66FF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b" anchorCtr="0">
              <a:spAutoFit/>
            </a:bodyPr>
            <a:lstStyle/>
            <a:p>
              <a:pPr algn="r"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rgbClr val="0066FF"/>
          </a:solidFill>
          <a:ln>
            <a:noFill/>
          </a:ln>
          <a:effectLst/>
        </c:spPr>
      </c:pivotFmt>
      <c:pivotFmt>
        <c:idx val="4"/>
        <c:spPr>
          <a:solidFill>
            <a:srgbClr val="0066FF"/>
          </a:solidFill>
          <a:ln>
            <a:noFill/>
          </a:ln>
          <a:effectLst/>
        </c:spPr>
      </c:pivotFmt>
      <c:pivotFmt>
        <c:idx val="5"/>
        <c:spPr>
          <a:solidFill>
            <a:srgbClr val="0066FF"/>
          </a:solidFill>
          <a:ln>
            <a:noFill/>
          </a:ln>
          <a:effectLst/>
        </c:spPr>
      </c:pivotFmt>
      <c:pivotFmt>
        <c:idx val="6"/>
        <c:spPr>
          <a:solidFill>
            <a:srgbClr val="0066FF"/>
          </a:solidFill>
          <a:ln>
            <a:noFill/>
          </a:ln>
          <a:effectLst/>
        </c:spPr>
      </c:pivotFmt>
      <c:pivotFmt>
        <c:idx val="7"/>
        <c:spPr>
          <a:solidFill>
            <a:srgbClr val="0066FF"/>
          </a:solidFill>
          <a:ln>
            <a:noFill/>
          </a:ln>
          <a:effectLst/>
        </c:spPr>
        <c:dLbl>
          <c:idx val="0"/>
          <c:layout>
            <c:manualLayout>
              <c:x val="-0.19375627797324091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b" anchorCtr="0">
              <a:spAutoFit/>
            </a:bodyPr>
            <a:lstStyle/>
            <a:p>
              <a:pPr algn="r"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637139579401888"/>
          <c:y val="3.1840825956039605E-2"/>
          <c:w val="0.73971723207467199"/>
          <c:h val="0.9681591740439603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Traitement!$AW$3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0066FF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b" anchorCtr="0">
                <a:spAutoFit/>
              </a:bodyPr>
              <a:lstStyle/>
              <a:p>
                <a:pPr algn="r"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Traitement!$AV$4:$AV$8</c:f>
              <c:strCache>
                <c:ptCount val="5"/>
                <c:pt idx="0">
                  <c:v>Boubacar Sangaré</c:v>
                </c:pt>
                <c:pt idx="1">
                  <c:v>Sekou Diallo</c:v>
                </c:pt>
                <c:pt idx="2">
                  <c:v>Mariam Keita</c:v>
                </c:pt>
                <c:pt idx="3">
                  <c:v>Aïssata Traoré</c:v>
                </c:pt>
                <c:pt idx="4">
                  <c:v>Yacouba Konaté</c:v>
                </c:pt>
              </c:strCache>
            </c:strRef>
          </c:cat>
          <c:val>
            <c:numRef>
              <c:f>Traitement!$AW$4:$AW$8</c:f>
              <c:numCache>
                <c:formatCode>#,##0\ "Fcfa"</c:formatCode>
                <c:ptCount val="5"/>
                <c:pt idx="0">
                  <c:v>65000</c:v>
                </c:pt>
                <c:pt idx="1">
                  <c:v>75000</c:v>
                </c:pt>
                <c:pt idx="2">
                  <c:v>90000</c:v>
                </c:pt>
                <c:pt idx="3">
                  <c:v>97000</c:v>
                </c:pt>
                <c:pt idx="4">
                  <c:v>120000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50"/>
        <c:axId val="366403112"/>
        <c:axId val="366406248"/>
      </c:barChart>
      <c:catAx>
        <c:axId val="366403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6406248"/>
        <c:crosses val="autoZero"/>
        <c:auto val="1"/>
        <c:lblAlgn val="ctr"/>
        <c:lblOffset val="100"/>
        <c:noMultiLvlLbl val="0"/>
      </c:catAx>
      <c:valAx>
        <c:axId val="366406248"/>
        <c:scaling>
          <c:orientation val="minMax"/>
        </c:scaling>
        <c:delete val="1"/>
        <c:axPos val="b"/>
        <c:numFmt formatCode="#,##0\ &quot;Fcfa&quot;" sourceLinked="1"/>
        <c:majorTickMark val="none"/>
        <c:minorTickMark val="none"/>
        <c:tickLblPos val="nextTo"/>
        <c:crossAx val="36640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7.png"/><Relationship Id="rId18" Type="http://schemas.microsoft.com/office/2007/relationships/hdphoto" Target="../media/hdphoto5.wdp"/><Relationship Id="rId3" Type="http://schemas.openxmlformats.org/officeDocument/2006/relationships/chart" Target="../charts/chart1.xml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17" Type="http://schemas.openxmlformats.org/officeDocument/2006/relationships/image" Target="../media/image9.png"/><Relationship Id="rId2" Type="http://schemas.openxmlformats.org/officeDocument/2006/relationships/image" Target="../media/image2.png"/><Relationship Id="rId16" Type="http://schemas.microsoft.com/office/2007/relationships/hdphoto" Target="../media/hdphoto4.wdp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microsoft.com/office/2007/relationships/hdphoto" Target="../media/hdphoto2.wdp"/><Relationship Id="rId5" Type="http://schemas.openxmlformats.org/officeDocument/2006/relationships/chart" Target="../charts/chart3.xml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chart" Target="../charts/chart2.xml"/><Relationship Id="rId9" Type="http://schemas.openxmlformats.org/officeDocument/2006/relationships/image" Target="../media/image4.png"/><Relationship Id="rId14" Type="http://schemas.microsoft.com/office/2007/relationships/hdphoto" Target="../media/hdphoto3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0</xdr:row>
      <xdr:rowOff>13606</xdr:rowOff>
    </xdr:from>
    <xdr:to>
      <xdr:col>2</xdr:col>
      <xdr:colOff>27214</xdr:colOff>
      <xdr:row>37</xdr:row>
      <xdr:rowOff>136071</xdr:rowOff>
    </xdr:to>
    <xdr:cxnSp macro="">
      <xdr:nvCxnSpPr>
        <xdr:cNvPr id="3" name="Connecteur droit 2"/>
        <xdr:cNvCxnSpPr/>
      </xdr:nvCxnSpPr>
      <xdr:spPr>
        <a:xfrm>
          <a:off x="1768930" y="13606"/>
          <a:ext cx="27213" cy="7170965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17446</xdr:rowOff>
    </xdr:from>
    <xdr:to>
      <xdr:col>22</xdr:col>
      <xdr:colOff>719786</xdr:colOff>
      <xdr:row>38</xdr:row>
      <xdr:rowOff>158446</xdr:rowOff>
    </xdr:to>
    <xdr:grpSp>
      <xdr:nvGrpSpPr>
        <xdr:cNvPr id="31" name="Groupe 30"/>
        <xdr:cNvGrpSpPr/>
      </xdr:nvGrpSpPr>
      <xdr:grpSpPr>
        <a:xfrm>
          <a:off x="0" y="17446"/>
          <a:ext cx="17892000" cy="7380000"/>
          <a:chOff x="0" y="452876"/>
          <a:chExt cx="17828078" cy="6192000"/>
        </a:xfrm>
      </xdr:grpSpPr>
      <xdr:grpSp>
        <xdr:nvGrpSpPr>
          <xdr:cNvPr id="159" name="Groupe 158"/>
          <xdr:cNvGrpSpPr/>
        </xdr:nvGrpSpPr>
        <xdr:grpSpPr>
          <a:xfrm>
            <a:off x="0" y="452876"/>
            <a:ext cx="17748000" cy="6192000"/>
            <a:chOff x="0" y="71877"/>
            <a:chExt cx="19934464" cy="7248766"/>
          </a:xfrm>
        </xdr:grpSpPr>
        <xdr:grpSp>
          <xdr:nvGrpSpPr>
            <xdr:cNvPr id="157" name="Groupe 156"/>
            <xdr:cNvGrpSpPr/>
          </xdr:nvGrpSpPr>
          <xdr:grpSpPr>
            <a:xfrm>
              <a:off x="0" y="71877"/>
              <a:ext cx="19934464" cy="7248766"/>
              <a:chOff x="0" y="71877"/>
              <a:chExt cx="17852571" cy="7248766"/>
            </a:xfrm>
          </xdr:grpSpPr>
          <xdr:pic macro="[0]!actualiser">
            <xdr:nvPicPr>
              <xdr:cNvPr id="45" name="Image 44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rot="3199392" flipV="1">
                <a:off x="16904686" y="71877"/>
                <a:ext cx="360000" cy="360000"/>
              </a:xfrm>
              <a:prstGeom prst="rect">
                <a:avLst/>
              </a:prstGeom>
            </xdr:spPr>
          </xdr:pic>
          <xdr:grpSp>
            <xdr:nvGrpSpPr>
              <xdr:cNvPr id="156" name="Groupe 155"/>
              <xdr:cNvGrpSpPr/>
            </xdr:nvGrpSpPr>
            <xdr:grpSpPr>
              <a:xfrm>
                <a:off x="0" y="168387"/>
                <a:ext cx="17852571" cy="7152256"/>
                <a:chOff x="0" y="168387"/>
                <a:chExt cx="17594036" cy="7288327"/>
              </a:xfrm>
            </xdr:grpSpPr>
            <xdr:sp macro="[0]!Dashboard" textlink="">
              <xdr:nvSpPr>
                <xdr:cNvPr id="123" name="Rectangle à coins arrondis 122"/>
                <xdr:cNvSpPr/>
              </xdr:nvSpPr>
              <xdr:spPr>
                <a:xfrm>
                  <a:off x="216352" y="1308327"/>
                  <a:ext cx="1429200" cy="301991"/>
                </a:xfrm>
                <a:prstGeom prst="roundRect">
                  <a:avLst/>
                </a:prstGeom>
                <a:solidFill>
                  <a:srgbClr val="3333CC">
                    <a:alpha val="80000"/>
                  </a:srgbClr>
                </a:solidFill>
              </xdr:spPr>
              <xdr:style>
                <a:lnRef idx="0">
                  <a:schemeClr val="accent6"/>
                </a:lnRef>
                <a:fillRef idx="3">
                  <a:schemeClr val="accent6"/>
                </a:fillRef>
                <a:effectRef idx="3">
                  <a:schemeClr val="accent6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>
                    <a:solidFill>
                      <a:schemeClr val="bg1"/>
                    </a:solidFill>
                  </a:endParaRPr>
                </a:p>
              </xdr:txBody>
            </xdr:sp>
            <xdr:grpSp>
              <xdr:nvGrpSpPr>
                <xdr:cNvPr id="155" name="Groupe 154"/>
                <xdr:cNvGrpSpPr/>
              </xdr:nvGrpSpPr>
              <xdr:grpSpPr>
                <a:xfrm>
                  <a:off x="0" y="168387"/>
                  <a:ext cx="17594036" cy="7288327"/>
                  <a:chOff x="0" y="168387"/>
                  <a:chExt cx="17594036" cy="7288327"/>
                </a:xfrm>
              </xdr:grpSpPr>
              <xdr:grpSp>
                <xdr:nvGrpSpPr>
                  <xdr:cNvPr id="95" name="Groupe 94"/>
                  <xdr:cNvGrpSpPr/>
                </xdr:nvGrpSpPr>
                <xdr:grpSpPr>
                  <a:xfrm>
                    <a:off x="0" y="168387"/>
                    <a:ext cx="17594036" cy="7288327"/>
                    <a:chOff x="0" y="168387"/>
                    <a:chExt cx="17594036" cy="7193077"/>
                  </a:xfrm>
                </xdr:grpSpPr>
                <xdr:grpSp>
                  <xdr:nvGrpSpPr>
                    <xdr:cNvPr id="97" name="Groupe 96"/>
                    <xdr:cNvGrpSpPr/>
                  </xdr:nvGrpSpPr>
                  <xdr:grpSpPr>
                    <a:xfrm>
                      <a:off x="124164" y="168387"/>
                      <a:ext cx="17457399" cy="7193077"/>
                      <a:chOff x="124164" y="168388"/>
                      <a:chExt cx="17447504" cy="6145326"/>
                    </a:xfrm>
                  </xdr:grpSpPr>
                  <xdr:pic>
                    <xdr:nvPicPr>
                      <xdr:cNvPr id="117" name="Image 116"/>
                      <xdr:cNvPicPr>
                        <a:picLocks noChangeAspect="1"/>
                      </xdr:cNvPicPr>
                    </xdr:nvPicPr>
                    <xdr:blipFill rotWithShape="1">
                      <a:blip xmlns:r="http://schemas.openxmlformats.org/officeDocument/2006/relationships" r:embed="rId2" cstate="print">
                        <a:extLs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rcRect l="10361" t="26061" r="21171" b="27879"/>
                      <a:stretch/>
                    </xdr:blipFill>
                    <xdr:spPr>
                      <a:xfrm>
                        <a:off x="124164" y="168388"/>
                        <a:ext cx="1578428" cy="599754"/>
                      </a:xfrm>
                      <a:prstGeom prst="rect">
                        <a:avLst/>
                      </a:prstGeom>
                      <a:ln>
                        <a:noFill/>
                      </a:ln>
                    </xdr:spPr>
                  </xdr:pic>
                  <xdr:sp macro="" textlink="">
                    <xdr:nvSpPr>
                      <xdr:cNvPr id="46" name="Rectangle à coins arrondis 45"/>
                      <xdr:cNvSpPr/>
                    </xdr:nvSpPr>
                    <xdr:spPr>
                      <a:xfrm>
                        <a:off x="12468625" y="3969811"/>
                        <a:ext cx="5103043" cy="2343903"/>
                      </a:xfrm>
                      <a:prstGeom prst="roundRect">
                        <a:avLst>
                          <a:gd name="adj" fmla="val 7647"/>
                        </a:avLst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76200" algn="ctr" rotWithShape="0">
                          <a:prstClr val="black">
                            <a:alpha val="44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b"/>
                      <a:lstStyle/>
                      <a:p>
                        <a:pPr algn="l"/>
                        <a:r>
                          <a:rPr lang="en-US" sz="1600" b="1" i="0" u="none" strike="noStrike">
                            <a:solidFill>
                              <a:srgbClr val="000000"/>
                            </a:solidFill>
                            <a:latin typeface="Calibri"/>
                            <a:ea typeface="Calibri"/>
                            <a:cs typeface="Calibri"/>
                          </a:rPr>
                          <a:t>   </a:t>
                        </a:r>
                      </a:p>
                    </xdr:txBody>
                  </xdr:sp>
                  <xdr:sp macro="" textlink="">
                    <xdr:nvSpPr>
                      <xdr:cNvPr id="47" name="Rectangle à coins arrondis 46"/>
                      <xdr:cNvSpPr/>
                    </xdr:nvSpPr>
                    <xdr:spPr>
                      <a:xfrm>
                        <a:off x="1920850" y="3969811"/>
                        <a:ext cx="5097255" cy="2343903"/>
                      </a:xfrm>
                      <a:prstGeom prst="roundRect">
                        <a:avLst>
                          <a:gd name="adj" fmla="val 7647"/>
                        </a:avLst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76200" algn="ctr" rotWithShape="0">
                          <a:prstClr val="black">
                            <a:alpha val="44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b"/>
                      <a:lstStyle/>
                      <a:p>
                        <a:pPr algn="l"/>
                        <a:r>
                          <a:rPr lang="en-US" sz="1600" b="1" i="0" u="none" strike="noStrike">
                            <a:solidFill>
                              <a:srgbClr val="000000"/>
                            </a:solidFill>
                            <a:latin typeface="Calibri"/>
                            <a:ea typeface="Calibri"/>
                            <a:cs typeface="Calibri"/>
                          </a:rPr>
                          <a:t>   </a:t>
                        </a:r>
                      </a:p>
                    </xdr:txBody>
                  </xdr:sp>
                  <xdr:sp macro="" textlink="">
                    <xdr:nvSpPr>
                      <xdr:cNvPr id="48" name="Rectangle à coins arrondis 47"/>
                      <xdr:cNvSpPr/>
                    </xdr:nvSpPr>
                    <xdr:spPr>
                      <a:xfrm>
                        <a:off x="7256592" y="3969811"/>
                        <a:ext cx="5019387" cy="2343903"/>
                      </a:xfrm>
                      <a:prstGeom prst="roundRect">
                        <a:avLst>
                          <a:gd name="adj" fmla="val 7647"/>
                        </a:avLst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76200" algn="ctr" rotWithShape="0">
                          <a:prstClr val="black">
                            <a:alpha val="44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b"/>
                      <a:lstStyle/>
                      <a:p>
                        <a:pPr algn="l"/>
                        <a:r>
                          <a:rPr lang="en-US" sz="1600" b="1" i="0" u="none" strike="noStrike">
                            <a:solidFill>
                              <a:srgbClr val="000000"/>
                            </a:solidFill>
                            <a:latin typeface="Calibri"/>
                            <a:ea typeface="Calibri"/>
                            <a:cs typeface="Calibri"/>
                          </a:rPr>
                          <a:t>   </a:t>
                        </a:r>
                      </a:p>
                    </xdr:txBody>
                  </xdr:sp>
                </xdr:grpSp>
                <xdr:grpSp>
                  <xdr:nvGrpSpPr>
                    <xdr:cNvPr id="54" name="Groupe 53"/>
                    <xdr:cNvGrpSpPr/>
                  </xdr:nvGrpSpPr>
                  <xdr:grpSpPr>
                    <a:xfrm>
                      <a:off x="0" y="462643"/>
                      <a:ext cx="17594036" cy="6885215"/>
                      <a:chOff x="0" y="462643"/>
                      <a:chExt cx="17594036" cy="6885215"/>
                    </a:xfrm>
                  </xdr:grpSpPr>
                  <xdr:grpSp>
                    <xdr:nvGrpSpPr>
                      <xdr:cNvPr id="27" name="Groupe 26"/>
                      <xdr:cNvGrpSpPr/>
                    </xdr:nvGrpSpPr>
                    <xdr:grpSpPr>
                      <a:xfrm>
                        <a:off x="1944389" y="5391961"/>
                        <a:ext cx="4852074" cy="1498729"/>
                        <a:chOff x="1930782" y="5364747"/>
                        <a:chExt cx="4852074" cy="1498729"/>
                      </a:xfrm>
                    </xdr:grpSpPr>
                    <xdr:cxnSp macro="">
                      <xdr:nvCxnSpPr>
                        <xdr:cNvPr id="131" name="Connecteur droit 130"/>
                        <xdr:cNvCxnSpPr/>
                      </xdr:nvCxnSpPr>
                      <xdr:spPr>
                        <a:xfrm>
                          <a:off x="1930782" y="6863476"/>
                          <a:ext cx="4852074" cy="0"/>
                        </a:xfrm>
                        <a:prstGeom prst="line">
                          <a:avLst/>
                        </a:prstGeom>
                        <a:ln w="12700">
                          <a:solidFill>
                            <a:schemeClr val="bg2">
                              <a:lumMod val="75000"/>
                            </a:schemeClr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2" name="Connecteur droit 131"/>
                        <xdr:cNvCxnSpPr/>
                      </xdr:nvCxnSpPr>
                      <xdr:spPr>
                        <a:xfrm>
                          <a:off x="1930782" y="5364747"/>
                          <a:ext cx="4852074" cy="0"/>
                        </a:xfrm>
                        <a:prstGeom prst="line">
                          <a:avLst/>
                        </a:prstGeom>
                        <a:ln w="12700">
                          <a:solidFill>
                            <a:schemeClr val="bg2">
                              <a:lumMod val="75000"/>
                            </a:schemeClr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3" name="Connecteur droit 132"/>
                        <xdr:cNvCxnSpPr/>
                      </xdr:nvCxnSpPr>
                      <xdr:spPr>
                        <a:xfrm>
                          <a:off x="1930782" y="5739429"/>
                          <a:ext cx="4852074" cy="0"/>
                        </a:xfrm>
                        <a:prstGeom prst="line">
                          <a:avLst/>
                        </a:prstGeom>
                        <a:ln w="12700">
                          <a:solidFill>
                            <a:schemeClr val="bg2">
                              <a:lumMod val="75000"/>
                            </a:schemeClr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" name="Connecteur droit 133"/>
                        <xdr:cNvCxnSpPr/>
                      </xdr:nvCxnSpPr>
                      <xdr:spPr>
                        <a:xfrm>
                          <a:off x="1930782" y="6114111"/>
                          <a:ext cx="4852074" cy="0"/>
                        </a:xfrm>
                        <a:prstGeom prst="line">
                          <a:avLst/>
                        </a:prstGeom>
                        <a:ln w="12700">
                          <a:solidFill>
                            <a:schemeClr val="bg2">
                              <a:lumMod val="75000"/>
                            </a:schemeClr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" name="Connecteur droit 134"/>
                        <xdr:cNvCxnSpPr/>
                      </xdr:nvCxnSpPr>
                      <xdr:spPr>
                        <a:xfrm>
                          <a:off x="1930782" y="6488793"/>
                          <a:ext cx="4852074" cy="0"/>
                        </a:xfrm>
                        <a:prstGeom prst="line">
                          <a:avLst/>
                        </a:prstGeom>
                        <a:ln w="12700">
                          <a:solidFill>
                            <a:schemeClr val="bg2">
                              <a:lumMod val="75000"/>
                            </a:schemeClr>
                          </a:solidFill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</xdr:grpSp>
                  <xdr:grpSp>
                    <xdr:nvGrpSpPr>
                      <xdr:cNvPr id="15" name="Groupe 14"/>
                      <xdr:cNvGrpSpPr/>
                    </xdr:nvGrpSpPr>
                    <xdr:grpSpPr>
                      <a:xfrm>
                        <a:off x="0" y="462643"/>
                        <a:ext cx="17594036" cy="6885215"/>
                        <a:chOff x="0" y="462643"/>
                        <a:chExt cx="17594036" cy="5813641"/>
                      </a:xfrm>
                    </xdr:grpSpPr>
                    <mc:AlternateContent xmlns:mc="http://schemas.openxmlformats.org/markup-compatibility/2006" xmlns:tsle="http://schemas.microsoft.com/office/drawing/2012/timeslicer">
                      <mc:Choice Requires="tsle">
                        <xdr:graphicFrame macro="">
                          <xdr:nvGraphicFramePr>
                            <xdr:cNvPr id="124" name="Date d'émission"/>
                            <xdr:cNvGraphicFramePr/>
                          </xdr:nvGraphicFramePr>
                          <xdr:xfrm>
                            <a:off x="0" y="5048251"/>
                            <a:ext cx="1666800" cy="1181100"/>
                          </xdr:xfrm>
                          <a:graphic>
                            <a:graphicData uri="http://schemas.microsoft.com/office/drawing/2012/timeslicer">
                              <tsle:timeslicer name="Date d'émission"/>
                            </a:graphicData>
                          </a:graphic>
                        </xdr:graphicFrame>
                      </mc:Choice>
                      <mc:Fallback xmlns="">
                        <xdr:sp macro="" textlink="">
                          <xdr:nvSpPr>
                            <xdr:cNvPr id="0" name=""/>
                            <xdr:cNvSpPr>
                              <a:spLocks noTextEdit="1"/>
                            </xdr:cNvSpPr>
                          </xdr:nvSpPr>
                          <xdr:spPr>
                            <a:xfrm>
                              <a:off x="0" y="5911360"/>
                              <a:ext cx="1687415" cy="1416044"/>
                            </a:xfrm>
                            <a:prstGeom prst="rect">
                              <a:avLst/>
                            </a:prstGeom>
                            <a:solidFill>
                              <a:prstClr val="white"/>
                            </a:solidFill>
                            <a:ln w="1">
                              <a:solidFill>
                                <a:prstClr val="green"/>
                              </a:solidFill>
                            </a:ln>
                          </xdr:spPr>
                          <xdr:txBody>
                            <a:bodyPr vertOverflow="clip" horzOverflow="clip"/>
                            <a:lstStyle/>
                            <a:p>
                              <a:r>
                                <a:rPr lang="fr-FR" sz="1100"/>
                                <a:t>Chronologie : fonctionne dans Excel 2013 ou version ultérieure. Ne pas déplacer ni redimensionner.</a:t>
                              </a:r>
                            </a:p>
                          </xdr:txBody>
                        </xdr:sp>
                      </mc:Fallback>
                    </mc:AlternateContent>
                    <mc:AlternateContent xmlns:mc="http://schemas.openxmlformats.org/markup-compatibility/2006" xmlns:tsle="http://schemas.microsoft.com/office/drawing/2012/timeslicer">
                      <mc:Choice Requires="tsle">
                        <xdr:graphicFrame macro="">
                          <xdr:nvGraphicFramePr>
                            <xdr:cNvPr id="125" name="Date d'émission 1"/>
                            <xdr:cNvGraphicFramePr/>
                          </xdr:nvGraphicFramePr>
                          <xdr:xfrm>
                            <a:off x="0" y="3804898"/>
                            <a:ext cx="1666875" cy="1181100"/>
                          </xdr:xfrm>
                          <a:graphic>
                            <a:graphicData uri="http://schemas.microsoft.com/office/drawing/2012/timeslicer">
                              <tsle:timeslicer name="Date d'émission 1"/>
                            </a:graphicData>
                          </a:graphic>
                        </xdr:graphicFrame>
                      </mc:Choice>
                      <mc:Fallback xmlns="">
                        <xdr:sp macro="" textlink="">
                          <xdr:nvSpPr>
                            <xdr:cNvPr id="0" name=""/>
                            <xdr:cNvSpPr>
                              <a:spLocks noTextEdit="1"/>
                            </xdr:cNvSpPr>
                          </xdr:nvSpPr>
                          <xdr:spPr>
                            <a:xfrm>
                              <a:off x="0" y="4420680"/>
                              <a:ext cx="1687491" cy="1416044"/>
                            </a:xfrm>
                            <a:prstGeom prst="rect">
                              <a:avLst/>
                            </a:prstGeom>
                            <a:solidFill>
                              <a:prstClr val="white"/>
                            </a:solidFill>
                            <a:ln w="1">
                              <a:solidFill>
                                <a:prstClr val="green"/>
                              </a:solidFill>
                            </a:ln>
                          </xdr:spPr>
                          <xdr:txBody>
                            <a:bodyPr vertOverflow="clip" horzOverflow="clip"/>
                            <a:lstStyle/>
                            <a:p>
                              <a:r>
                                <a:rPr lang="fr-FR" sz="1100"/>
                                <a:t>Chronologie : fonctionne dans Excel 2013 ou version ultérieure. Ne pas déplacer ni redimensionner.</a:t>
                              </a:r>
                            </a:p>
                          </xdr:txBody>
                        </xdr:sp>
                      </mc:Fallback>
                    </mc:AlternateContent>
                    <xdr:grpSp>
                      <xdr:nvGrpSpPr>
                        <xdr:cNvPr id="17" name="Groupe 16"/>
                        <xdr:cNvGrpSpPr/>
                      </xdr:nvGrpSpPr>
                      <xdr:grpSpPr>
                        <a:xfrm>
                          <a:off x="1884591" y="462643"/>
                          <a:ext cx="15709445" cy="5813641"/>
                          <a:chOff x="1884591" y="394607"/>
                          <a:chExt cx="15709445" cy="5881677"/>
                        </a:xfrm>
                      </xdr:grpSpPr>
                      <xdr:grpSp>
                        <xdr:nvGrpSpPr>
                          <xdr:cNvPr id="43" name="Groupe 42"/>
                          <xdr:cNvGrpSpPr/>
                        </xdr:nvGrpSpPr>
                        <xdr:grpSpPr>
                          <a:xfrm>
                            <a:off x="1884591" y="394607"/>
                            <a:ext cx="15709445" cy="5881677"/>
                            <a:chOff x="2035969" y="260577"/>
                            <a:chExt cx="13520536" cy="5134119"/>
                          </a:xfrm>
                        </xdr:grpSpPr>
                        <xdr:grpSp>
                          <xdr:nvGrpSpPr>
                            <xdr:cNvPr id="49" name="Groupe 48"/>
                            <xdr:cNvGrpSpPr/>
                          </xdr:nvGrpSpPr>
                          <xdr:grpSpPr>
                            <a:xfrm>
                              <a:off x="2058079" y="260577"/>
                              <a:ext cx="13368333" cy="775729"/>
                              <a:chOff x="2010454" y="474890"/>
                              <a:chExt cx="13368333" cy="775729"/>
                            </a:xfrm>
                          </xdr:grpSpPr>
                          <xdr:sp macro="" textlink="Traitement!L4">
                            <xdr:nvSpPr>
                              <xdr:cNvPr id="5" name="Rectangle à coins arrondis 4"/>
                              <xdr:cNvSpPr/>
                            </xdr:nvSpPr>
                            <xdr:spPr>
                              <a:xfrm>
                                <a:off x="2010454" y="494619"/>
                                <a:ext cx="1947403" cy="756000"/>
                              </a:xfrm>
                              <a:prstGeom prst="roundRect">
                                <a:avLst/>
                              </a:prstGeom>
                              <a:solidFill>
                                <a:schemeClr val="bg1"/>
                              </a:solidFill>
                              <a:ln>
                                <a:noFill/>
                              </a:ln>
                              <a:effectLst>
                                <a:outerShdw blurRad="63500" sx="102000" sy="102000" algn="ctr" rotWithShape="0">
                                  <a:prstClr val="black">
                                    <a:alpha val="40000"/>
                                  </a:prstClr>
                                </a:outerShdw>
                              </a:effec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b"/>
                              <a:lstStyle/>
                              <a:p>
                                <a:pPr algn="l"/>
                                <a:fld id="{04FC5029-B6BD-4A8F-8CC7-DCCC23301039}" type="TxLink">
                                  <a:rPr lang="en-US" sz="1800" b="1" i="0" u="none" strike="noStrike">
                                    <a:solidFill>
                                      <a:srgbClr val="000000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algn="l"/>
                                  <a:t>2 027 000 Fcfa</a:t>
                                </a:fld>
                                <a:endParaRPr lang="fr-FR" sz="1800" b="1">
                                  <a:solidFill>
                                    <a:schemeClr val="accent1"/>
                                  </a:solidFill>
                                </a:endParaRPr>
                              </a:p>
                            </xdr:txBody>
                          </xdr:sp>
                          <xdr:sp macro="" textlink="Traitement!P4">
                            <xdr:nvSpPr>
                              <xdr:cNvPr id="6" name="Rectangle à coins arrondis 5"/>
                              <xdr:cNvSpPr/>
                            </xdr:nvSpPr>
                            <xdr:spPr>
                              <a:xfrm>
                                <a:off x="4298043" y="494619"/>
                                <a:ext cx="1944000" cy="756000"/>
                              </a:xfrm>
                              <a:prstGeom prst="roundRect">
                                <a:avLst/>
                              </a:prstGeom>
                              <a:solidFill>
                                <a:schemeClr val="bg1"/>
                              </a:solidFill>
                              <a:ln>
                                <a:noFill/>
                              </a:ln>
                              <a:effectLst>
                                <a:outerShdw blurRad="63500" sx="102000" sy="102000" algn="ctr" rotWithShape="0">
                                  <a:prstClr val="black">
                                    <a:alpha val="40000"/>
                                  </a:prstClr>
                                </a:outerShdw>
                              </a:effec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b"/>
                              <a:lstStyle/>
                              <a:p>
                                <a:pPr marL="0" indent="0" algn="l"/>
                                <a:fld id="{14E17416-6429-49A0-B799-5BE7DE7ADC7C}" type="TxLink">
                                  <a:rPr lang="en-US" sz="1800" b="1" i="0" u="none" strike="noStrike">
                                    <a:solidFill>
                                      <a:srgbClr val="000000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marL="0" indent="0" algn="l"/>
                                  <a:t>1 445 000 Fcfa</a:t>
                                </a:fld>
                                <a:endParaRPr lang="fr-FR" sz="1800" b="1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Calibri"/>
                                  <a:cs typeface="Calibri"/>
                                </a:endParaRPr>
                              </a:p>
                            </xdr:txBody>
                          </xdr:sp>
                          <xdr:sp macro="" textlink="Traitement!U6">
                            <xdr:nvSpPr>
                              <xdr:cNvPr id="7" name="Rectangle à coins arrondis 6"/>
                              <xdr:cNvSpPr/>
                            </xdr:nvSpPr>
                            <xdr:spPr>
                              <a:xfrm>
                                <a:off x="6582229" y="494619"/>
                                <a:ext cx="1944000" cy="756000"/>
                              </a:xfrm>
                              <a:prstGeom prst="roundRect">
                                <a:avLst/>
                              </a:prstGeom>
                              <a:solidFill>
                                <a:schemeClr val="bg1"/>
                              </a:solidFill>
                              <a:ln>
                                <a:noFill/>
                              </a:ln>
                              <a:effectLst>
                                <a:outerShdw blurRad="63500" sx="102000" sy="102000" algn="ctr" rotWithShape="0">
                                  <a:prstClr val="black">
                                    <a:alpha val="40000"/>
                                  </a:prstClr>
                                </a:outerShdw>
                              </a:effec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b"/>
                              <a:lstStyle/>
                              <a:p>
                                <a:pPr marL="0" indent="0" algn="l"/>
                                <a:fld id="{54CC8C32-F601-4786-B603-B36B10DDF94E}" type="TxLink">
                                  <a:rPr lang="en-US" sz="1800" b="1" i="0" u="none" strike="noStrike">
                                    <a:solidFill>
                                      <a:srgbClr val="000000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marL="0" indent="0" algn="l"/>
                                  <a:t>270 000 Fcfa</a:t>
                                </a:fld>
                                <a:endParaRPr lang="fr-FR" sz="1800" b="1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Calibri"/>
                                  <a:cs typeface="Calibri"/>
                                </a:endParaRPr>
                              </a:p>
                            </xdr:txBody>
                          </xdr:sp>
                          <xdr:sp macro="" textlink="Traitement!AA6">
                            <xdr:nvSpPr>
                              <xdr:cNvPr id="8" name="Rectangle à coins arrondis 7"/>
                              <xdr:cNvSpPr/>
                            </xdr:nvSpPr>
                            <xdr:spPr>
                              <a:xfrm>
                                <a:off x="8866415" y="494619"/>
                                <a:ext cx="1944000" cy="756000"/>
                              </a:xfrm>
                              <a:prstGeom prst="roundRect">
                                <a:avLst/>
                              </a:prstGeom>
                              <a:solidFill>
                                <a:schemeClr val="bg1"/>
                              </a:solidFill>
                              <a:ln>
                                <a:noFill/>
                              </a:ln>
                              <a:effectLst>
                                <a:outerShdw blurRad="63500" sx="102000" sy="102000" algn="ctr" rotWithShape="0">
                                  <a:prstClr val="black">
                                    <a:alpha val="40000"/>
                                  </a:prstClr>
                                </a:outerShdw>
                              </a:effec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b"/>
                              <a:lstStyle/>
                              <a:p>
                                <a:pPr marL="0" indent="0" algn="l"/>
                                <a:fld id="{F1283757-2CFB-4079-B510-5AB4891ECF8B}" type="TxLink">
                                  <a:rPr lang="en-US" sz="1800" b="1" i="0" u="none" strike="noStrike">
                                    <a:solidFill>
                                      <a:srgbClr val="000000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marL="0" indent="0" algn="l"/>
                                  <a:t>312 000 Fcfa</a:t>
                                </a:fld>
                                <a:endParaRPr lang="fr-FR" sz="1800" b="1" i="0" u="none" strike="noStrike">
                                  <a:solidFill>
                                    <a:srgbClr val="000000"/>
                                  </a:solidFill>
                                  <a:latin typeface="Calibri"/>
                                  <a:ea typeface="Calibri"/>
                                  <a:cs typeface="Calibri"/>
                                </a:endParaRPr>
                              </a:p>
                            </xdr:txBody>
                          </xdr:sp>
                          <xdr:sp macro="" textlink="Traitement!AI4">
                            <xdr:nvSpPr>
                              <xdr:cNvPr id="9" name="Rectangle à coins arrondis 8"/>
                              <xdr:cNvSpPr/>
                            </xdr:nvSpPr>
                            <xdr:spPr>
                              <a:xfrm>
                                <a:off x="11150601" y="494619"/>
                                <a:ext cx="1944000" cy="756000"/>
                              </a:xfrm>
                              <a:prstGeom prst="roundRect">
                                <a:avLst/>
                              </a:prstGeom>
                              <a:solidFill>
                                <a:srgbClr val="0A66FF"/>
                              </a:solidFill>
                              <a:ln>
                                <a:noFill/>
                              </a:ln>
                              <a:effectLst>
                                <a:outerShdw blurRad="63500" sx="102000" sy="102000" algn="ctr" rotWithShape="0">
                                  <a:prstClr val="black">
                                    <a:alpha val="40000"/>
                                  </a:prstClr>
                                </a:outerShdw>
                              </a:effec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b"/>
                              <a:lstStyle/>
                              <a:p>
                                <a:pPr algn="l"/>
                                <a:fld id="{1D00ABE1-9C4E-4BE1-AF22-53A3BB834CD2}" type="TxLink">
                                  <a:rPr lang="en-US" sz="2000" b="1" i="0" u="none" strike="noStrike">
                                    <a:solidFill>
                                      <a:schemeClr val="bg1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algn="l"/>
                                  <a:t>71%</a:t>
                                </a:fld>
                                <a:endParaRPr lang="fr-FR" sz="2000" b="1">
                                  <a:solidFill>
                                    <a:schemeClr val="bg1"/>
                                  </a:solidFill>
                                </a:endParaRPr>
                              </a:p>
                            </xdr:txBody>
                          </xdr:sp>
                          <xdr:sp macro="" textlink="Traitement!H12">
                            <xdr:nvSpPr>
                              <xdr:cNvPr id="10" name="Rectangle à coins arrondis 9"/>
                              <xdr:cNvSpPr/>
                            </xdr:nvSpPr>
                            <xdr:spPr>
                              <a:xfrm>
                                <a:off x="13434787" y="494619"/>
                                <a:ext cx="1944000" cy="756000"/>
                              </a:xfrm>
                              <a:prstGeom prst="roundRect">
                                <a:avLst/>
                              </a:prstGeom>
                              <a:solidFill>
                                <a:srgbClr val="0A66FF"/>
                              </a:solidFill>
                              <a:ln>
                                <a:noFill/>
                              </a:ln>
                              <a:effectLst>
                                <a:outerShdw blurRad="63500" sx="102000" sy="102000" algn="ctr" rotWithShape="0">
                                  <a:prstClr val="black">
                                    <a:alpha val="40000"/>
                                  </a:prstClr>
                                </a:outerShdw>
                              </a:effec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b"/>
                              <a:lstStyle/>
                              <a:p>
                                <a:pPr marL="0" indent="0" algn="l"/>
                                <a:fld id="{0D7D8DBC-4086-4B0E-9A03-995EB6C09AF0}" type="TxLink">
                                  <a:rPr lang="en-US" sz="2000" b="1" i="0" u="none" strike="noStrike">
                                    <a:solidFill>
                                      <a:schemeClr val="bg1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marL="0" indent="0" algn="l"/>
                                  <a:t>66</a:t>
                                </a:fld>
                                <a:endParaRPr lang="fr-FR" sz="2000" b="1" i="0" u="none" strike="noStrike">
                                  <a:solidFill>
                                    <a:schemeClr val="bg1"/>
                                  </a:solidFill>
                                  <a:latin typeface="Calibri"/>
                                  <a:ea typeface="Calibri"/>
                                  <a:cs typeface="Calibri"/>
                                </a:endParaRPr>
                              </a:p>
                            </xdr:txBody>
                          </xdr:sp>
                          <xdr:sp macro="" textlink="">
                            <xdr:nvSpPr>
                              <xdr:cNvPr id="16" name="Rectangle 15"/>
                              <xdr:cNvSpPr/>
                            </xdr:nvSpPr>
                            <xdr:spPr>
                              <a:xfrm>
                                <a:off x="11186568" y="474890"/>
                                <a:ext cx="1442357" cy="28574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r>
                                  <a:rPr lang="fr-FR" sz="1400" b="1">
                                    <a:solidFill>
                                      <a:schemeClr val="bg1"/>
                                    </a:solidFill>
                                  </a:rPr>
                                  <a:t>%</a:t>
                                </a:r>
                                <a:r>
                                  <a:rPr lang="fr-FR" sz="1400" b="1" baseline="0">
                                    <a:solidFill>
                                      <a:schemeClr val="bg1"/>
                                    </a:solidFill>
                                  </a:rPr>
                                  <a:t> </a:t>
                                </a:r>
                                <a:r>
                                  <a:rPr lang="fr-FR" sz="1600" b="1" baseline="0">
                                    <a:solidFill>
                                      <a:schemeClr val="bg1"/>
                                    </a:solidFill>
                                  </a:rPr>
                                  <a:t>recouvrement</a:t>
                                </a:r>
                                <a:endParaRPr lang="fr-FR" sz="1600" b="1">
                                  <a:solidFill>
                                    <a:schemeClr val="bg1"/>
                                  </a:solidFill>
                                </a:endParaRPr>
                              </a:p>
                            </xdr:txBody>
                          </xdr:sp>
                          <xdr:sp macro="" textlink="">
                            <xdr:nvSpPr>
                              <xdr:cNvPr id="18" name="Rectangle 17"/>
                              <xdr:cNvSpPr/>
                            </xdr:nvSpPr>
                            <xdr:spPr>
                              <a:xfrm>
                                <a:off x="2036989" y="474890"/>
                                <a:ext cx="1445760" cy="28574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r>
                                  <a:rPr lang="fr-FR" sz="1600" b="1">
                                    <a:solidFill>
                                      <a:schemeClr val="bg2">
                                        <a:lumMod val="50000"/>
                                      </a:schemeClr>
                                    </a:solidFill>
                                  </a:rPr>
                                  <a:t>Chiffre d'affaire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20" name="Rectangle 19"/>
                              <xdr:cNvSpPr/>
                            </xdr:nvSpPr>
                            <xdr:spPr>
                              <a:xfrm>
                                <a:off x="8900024" y="474890"/>
                                <a:ext cx="1442357" cy="28574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600" b="1">
                                    <a:solidFill>
                                      <a:schemeClr val="bg2">
                                        <a:lumMod val="50000"/>
                                      </a:schemeClr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Retard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21" name="Rectangle 20"/>
                              <xdr:cNvSpPr/>
                            </xdr:nvSpPr>
                            <xdr:spPr>
                              <a:xfrm>
                                <a:off x="6613480" y="474890"/>
                                <a:ext cx="1442357" cy="28574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600" b="1">
                                    <a:solidFill>
                                      <a:schemeClr val="bg2">
                                        <a:lumMod val="50000"/>
                                      </a:schemeClr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À Venir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22" name="Rectangle 21"/>
                              <xdr:cNvSpPr/>
                            </xdr:nvSpPr>
                            <xdr:spPr>
                              <a:xfrm>
                                <a:off x="4326936" y="474890"/>
                                <a:ext cx="1442357" cy="28574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600" b="1">
                                    <a:solidFill>
                                      <a:schemeClr val="bg2">
                                        <a:lumMod val="50000"/>
                                      </a:schemeClr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Encaissé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23" name="Rectangle 22"/>
                              <xdr:cNvSpPr/>
                            </xdr:nvSpPr>
                            <xdr:spPr>
                              <a:xfrm>
                                <a:off x="13473114" y="474890"/>
                                <a:ext cx="1442357" cy="28574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400" b="1">
                                    <a:solidFill>
                                      <a:schemeClr val="bg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DSO (jours)</a:t>
                                </a:r>
                              </a:p>
                            </xdr:txBody>
                          </xdr:sp>
                          <xdr:sp macro="" textlink="Traitement!N4">
                            <xdr:nvSpPr>
                              <xdr:cNvPr id="26" name="Rectangle 25"/>
                              <xdr:cNvSpPr/>
                            </xdr:nvSpPr>
                            <xdr:spPr>
                              <a:xfrm>
                                <a:off x="3391920" y="972571"/>
                                <a:ext cx="596674" cy="22995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fld id="{F65AAC8A-0FED-461B-A7A6-2BAD29F92BE3}" type="TxLink">
                                  <a:rPr lang="en-US" sz="1200" b="1" i="0" u="none" strike="noStrike">
                                    <a:solidFill>
                                      <a:schemeClr val="accent1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algn="l"/>
                                  <a:t>24 Fac. </a:t>
                                </a:fld>
                                <a:endParaRPr lang="fr-FR" sz="1200" b="1">
                                  <a:solidFill>
                                    <a:schemeClr val="accent1"/>
                                  </a:solidFill>
                                </a:endParaRPr>
                              </a:p>
                            </xdr:txBody>
                          </xdr:sp>
                          <xdr:sp macro="" textlink="Traitement!S6">
                            <xdr:nvSpPr>
                              <xdr:cNvPr id="28" name="Rectangle 27"/>
                              <xdr:cNvSpPr/>
                            </xdr:nvSpPr>
                            <xdr:spPr>
                              <a:xfrm>
                                <a:off x="5663633" y="958284"/>
                                <a:ext cx="596674" cy="22995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fld id="{30CA6B01-68C7-4AF7-A9EC-C0F6218BADC6}" type="TxLink">
                                  <a:rPr lang="en-US" sz="1200" b="1" i="0" u="none" strike="noStrike">
                                    <a:solidFill>
                                      <a:schemeClr val="accent1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marL="0" indent="0" algn="l"/>
                                  <a:t>15 Fac. </a:t>
                                </a:fld>
                                <a:endParaRPr lang="fr-FR" sz="1200" b="1" i="0" u="none" strike="noStrike">
                                  <a:solidFill>
                                    <a:schemeClr val="accent1"/>
                                  </a:solidFill>
                                  <a:latin typeface="Calibri"/>
                                  <a:ea typeface="Calibri"/>
                                  <a:cs typeface="Calibri"/>
                                </a:endParaRPr>
                              </a:p>
                            </xdr:txBody>
                          </xdr:sp>
                          <xdr:sp macro="" textlink="Traitement!Y6">
                            <xdr:nvSpPr>
                              <xdr:cNvPr id="32" name="Rectangle 31"/>
                              <xdr:cNvSpPr/>
                            </xdr:nvSpPr>
                            <xdr:spPr>
                              <a:xfrm>
                                <a:off x="7982971" y="955902"/>
                                <a:ext cx="596674" cy="22995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fld id="{B6FBAA4B-A71D-449D-BCA3-8DF5F90AB4F1}" type="TxLink">
                                  <a:rPr lang="en-US" sz="1200" b="1" i="0" u="none" strike="noStrike">
                                    <a:solidFill>
                                      <a:schemeClr val="accent1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marL="0" indent="0" algn="l"/>
                                  <a:t>4 Fac. </a:t>
                                </a:fld>
                                <a:endParaRPr lang="fr-FR" sz="1200" b="1" i="0" u="none" strike="noStrike">
                                  <a:solidFill>
                                    <a:schemeClr val="accent1"/>
                                  </a:solidFill>
                                  <a:latin typeface="Calibri"/>
                                  <a:ea typeface="Calibri"/>
                                  <a:cs typeface="Calibri"/>
                                </a:endParaRPr>
                              </a:p>
                            </xdr:txBody>
                          </xdr:sp>
                          <xdr:sp macro="" textlink="Traitement!AE6">
                            <xdr:nvSpPr>
                              <xdr:cNvPr id="34" name="Rectangle 33"/>
                              <xdr:cNvSpPr/>
                            </xdr:nvSpPr>
                            <xdr:spPr>
                              <a:xfrm>
                                <a:off x="10159433" y="929708"/>
                                <a:ext cx="596674" cy="229959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fld id="{618E28DE-5310-46C0-B44A-8F4ED0D1A8F2}" type="TxLink">
                                  <a:rPr lang="en-US" sz="1200" b="1" i="0" u="none" strike="noStrike">
                                    <a:solidFill>
                                      <a:schemeClr val="accent1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marL="0" indent="0" algn="l"/>
                                  <a:t>5 Fac. </a:t>
                                </a:fld>
                                <a:endParaRPr lang="fr-FR" sz="1200" b="1" i="0" u="none" strike="noStrike">
                                  <a:solidFill>
                                    <a:schemeClr val="accent1"/>
                                  </a:solidFill>
                                  <a:latin typeface="Calibri"/>
                                  <a:ea typeface="Calibri"/>
                                  <a:cs typeface="Calibri"/>
                                </a:endParaRPr>
                              </a:p>
                            </xdr:txBody>
                          </xdr:sp>
                        </xdr:grpSp>
                        <xdr:grpSp>
                          <xdr:nvGrpSpPr>
                            <xdr:cNvPr id="36" name="Groupe 35"/>
                            <xdr:cNvGrpSpPr/>
                          </xdr:nvGrpSpPr>
                          <xdr:grpSpPr>
                            <a:xfrm>
                              <a:off x="2035969" y="1247094"/>
                              <a:ext cx="13476465" cy="2023721"/>
                              <a:chOff x="2035969" y="1247094"/>
                              <a:chExt cx="13476465" cy="2023721"/>
                            </a:xfrm>
                          </xdr:grpSpPr>
                          <xdr:grpSp>
                            <xdr:nvGrpSpPr>
                              <xdr:cNvPr id="50" name="Groupe 49"/>
                              <xdr:cNvGrpSpPr/>
                            </xdr:nvGrpSpPr>
                            <xdr:grpSpPr>
                              <a:xfrm>
                                <a:off x="2035969" y="1247094"/>
                                <a:ext cx="13476465" cy="1980000"/>
                                <a:chOff x="2035969" y="1473313"/>
                                <a:chExt cx="13476465" cy="1980000"/>
                              </a:xfrm>
                            </xdr:grpSpPr>
                            <xdr:grpSp>
                              <xdr:nvGrpSpPr>
                                <xdr:cNvPr id="40" name="Groupe 39"/>
                                <xdr:cNvGrpSpPr/>
                              </xdr:nvGrpSpPr>
                              <xdr:grpSpPr>
                                <a:xfrm>
                                  <a:off x="2035969" y="1473313"/>
                                  <a:ext cx="13476465" cy="1980000"/>
                                  <a:chOff x="2259805" y="1592375"/>
                                  <a:chExt cx="13227359" cy="1980000"/>
                                </a:xfrm>
                              </xdr:grpSpPr>
                              <xdr:sp macro="" textlink="">
                                <xdr:nvSpPr>
                                  <xdr:cNvPr id="35" name="Rectangle à coins arrondis 34"/>
                                  <xdr:cNvSpPr/>
                                </xdr:nvSpPr>
                                <xdr:spPr>
                                  <a:xfrm>
                                    <a:off x="11176348" y="1592375"/>
                                    <a:ext cx="4310816" cy="1980000"/>
                                  </a:xfrm>
                                  <a:prstGeom prst="roundRect">
                                    <a:avLst>
                                      <a:gd name="adj" fmla="val 7647"/>
                                    </a:avLst>
                                  </a:prstGeom>
                                  <a:solidFill>
                                    <a:schemeClr val="bg1"/>
                                  </a:solidFill>
                                  <a:ln>
                                    <a:noFill/>
                                  </a:ln>
                                  <a:effectLst>
                                    <a:outerShdw blurRad="76200" algn="ctr" rotWithShape="0">
                                      <a:prstClr val="black">
                                        <a:alpha val="44000"/>
                                      </a:prstClr>
                                    </a:outerShdw>
                                  </a:effec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b"/>
                                  <a:lstStyle/>
                                  <a:p>
                                    <a:pPr algn="l"/>
                                    <a:r>
                                      <a:rPr lang="en-US" sz="16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t>  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38" name="Rectangle à coins arrondis 37"/>
                                  <xdr:cNvSpPr/>
                                </xdr:nvSpPr>
                                <xdr:spPr>
                                  <a:xfrm>
                                    <a:off x="2259805" y="1592375"/>
                                    <a:ext cx="4312196" cy="1980000"/>
                                  </a:xfrm>
                                  <a:prstGeom prst="roundRect">
                                    <a:avLst>
                                      <a:gd name="adj" fmla="val 7647"/>
                                    </a:avLst>
                                  </a:prstGeom>
                                  <a:solidFill>
                                    <a:schemeClr val="bg1"/>
                                  </a:solidFill>
                                  <a:ln>
                                    <a:noFill/>
                                  </a:ln>
                                  <a:effectLst>
                                    <a:outerShdw blurRad="76200" algn="ctr" rotWithShape="0">
                                      <a:prstClr val="black">
                                        <a:alpha val="44000"/>
                                      </a:prstClr>
                                    </a:outerShdw>
                                  </a:effec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b"/>
                                  <a:lstStyle/>
                                  <a:p>
                                    <a:pPr algn="l"/>
                                    <a:r>
                                      <a:rPr lang="en-US" sz="16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t>  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39" name="Rectangle à coins arrondis 38"/>
                                  <xdr:cNvSpPr/>
                                </xdr:nvSpPr>
                                <xdr:spPr>
                                  <a:xfrm>
                                    <a:off x="6773464" y="1592375"/>
                                    <a:ext cx="4240147" cy="1980000"/>
                                  </a:xfrm>
                                  <a:prstGeom prst="roundRect">
                                    <a:avLst>
                                      <a:gd name="adj" fmla="val 7647"/>
                                    </a:avLst>
                                  </a:prstGeom>
                                  <a:solidFill>
                                    <a:schemeClr val="bg1"/>
                                  </a:solidFill>
                                  <a:ln>
                                    <a:noFill/>
                                  </a:ln>
                                  <a:effectLst>
                                    <a:outerShdw blurRad="76200" algn="ctr" rotWithShape="0">
                                      <a:prstClr val="black">
                                        <a:alpha val="44000"/>
                                      </a:prstClr>
                                    </a:outerShdw>
                                  </a:effec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b"/>
                                  <a:lstStyle/>
                                  <a:p>
                                    <a:pPr algn="l"/>
                                    <a:r>
                                      <a:rPr lang="en-US" sz="16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t>   </a:t>
                                    </a:r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41" name="Rectangle 40"/>
                                <xdr:cNvSpPr/>
                              </xdr:nvSpPr>
                              <xdr:spPr>
                                <a:xfrm>
                                  <a:off x="2109991" y="1544074"/>
                                  <a:ext cx="1199946" cy="265677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r>
                                    <a:rPr lang="fr-FR" sz="1600" b="1">
                                      <a:solidFill>
                                        <a:schemeClr val="tx1"/>
                                      </a:solidFill>
                                    </a:rPr>
                                    <a:t>Balance</a:t>
                                  </a:r>
                                  <a:r>
                                    <a:rPr lang="fr-FR" sz="1400" b="1" baseline="0">
                                      <a:solidFill>
                                        <a:schemeClr val="tx1"/>
                                      </a:solidFill>
                                    </a:rPr>
                                    <a:t> agée</a:t>
                                  </a:r>
                                  <a:endParaRPr lang="fr-FR" sz="1400" b="1">
                                    <a:solidFill>
                                      <a:schemeClr val="tx1"/>
                                    </a:solidFill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42" name="Rectangle 41"/>
                                <xdr:cNvSpPr/>
                              </xdr:nvSpPr>
                              <xdr:spPr>
                                <a:xfrm>
                                  <a:off x="2107609" y="1791724"/>
                                  <a:ext cx="1773828" cy="220432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r>
                                    <a:rPr lang="fr-FR" sz="1400" b="0" baseline="0">
                                      <a:solidFill>
                                        <a:schemeClr val="bg2">
                                          <a:lumMod val="25000"/>
                                        </a:schemeClr>
                                      </a:solidFill>
                                    </a:rPr>
                                    <a:t>Échue vs Non échue</a:t>
                                  </a:r>
                                  <a:endParaRPr lang="fr-FR" sz="1400" b="0">
                                    <a:solidFill>
                                      <a:schemeClr val="bg2">
                                        <a:lumMod val="25000"/>
                                      </a:schemeClr>
                                    </a:solidFill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44" name="Rectangle 43"/>
                                <xdr:cNvSpPr/>
                              </xdr:nvSpPr>
                              <xdr:spPr>
                                <a:xfrm>
                                  <a:off x="6608951" y="1553598"/>
                                  <a:ext cx="4405111" cy="256152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marL="0" indent="0" algn="l"/>
                                  <a:r>
                                    <a:rPr lang="fr-FR" sz="1600" b="1">
                                      <a:solidFill>
                                        <a:schemeClr val="tx1"/>
                                      </a:solidFill>
                                      <a:latin typeface="+mn-lt"/>
                                      <a:ea typeface="+mn-ea"/>
                                      <a:cs typeface="+mn-cs"/>
                                    </a:rPr>
                                    <a:t>Rentrées de fonds réelles vs estiméés prévisions sur 3mois</a:t>
                                  </a:r>
                                </a:p>
                              </xdr:txBody>
                            </xdr:sp>
                          </xdr:grpSp>
                          <xdr:graphicFrame macro="">
                            <xdr:nvGraphicFramePr>
                              <xdr:cNvPr id="55" name="Graphique 54"/>
                              <xdr:cNvGraphicFramePr>
                                <a:graphicFrameLocks/>
                              </xdr:cNvGraphicFramePr>
                            </xdr:nvGraphicFramePr>
                            <xdr:xfrm>
                              <a:off x="2238374" y="1869280"/>
                              <a:ext cx="3857626" cy="1314450"/>
                            </xdr:xfrm>
                            <a:graphic>
                              <a:graphicData uri="http://schemas.openxmlformats.org/drawingml/2006/chart">
                                <c:chart xmlns:c="http://schemas.openxmlformats.org/drawingml/2006/chart" xmlns:r="http://schemas.openxmlformats.org/officeDocument/2006/relationships" r:id="rId3"/>
                              </a:graphicData>
                            </a:graphic>
                          </xdr:graphicFrame>
                          <xdr:graphicFrame macro="">
                            <xdr:nvGraphicFramePr>
                              <xdr:cNvPr id="56" name="Graphique 55"/>
                              <xdr:cNvGraphicFramePr>
                                <a:graphicFrameLocks/>
                              </xdr:cNvGraphicFramePr>
                            </xdr:nvGraphicFramePr>
                            <xdr:xfrm>
                              <a:off x="6745743" y="1836964"/>
                              <a:ext cx="4099150" cy="1433851"/>
                            </xdr:xfrm>
                            <a:graphic>
                              <a:graphicData uri="http://schemas.openxmlformats.org/drawingml/2006/chart">
                                <c:chart xmlns:c="http://schemas.openxmlformats.org/drawingml/2006/chart" xmlns:r="http://schemas.openxmlformats.org/officeDocument/2006/relationships" r:id="rId4"/>
                              </a:graphicData>
                            </a:graphic>
                          </xdr:graphicFrame>
                          <xdr:grpSp>
                            <xdr:nvGrpSpPr>
                              <xdr:cNvPr id="12" name="Groupe 11"/>
                              <xdr:cNvGrpSpPr/>
                            </xdr:nvGrpSpPr>
                            <xdr:grpSpPr>
                              <a:xfrm>
                                <a:off x="6854599" y="1530122"/>
                                <a:ext cx="3948793" cy="260578"/>
                                <a:chOff x="6858000" y="1530122"/>
                                <a:chExt cx="3948793" cy="260578"/>
                              </a:xfrm>
                            </xdr:grpSpPr>
                            <xdr:sp macro="" textlink="">
                              <xdr:nvSpPr>
                                <xdr:cNvPr id="4" name="Ellipse 3"/>
                                <xdr:cNvSpPr/>
                              </xdr:nvSpPr>
                              <xdr:spPr>
                                <a:xfrm>
                                  <a:off x="6858000" y="1642625"/>
                                  <a:ext cx="90000" cy="90000"/>
                                </a:xfrm>
                                <a:prstGeom prst="ellipse">
                                  <a:avLst/>
                                </a:prstGeom>
                                <a:solidFill>
                                  <a:srgbClr val="0A66FF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fr-F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57" name="Rectangle 56"/>
                                <xdr:cNvSpPr/>
                              </xdr:nvSpPr>
                              <xdr:spPr>
                                <a:xfrm>
                                  <a:off x="6959248" y="1542368"/>
                                  <a:ext cx="1182120" cy="236085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marL="0" indent="0" algn="l"/>
                                  <a:r>
                                    <a:rPr lang="fr-FR" sz="1400" b="0" baseline="0">
                                      <a:solidFill>
                                        <a:schemeClr val="bg2">
                                          <a:lumMod val="25000"/>
                                        </a:schemeClr>
                                      </a:solidFill>
                                      <a:latin typeface="+mn-lt"/>
                                      <a:ea typeface="+mn-ea"/>
                                      <a:cs typeface="+mn-cs"/>
                                    </a:rPr>
                                    <a:t>Chiffre d'affaire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58" name="Ellipse 57"/>
                                <xdr:cNvSpPr/>
                              </xdr:nvSpPr>
                              <xdr:spPr>
                                <a:xfrm>
                                  <a:off x="8288686" y="1642625"/>
                                  <a:ext cx="90000" cy="90000"/>
                                </a:xfrm>
                                <a:prstGeom prst="ellipse">
                                  <a:avLst/>
                                </a:prstGeom>
                                <a:solidFill>
                                  <a:srgbClr val="70AD47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fr-F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61" name="Rectangle 60"/>
                                <xdr:cNvSpPr/>
                              </xdr:nvSpPr>
                              <xdr:spPr>
                                <a:xfrm>
                                  <a:off x="8362719" y="1530122"/>
                                  <a:ext cx="1097755" cy="260578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marL="0" indent="0" algn="l"/>
                                  <a:r>
                                    <a:rPr lang="fr-FR" sz="1400" b="0" baseline="0">
                                      <a:solidFill>
                                        <a:schemeClr val="bg2">
                                          <a:lumMod val="25000"/>
                                        </a:schemeClr>
                                      </a:solidFill>
                                      <a:latin typeface="+mn-lt"/>
                                      <a:ea typeface="+mn-ea"/>
                                      <a:cs typeface="+mn-cs"/>
                                    </a:rPr>
                                    <a:t>Encaissement</a:t>
                                  </a:r>
                                </a:p>
                              </xdr:txBody>
                            </xdr:sp>
                            <xdr:sp macro="" textlink="">
                              <xdr:nvSpPr>
                                <xdr:cNvPr id="62" name="Ellipse 61"/>
                                <xdr:cNvSpPr/>
                              </xdr:nvSpPr>
                              <xdr:spPr>
                                <a:xfrm>
                                  <a:off x="9635007" y="1642625"/>
                                  <a:ext cx="90000" cy="90000"/>
                                </a:xfrm>
                                <a:prstGeom prst="ellipse">
                                  <a:avLst/>
                                </a:prstGeom>
                                <a:solidFill>
                                  <a:schemeClr val="bg2">
                                    <a:lumMod val="75000"/>
                                  </a:schemeClr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fr-F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63" name="Rectangle 62"/>
                                <xdr:cNvSpPr/>
                              </xdr:nvSpPr>
                              <xdr:spPr>
                                <a:xfrm>
                                  <a:off x="9709038" y="1530122"/>
                                  <a:ext cx="1097755" cy="260578"/>
                                </a:xfrm>
                                <a:prstGeom prst="rect">
                                  <a:avLst/>
                                </a:prstGeom>
                                <a:noFill/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marL="0" indent="0" algn="l"/>
                                  <a:r>
                                    <a:rPr lang="fr-FR" sz="1400" b="0" baseline="0">
                                      <a:solidFill>
                                        <a:schemeClr val="bg2">
                                          <a:lumMod val="25000"/>
                                        </a:schemeClr>
                                      </a:solidFill>
                                      <a:latin typeface="+mn-lt"/>
                                      <a:ea typeface="+mn-ea"/>
                                      <a:cs typeface="+mn-cs"/>
                                    </a:rPr>
                                    <a:t>Prévision</a:t>
                                  </a:r>
                                </a:p>
                              </xdr:txBody>
                            </xdr:sp>
                          </xdr:grpSp>
                          <xdr:graphicFrame macro="">
                            <xdr:nvGraphicFramePr>
                              <xdr:cNvPr id="64" name="Graphique 63"/>
                              <xdr:cNvGraphicFramePr>
                                <a:graphicFrameLocks/>
                              </xdr:cNvGraphicFramePr>
                            </xdr:nvGraphicFramePr>
                            <xdr:xfrm>
                              <a:off x="11108532" y="1631156"/>
                              <a:ext cx="4345780" cy="1547814"/>
                            </xdr:xfrm>
                            <a:graphic>
                              <a:graphicData uri="http://schemas.openxmlformats.org/drawingml/2006/chart">
                                <c:chart xmlns:c="http://schemas.openxmlformats.org/drawingml/2006/chart" xmlns:r="http://schemas.openxmlformats.org/officeDocument/2006/relationships" r:id="rId5"/>
                              </a:graphicData>
                            </a:graphic>
                          </xdr:graphicFrame>
                          <xdr:sp macro="" textlink="">
                            <xdr:nvSpPr>
                              <xdr:cNvPr id="65" name="Rectangle 64"/>
                              <xdr:cNvSpPr/>
                            </xdr:nvSpPr>
                            <xdr:spPr>
                              <a:xfrm>
                                <a:off x="11168063" y="1476473"/>
                                <a:ext cx="2107406" cy="241187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400" b="0" baseline="0">
                                    <a:solidFill>
                                      <a:schemeClr val="bg2">
                                        <a:lumMod val="25000"/>
                                      </a:schemeClr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DSO : Days sales outstanding</a:t>
                                </a:r>
                              </a:p>
                            </xdr:txBody>
                          </xdr:sp>
                        </xdr:grpSp>
                        <xdr:grpSp>
                          <xdr:nvGrpSpPr>
                            <xdr:cNvPr id="37" name="Groupe 36"/>
                            <xdr:cNvGrpSpPr/>
                          </xdr:nvGrpSpPr>
                          <xdr:grpSpPr>
                            <a:xfrm>
                              <a:off x="2047875" y="3444988"/>
                              <a:ext cx="13508630" cy="1949708"/>
                              <a:chOff x="2047874" y="3444986"/>
                              <a:chExt cx="13508628" cy="1949708"/>
                            </a:xfrm>
                          </xdr:grpSpPr>
                          <xdr:sp macro="" textlink="">
                            <xdr:nvSpPr>
                              <xdr:cNvPr id="51" name="Rectangle 50"/>
                              <xdr:cNvSpPr/>
                            </xdr:nvSpPr>
                            <xdr:spPr>
                              <a:xfrm>
                                <a:off x="2047874" y="3449747"/>
                                <a:ext cx="4405111" cy="256152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600" b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Les 5 plus anciennes factures échues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52" name="Rectangle 51"/>
                              <xdr:cNvSpPr/>
                            </xdr:nvSpPr>
                            <xdr:spPr>
                              <a:xfrm>
                                <a:off x="6629398" y="3494991"/>
                                <a:ext cx="4405111" cy="256152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600" b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Les 5 premiers clients par solde impayé</a:t>
                                </a:r>
                              </a:p>
                            </xdr:txBody>
                          </xdr:sp>
                          <xdr:sp macro="" textlink="">
                            <xdr:nvSpPr>
                              <xdr:cNvPr id="53" name="Rectangle 52"/>
                              <xdr:cNvSpPr/>
                            </xdr:nvSpPr>
                            <xdr:spPr>
                              <a:xfrm>
                                <a:off x="11151391" y="3444986"/>
                                <a:ext cx="4405111" cy="256152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marL="0" indent="0" algn="l"/>
                                <a:r>
                                  <a:rPr lang="fr-FR" sz="1600" b="1">
                                    <a:solidFill>
                                      <a:schemeClr val="tx1"/>
                                    </a:solidFill>
                                    <a:latin typeface="+mn-lt"/>
                                    <a:ea typeface="+mn-ea"/>
                                    <a:cs typeface="+mn-cs"/>
                                  </a:rPr>
                                  <a:t>Montant à relancer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14" name="Groupe 13"/>
                              <xdr:cNvGrpSpPr/>
                            </xdr:nvGrpSpPr>
                            <xdr:grpSpPr>
                              <a:xfrm>
                                <a:off x="2124076" y="3746392"/>
                                <a:ext cx="4357686" cy="1648302"/>
                                <a:chOff x="2124076" y="3746394"/>
                                <a:chExt cx="4357687" cy="1648302"/>
                              </a:xfrm>
                            </xdr:grpSpPr>
                            <xdr:grpSp>
                              <xdr:nvGrpSpPr>
                                <xdr:cNvPr id="13" name="Groupe 12"/>
                                <xdr:cNvGrpSpPr/>
                              </xdr:nvGrpSpPr>
                              <xdr:grpSpPr>
                                <a:xfrm>
                                  <a:off x="2124076" y="3746394"/>
                                  <a:ext cx="3820049" cy="260034"/>
                                  <a:chOff x="2119313" y="3865456"/>
                                  <a:chExt cx="3820049" cy="260034"/>
                                </a:xfrm>
                              </xdr:grpSpPr>
                              <xdr:sp macro="" textlink="">
                                <xdr:nvSpPr>
                                  <xdr:cNvPr id="66" name="Rectangle 65"/>
                                  <xdr:cNvSpPr/>
                                </xdr:nvSpPr>
                                <xdr:spPr>
                                  <a:xfrm>
                                    <a:off x="2119313" y="3865456"/>
                                    <a:ext cx="809625" cy="26003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marL="0" indent="0" algn="l"/>
                                    <a:r>
                                      <a:rPr lang="fr-FR" sz="1400" b="1" baseline="0">
                                        <a:solidFill>
                                          <a:schemeClr val="bg2">
                                            <a:lumMod val="25000"/>
                                          </a:schemeClr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a:t>N°Facture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67" name="Rectangle 66"/>
                                  <xdr:cNvSpPr/>
                                </xdr:nvSpPr>
                                <xdr:spPr>
                                  <a:xfrm>
                                    <a:off x="3047207" y="3865873"/>
                                    <a:ext cx="1443038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marL="0" indent="0" algn="l"/>
                                    <a:r>
                                      <a:rPr lang="fr-FR" sz="1400" b="1" baseline="0">
                                        <a:solidFill>
                                          <a:schemeClr val="bg2">
                                            <a:lumMod val="25000"/>
                                          </a:schemeClr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a:t>Non client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68" name="Rectangle 67"/>
                                  <xdr:cNvSpPr/>
                                </xdr:nvSpPr>
                                <xdr:spPr>
                                  <a:xfrm>
                                    <a:off x="4608514" y="3865873"/>
                                    <a:ext cx="623885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algn="ctr"/>
                                    <a:r>
                                      <a:rPr lang="fr-FR" sz="1400" b="1">
                                        <a:solidFill>
                                          <a:srgbClr val="FF0000"/>
                                        </a:solidFill>
                                      </a:rPr>
                                      <a:t>Retard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69" name="Rectangle 68"/>
                                  <xdr:cNvSpPr/>
                                </xdr:nvSpPr>
                                <xdr:spPr>
                                  <a:xfrm>
                                    <a:off x="5350669" y="3865873"/>
                                    <a:ext cx="588693" cy="25920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marL="0" indent="0" algn="r"/>
                                    <a:r>
                                      <a:rPr lang="fr-FR" sz="1400" b="1" baseline="0">
                                        <a:solidFill>
                                          <a:schemeClr val="bg2">
                                            <a:lumMod val="25000"/>
                                          </a:schemeClr>
                                        </a:solidFill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a:t>Solde</a:t>
                                    </a: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70" name="Groupe 69"/>
                                <xdr:cNvGrpSpPr/>
                              </xdr:nvGrpSpPr>
                              <xdr:grpSpPr>
                                <a:xfrm>
                                  <a:off x="2124076" y="4857010"/>
                                  <a:ext cx="4357687" cy="260034"/>
                                  <a:chOff x="2119313" y="3865456"/>
                                  <a:chExt cx="4357687" cy="260034"/>
                                </a:xfrm>
                              </xdr:grpSpPr>
                              <xdr:sp macro="" textlink="Traitement!AQ7">
                                <xdr:nvSpPr>
                                  <xdr:cNvPr id="71" name="Rectangle 70"/>
                                  <xdr:cNvSpPr/>
                                </xdr:nvSpPr>
                                <xdr:spPr>
                                  <a:xfrm>
                                    <a:off x="2119313" y="3865456"/>
                                    <a:ext cx="809625" cy="26003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17BCC681-D86E-4952-9892-2F9586709361}" type="TxLink">
                                      <a:rPr lang="en-US" sz="1300" b="1" i="0" u="none" strike="noStrike">
                                        <a:solidFill>
                                          <a:schemeClr val="tx1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F-036</a:t>
                                    </a:fld>
                                    <a:endParaRPr lang="fr-FR" sz="1300" b="1" i="0" u="none" strike="noStrike">
                                      <a:solidFill>
                                        <a:schemeClr val="tx1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R7">
                                <xdr:nvSpPr>
                                  <xdr:cNvPr id="72" name="Rectangle 71"/>
                                  <xdr:cNvSpPr/>
                                </xdr:nvSpPr>
                                <xdr:spPr>
                                  <a:xfrm>
                                    <a:off x="3047207" y="3865873"/>
                                    <a:ext cx="1443038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C85716D8-F265-45A8-A89B-AABAD0C15023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Oumar Keita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T7">
                                <xdr:nvSpPr>
                                  <xdr:cNvPr id="73" name="Rectangle 72"/>
                                  <xdr:cNvSpPr/>
                                </xdr:nvSpPr>
                                <xdr:spPr>
                                  <a:xfrm>
                                    <a:off x="4608514" y="3865873"/>
                                    <a:ext cx="623885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ctr"/>
                                    <a:fld id="{95A4EADB-BE4E-48C0-9881-8C003CCF0966}" type="TxLink">
                                      <a:rPr lang="en-US" sz="1300" b="1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ctr"/>
                                      <a:t>208</a:t>
                                    </a:fld>
                                    <a:endParaRPr lang="fr-FR" sz="1300" b="1" i="0" u="none" strike="noStrike">
                                      <a:solidFill>
                                        <a:srgbClr val="FF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S7">
                                <xdr:nvSpPr>
                                  <xdr:cNvPr id="74" name="Rectangle 73"/>
                                  <xdr:cNvSpPr/>
                                </xdr:nvSpPr>
                                <xdr:spPr>
                                  <a:xfrm>
                                    <a:off x="5350669" y="3865873"/>
                                    <a:ext cx="1126331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1F87A419-0686-4D9E-BB55-362654B445B2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25 000 Fcfa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75" name="Groupe 74"/>
                                <xdr:cNvGrpSpPr/>
                              </xdr:nvGrpSpPr>
                              <xdr:grpSpPr>
                                <a:xfrm>
                                  <a:off x="2124076" y="4024048"/>
                                  <a:ext cx="4357687" cy="260034"/>
                                  <a:chOff x="2119313" y="3865456"/>
                                  <a:chExt cx="4357687" cy="260034"/>
                                </a:xfrm>
                              </xdr:grpSpPr>
                              <xdr:sp macro="" textlink="Traitement!AQ4">
                                <xdr:nvSpPr>
                                  <xdr:cNvPr id="76" name="Rectangle 75"/>
                                  <xdr:cNvSpPr/>
                                </xdr:nvSpPr>
                                <xdr:spPr>
                                  <a:xfrm>
                                    <a:off x="2119313" y="3865456"/>
                                    <a:ext cx="809625" cy="26003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EE81A4D1-D223-409B-8768-674BE5DA5EDF}" type="TxLink">
                                      <a:rPr lang="en-US" sz="1300" b="1" i="0" u="none" strike="noStrike">
                                        <a:solidFill>
                                          <a:schemeClr val="tx1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F-025</a:t>
                                    </a:fld>
                                    <a:endParaRPr lang="fr-FR" sz="1300" b="1">
                                      <a:solidFill>
                                        <a:schemeClr val="tx1"/>
                                      </a:solidFill>
                                      <a:latin typeface="+mn-lt"/>
                                      <a:ea typeface="+mn-ea"/>
                                      <a:cs typeface="+mn-cs"/>
                                    </a:endParaRPr>
                                  </a:p>
                                </xdr:txBody>
                              </xdr:sp>
                              <xdr:sp macro="" textlink="Traitement!AR4">
                                <xdr:nvSpPr>
                                  <xdr:cNvPr id="77" name="Rectangle 76"/>
                                  <xdr:cNvSpPr/>
                                </xdr:nvSpPr>
                                <xdr:spPr>
                                  <a:xfrm>
                                    <a:off x="3047207" y="3865873"/>
                                    <a:ext cx="1443038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algn="l"/>
                                    <a:fld id="{42FE5ED1-E150-43C0-AA62-0752BD3071D9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algn="l"/>
                                      <a:t>Boubacar Sangaré</a:t>
                                    </a:fld>
                                    <a:endParaRPr lang="fr-FR" sz="1300" b="1">
                                      <a:solidFill>
                                        <a:schemeClr val="tx1"/>
                                      </a:solidFill>
                                    </a:endParaRPr>
                                  </a:p>
                                </xdr:txBody>
                              </xdr:sp>
                              <xdr:sp macro="" textlink="Traitement!AT4">
                                <xdr:nvSpPr>
                                  <xdr:cNvPr id="78" name="Rectangle 77"/>
                                  <xdr:cNvSpPr/>
                                </xdr:nvSpPr>
                                <xdr:spPr>
                                  <a:xfrm>
                                    <a:off x="4608514" y="3865873"/>
                                    <a:ext cx="623885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algn="ctr"/>
                                    <a:fld id="{447472FB-B041-482C-9790-1BA41CB6C969}" type="TxLink">
                                      <a:rPr lang="en-US" sz="1300" b="1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algn="ctr"/>
                                      <a:t>262</a:t>
                                    </a:fld>
                                    <a:endParaRPr lang="fr-FR" sz="1300" b="1">
                                      <a:solidFill>
                                        <a:srgbClr val="FF0000"/>
                                      </a:solidFill>
                                    </a:endParaRPr>
                                  </a:p>
                                </xdr:txBody>
                              </xdr:sp>
                              <xdr:sp macro="" textlink="Traitement!AS4">
                                <xdr:nvSpPr>
                                  <xdr:cNvPr id="79" name="Rectangle 78"/>
                                  <xdr:cNvSpPr/>
                                </xdr:nvSpPr>
                                <xdr:spPr>
                                  <a:xfrm>
                                    <a:off x="5350669" y="3865873"/>
                                    <a:ext cx="1126331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ECB94F5F-A436-49C2-8571-F43DDAC1DD62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25 000 Fcfa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80" name="Groupe 79"/>
                                <xdr:cNvGrpSpPr/>
                              </xdr:nvGrpSpPr>
                              <xdr:grpSpPr>
                                <a:xfrm>
                                  <a:off x="2124076" y="4301702"/>
                                  <a:ext cx="4357687" cy="260034"/>
                                  <a:chOff x="2119313" y="3865456"/>
                                  <a:chExt cx="4357687" cy="260034"/>
                                </a:xfrm>
                              </xdr:grpSpPr>
                              <xdr:sp macro="" textlink="Traitement!AQ5">
                                <xdr:nvSpPr>
                                  <xdr:cNvPr id="81" name="Rectangle 80"/>
                                  <xdr:cNvSpPr/>
                                </xdr:nvSpPr>
                                <xdr:spPr>
                                  <a:xfrm>
                                    <a:off x="2119313" y="3865456"/>
                                    <a:ext cx="809625" cy="26003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B0FDA56C-1132-43F7-BC57-B1726A4621C5}" type="TxLink">
                                      <a:rPr lang="en-US" sz="1300" b="1" i="0" u="none" strike="noStrike">
                                        <a:solidFill>
                                          <a:schemeClr val="tx1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F-027</a:t>
                                    </a:fld>
                                    <a:endParaRPr lang="fr-FR" sz="1300" b="1" i="0" u="none" strike="noStrike">
                                      <a:solidFill>
                                        <a:schemeClr val="tx1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R5">
                                <xdr:nvSpPr>
                                  <xdr:cNvPr id="82" name="Rectangle 81"/>
                                  <xdr:cNvSpPr/>
                                </xdr:nvSpPr>
                                <xdr:spPr>
                                  <a:xfrm>
                                    <a:off x="3047207" y="3865873"/>
                                    <a:ext cx="1443038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ADE2A745-6309-492D-9D4D-38AEFF2019DC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Mariam Keita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T5">
                                <xdr:nvSpPr>
                                  <xdr:cNvPr id="83" name="Rectangle 82"/>
                                  <xdr:cNvSpPr/>
                                </xdr:nvSpPr>
                                <xdr:spPr>
                                  <a:xfrm>
                                    <a:off x="4608514" y="3865873"/>
                                    <a:ext cx="623885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ctr"/>
                                    <a:fld id="{7308D7DF-EAB6-40E6-A578-8CBD1E61C426}" type="TxLink">
                                      <a:rPr lang="en-US" sz="1300" b="1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ctr"/>
                                      <a:t>244</a:t>
                                    </a:fld>
                                    <a:endParaRPr lang="fr-FR" sz="1300" b="1" i="0" u="none" strike="noStrike">
                                      <a:solidFill>
                                        <a:srgbClr val="FF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S5">
                                <xdr:nvSpPr>
                                  <xdr:cNvPr id="84" name="Rectangle 83"/>
                                  <xdr:cNvSpPr/>
                                </xdr:nvSpPr>
                                <xdr:spPr>
                                  <a:xfrm>
                                    <a:off x="5350669" y="3865873"/>
                                    <a:ext cx="1126331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B3D3974B-CFE4-4835-A185-ACCE41D8679E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90 000 Fcfa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85" name="Groupe 84"/>
                                <xdr:cNvGrpSpPr/>
                              </xdr:nvGrpSpPr>
                              <xdr:grpSpPr>
                                <a:xfrm>
                                  <a:off x="2124076" y="4579356"/>
                                  <a:ext cx="4357687" cy="260034"/>
                                  <a:chOff x="2119313" y="3865456"/>
                                  <a:chExt cx="4357687" cy="260034"/>
                                </a:xfrm>
                              </xdr:grpSpPr>
                              <xdr:sp macro="" textlink="Traitement!AQ6">
                                <xdr:nvSpPr>
                                  <xdr:cNvPr id="86" name="Rectangle 85"/>
                                  <xdr:cNvSpPr/>
                                </xdr:nvSpPr>
                                <xdr:spPr>
                                  <a:xfrm>
                                    <a:off x="2119313" y="3865456"/>
                                    <a:ext cx="809625" cy="26003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91540F8B-97F5-4EC2-A97D-29FACA6C888B}" type="TxLink">
                                      <a:rPr lang="en-US" sz="1300" b="1" i="0" u="none" strike="noStrike">
                                        <a:solidFill>
                                          <a:schemeClr val="tx1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F-034</a:t>
                                    </a:fld>
                                    <a:endParaRPr lang="fr-FR" sz="1300" b="1" i="0" u="none" strike="noStrike">
                                      <a:solidFill>
                                        <a:schemeClr val="tx1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R6">
                                <xdr:nvSpPr>
                                  <xdr:cNvPr id="87" name="Rectangle 86"/>
                                  <xdr:cNvSpPr/>
                                </xdr:nvSpPr>
                                <xdr:spPr>
                                  <a:xfrm>
                                    <a:off x="3047207" y="3865873"/>
                                    <a:ext cx="1443038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6DEF653C-B2F9-4D78-A03B-B8B8766117EE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Sekou Diallo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T6">
                                <xdr:nvSpPr>
                                  <xdr:cNvPr id="88" name="Rectangle 87"/>
                                  <xdr:cNvSpPr/>
                                </xdr:nvSpPr>
                                <xdr:spPr>
                                  <a:xfrm>
                                    <a:off x="4608514" y="3865873"/>
                                    <a:ext cx="623885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ctr"/>
                                    <a:fld id="{C3285AE3-CAF4-4EA5-A86D-6BCB416739B7}" type="TxLink">
                                      <a:rPr lang="en-US" sz="1300" b="1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ctr"/>
                                      <a:t>218</a:t>
                                    </a:fld>
                                    <a:endParaRPr lang="fr-FR" sz="1300" b="1" i="0" u="none" strike="noStrike">
                                      <a:solidFill>
                                        <a:srgbClr val="FF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S6">
                                <xdr:nvSpPr>
                                  <xdr:cNvPr id="89" name="Rectangle 88"/>
                                  <xdr:cNvSpPr/>
                                </xdr:nvSpPr>
                                <xdr:spPr>
                                  <a:xfrm>
                                    <a:off x="5350669" y="3865873"/>
                                    <a:ext cx="1126331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04D7741F-E262-45BA-B90F-761C0C8AB200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75 000 Fcfa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90" name="Groupe 89"/>
                                <xdr:cNvGrpSpPr/>
                              </xdr:nvGrpSpPr>
                              <xdr:grpSpPr>
                                <a:xfrm>
                                  <a:off x="2124076" y="5134662"/>
                                  <a:ext cx="4357687" cy="260034"/>
                                  <a:chOff x="2119313" y="3865456"/>
                                  <a:chExt cx="4357687" cy="260034"/>
                                </a:xfrm>
                              </xdr:grpSpPr>
                              <xdr:sp macro="" textlink="Traitement!AQ8">
                                <xdr:nvSpPr>
                                  <xdr:cNvPr id="91" name="Rectangle 90"/>
                                  <xdr:cNvSpPr/>
                                </xdr:nvSpPr>
                                <xdr:spPr>
                                  <a:xfrm>
                                    <a:off x="2119313" y="3865456"/>
                                    <a:ext cx="809625" cy="26003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DF059D7A-C202-4BE7-8E33-CFDFFCE286AF}" type="TxLink">
                                      <a:rPr lang="en-US" sz="1300" b="1" i="0" u="none" strike="noStrike">
                                        <a:solidFill>
                                          <a:schemeClr val="tx1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F-041</a:t>
                                    </a:fld>
                                    <a:endParaRPr lang="fr-FR" sz="1300" b="1" i="0" u="none" strike="noStrike">
                                      <a:solidFill>
                                        <a:schemeClr val="tx1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R8">
                                <xdr:nvSpPr>
                                  <xdr:cNvPr id="92" name="Rectangle 91"/>
                                  <xdr:cNvSpPr/>
                                </xdr:nvSpPr>
                                <xdr:spPr>
                                  <a:xfrm>
                                    <a:off x="3047207" y="3865873"/>
                                    <a:ext cx="1443038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800A4777-6FDD-4A8C-A65E-D85D82A95DBA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Aïssata Traoré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T8">
                                <xdr:nvSpPr>
                                  <xdr:cNvPr id="93" name="Rectangle 92"/>
                                  <xdr:cNvSpPr/>
                                </xdr:nvSpPr>
                                <xdr:spPr>
                                  <a:xfrm>
                                    <a:off x="4608514" y="3865873"/>
                                    <a:ext cx="623885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ctr"/>
                                    <a:fld id="{66866A51-A2B4-466C-87B0-1129C09576BA}" type="TxLink">
                                      <a:rPr lang="en-US" sz="1300" b="1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ctr"/>
                                      <a:t>201</a:t>
                                    </a:fld>
                                    <a:endParaRPr lang="fr-FR" sz="1300" b="1" i="0" u="none" strike="noStrike">
                                      <a:solidFill>
                                        <a:srgbClr val="FF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AS8">
                                <xdr:nvSpPr>
                                  <xdr:cNvPr id="94" name="Rectangle 93"/>
                                  <xdr:cNvSpPr/>
                                </xdr:nvSpPr>
                                <xdr:spPr>
                                  <a:xfrm>
                                    <a:off x="5350669" y="3865873"/>
                                    <a:ext cx="1126331" cy="2592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ctr"/>
                                  <a:lstStyle/>
                                  <a:p>
                                    <a:pPr marL="0" indent="0" algn="l"/>
                                    <a:fld id="{9BCAF1A4-534A-4AED-B28B-B69A9F6C43A8}" type="TxLink">
                                      <a:rPr lang="en-US" sz="1300" b="1" i="0" u="none" strike="noStrike">
                                        <a:solidFill>
                                          <a:srgbClr val="00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97 000 Fcfa</a:t>
                                    </a:fld>
                                    <a:endParaRPr lang="fr-FR" sz="1300" b="1" i="0" u="none" strike="noStrike">
                                      <a:solidFill>
                                        <a:srgbClr val="00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</xdr:grpSp>
                          </xdr:grpSp>
                          <xdr:graphicFrame macro="">
                            <xdr:nvGraphicFramePr>
                              <xdr:cNvPr id="100" name="Graphique 99"/>
                              <xdr:cNvGraphicFramePr>
                                <a:graphicFrameLocks/>
                              </xdr:cNvGraphicFramePr>
                            </xdr:nvGraphicFramePr>
                            <xdr:xfrm>
                              <a:off x="6750844" y="3762374"/>
                              <a:ext cx="4119564" cy="1595435"/>
                            </xdr:xfrm>
                            <a:graphic>
                              <a:graphicData uri="http://schemas.openxmlformats.org/drawingml/2006/chart">
                                <c:chart xmlns:c="http://schemas.openxmlformats.org/drawingml/2006/chart" xmlns:r="http://schemas.openxmlformats.org/officeDocument/2006/relationships" r:id="rId6"/>
                              </a:graphicData>
                            </a:graphic>
                          </xdr:graphicFrame>
                          <xdr:sp macro="" textlink="Traitement!BB6">
                            <xdr:nvSpPr>
                              <xdr:cNvPr id="101" name="Rectangle 100"/>
                              <xdr:cNvSpPr/>
                            </xdr:nvSpPr>
                            <xdr:spPr>
                              <a:xfrm>
                                <a:off x="11245451" y="3719425"/>
                                <a:ext cx="1512000" cy="269167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fld id="{A0A587F1-B869-49B0-91AD-93E62C7FCCDB}" type="TxLink">
                                  <a:rPr lang="en-US" sz="1800" b="1" i="0" u="none" strike="noStrike" baseline="0">
                                    <a:solidFill>
                                      <a:srgbClr val="FF0000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algn="l"/>
                                  <a:t>197 000 Fcfa</a:t>
                                </a:fld>
                                <a:endParaRPr lang="fr-FR" sz="1800" b="1">
                                  <a:solidFill>
                                    <a:srgbClr val="FF0000"/>
                                  </a:solidFill>
                                </a:endParaRPr>
                              </a:p>
                            </xdr:txBody>
                          </xdr:sp>
                          <xdr:sp macro="" textlink="Traitement!BC6">
                            <xdr:nvSpPr>
                              <xdr:cNvPr id="102" name="Rectangle 101"/>
                              <xdr:cNvSpPr/>
                            </xdr:nvSpPr>
                            <xdr:spPr>
                              <a:xfrm>
                                <a:off x="12820648" y="3745321"/>
                                <a:ext cx="934641" cy="217375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fld id="{C33239BE-D1F8-4A22-A4F0-ACAF203E5239}" type="TxLink">
                                  <a:rPr lang="en-US" sz="1300" b="0" i="0" u="none" strike="noStrike" baseline="0">
                                    <a:solidFill>
                                      <a:srgbClr val="FF0000"/>
                                    </a:solidFill>
                                    <a:latin typeface="Calibri"/>
                                    <a:ea typeface="Calibri"/>
                                    <a:cs typeface="Calibri"/>
                                  </a:rPr>
                                  <a:pPr algn="l"/>
                                  <a:t>3 facture</a:t>
                                </a:fld>
                                <a:endParaRPr lang="fr-FR" sz="1300" b="0">
                                  <a:solidFill>
                                    <a:srgbClr val="FF0000"/>
                                  </a:solidFill>
                                </a:endParaRPr>
                              </a:p>
                            </xdr:txBody>
                          </xdr:sp>
                          <xdr:sp macro="" textlink="">
                            <xdr:nvSpPr>
                              <xdr:cNvPr id="103" name="Rectangle 102"/>
                              <xdr:cNvSpPr/>
                            </xdr:nvSpPr>
                            <xdr:spPr>
                              <a:xfrm>
                                <a:off x="11187113" y="4028397"/>
                                <a:ext cx="3945732" cy="234042"/>
                              </a:xfrm>
                              <a:prstGeom prst="rect">
                                <a:avLst/>
                              </a:prstGeom>
                              <a:noFill/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r>
                                  <a:rPr lang="fr-FR" sz="1400" b="0" baseline="0">
                                    <a:solidFill>
                                      <a:schemeClr val="tx1"/>
                                    </a:solidFill>
                                  </a:rPr>
                                  <a:t>vous sont dus, agissez dès maintenant pour vous faire payer </a:t>
                                </a:r>
                                <a:endParaRPr lang="fr-FR" sz="1400" b="0">
                                  <a:solidFill>
                                    <a:schemeClr val="tx1"/>
                                  </a:solidFill>
                                </a:endParaRPr>
                              </a:p>
                            </xdr:txBody>
                          </xdr:sp>
                          <xdr:grpSp>
                            <xdr:nvGrpSpPr>
                              <xdr:cNvPr id="29" name="Groupe 28"/>
                              <xdr:cNvGrpSpPr/>
                            </xdr:nvGrpSpPr>
                            <xdr:grpSpPr>
                              <a:xfrm>
                                <a:off x="11219260" y="4446304"/>
                                <a:ext cx="3452813" cy="821617"/>
                                <a:chOff x="11219260" y="4446304"/>
                                <a:chExt cx="3452813" cy="821617"/>
                              </a:xfrm>
                            </xdr:grpSpPr>
                            <xdr:grpSp>
                              <xdr:nvGrpSpPr>
                                <xdr:cNvPr id="19" name="Groupe 18"/>
                                <xdr:cNvGrpSpPr/>
                              </xdr:nvGrpSpPr>
                              <xdr:grpSpPr>
                                <a:xfrm>
                                  <a:off x="11220450" y="4446304"/>
                                  <a:ext cx="3412332" cy="217375"/>
                                  <a:chOff x="11220450" y="4446304"/>
                                  <a:chExt cx="3412332" cy="217375"/>
                                </a:xfrm>
                              </xdr:grpSpPr>
                              <xdr:sp macro="" textlink="">
                                <xdr:nvSpPr>
                                  <xdr:cNvPr id="104" name="Rectangle 103"/>
                                  <xdr:cNvSpPr/>
                                </xdr:nvSpPr>
                                <xdr:spPr>
                                  <a:xfrm>
                                    <a:off x="11220450" y="4446304"/>
                                    <a:ext cx="934641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r>
                                      <a:rPr lang="fr-FR" sz="1400" b="1">
                                        <a:solidFill>
                                          <a:schemeClr val="tx1"/>
                                        </a:solidFill>
                                      </a:rPr>
                                      <a:t>Rélance</a:t>
                                    </a:r>
                                    <a:r>
                                      <a:rPr lang="fr-FR" sz="1400" b="1" baseline="0">
                                        <a:solidFill>
                                          <a:schemeClr val="tx1"/>
                                        </a:solidFill>
                                      </a:rPr>
                                      <a:t> 1</a:t>
                                    </a:r>
                                    <a:endParaRPr lang="fr-FR" sz="1400" b="1">
                                      <a:solidFill>
                                        <a:schemeClr val="tx1"/>
                                      </a:solidFill>
                                    </a:endParaRPr>
                                  </a:p>
                                </xdr:txBody>
                              </xdr:sp>
                              <xdr:sp macro="" textlink="Traitement!BH5">
                                <xdr:nvSpPr>
                                  <xdr:cNvPr id="105" name="Rectangle 104"/>
                                  <xdr:cNvSpPr/>
                                </xdr:nvSpPr>
                                <xdr:spPr>
                                  <a:xfrm>
                                    <a:off x="12459293" y="4446304"/>
                                    <a:ext cx="1239355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fld id="{BF157526-915B-48AA-9C3A-7EA181F176A4}" type="TxLink">
                                      <a:rPr lang="en-US" sz="1400" b="0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algn="l"/>
                                      <a:t> </a:t>
                                    </a:fld>
                                    <a:endParaRPr lang="fr-FR" sz="1400" b="0">
                                      <a:solidFill>
                                        <a:srgbClr val="FF0000"/>
                                      </a:solidFill>
                                    </a:endParaRPr>
                                  </a:p>
                                </xdr:txBody>
                              </xdr:sp>
                              <xdr:sp macro="" textlink="Traitement!BI5">
                                <xdr:nvSpPr>
                                  <xdr:cNvPr id="106" name="Rectangle 105"/>
                                  <xdr:cNvSpPr/>
                                </xdr:nvSpPr>
                                <xdr:spPr>
                                  <a:xfrm>
                                    <a:off x="13698141" y="4446304"/>
                                    <a:ext cx="934641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fld id="{469700C3-F91A-4F8B-BF3E-455F14D60544}" type="TxLink">
                                      <a:rPr lang="en-US" sz="1400" b="0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algn="l"/>
                                      <a:t>(0 facture)</a:t>
                                    </a:fld>
                                    <a:endParaRPr lang="fr-FR" sz="1400" b="0">
                                      <a:solidFill>
                                        <a:srgbClr val="FF0000"/>
                                      </a:solidFill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24" name="Groupe 23"/>
                                <xdr:cNvGrpSpPr/>
                              </xdr:nvGrpSpPr>
                              <xdr:grpSpPr>
                                <a:xfrm>
                                  <a:off x="11219260" y="4748425"/>
                                  <a:ext cx="3449241" cy="219971"/>
                                  <a:chOff x="11219260" y="4773130"/>
                                  <a:chExt cx="3449241" cy="219971"/>
                                </a:xfrm>
                              </xdr:grpSpPr>
                              <xdr:sp macro="" textlink="">
                                <xdr:nvSpPr>
                                  <xdr:cNvPr id="107" name="Rectangle 106"/>
                                  <xdr:cNvSpPr/>
                                </xdr:nvSpPr>
                                <xdr:spPr>
                                  <a:xfrm>
                                    <a:off x="11219260" y="4773130"/>
                                    <a:ext cx="934641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r>
                                      <a:rPr lang="fr-FR" sz="1400" b="1">
                                        <a:solidFill>
                                          <a:schemeClr val="tx1"/>
                                        </a:solidFill>
                                      </a:rPr>
                                      <a:t>Rélance</a:t>
                                    </a:r>
                                    <a:r>
                                      <a:rPr lang="fr-FR" sz="1400" b="1" baseline="0">
                                        <a:solidFill>
                                          <a:schemeClr val="tx1"/>
                                        </a:solidFill>
                                      </a:rPr>
                                      <a:t> 2</a:t>
                                    </a:r>
                                    <a:endParaRPr lang="fr-FR" sz="1400" b="1">
                                      <a:solidFill>
                                        <a:schemeClr val="tx1"/>
                                      </a:solidFill>
                                    </a:endParaRPr>
                                  </a:p>
                                </xdr:txBody>
                              </xdr:sp>
                              <xdr:sp macro="" textlink="Traitement!BN6">
                                <xdr:nvSpPr>
                                  <xdr:cNvPr id="109" name="Rectangle 108"/>
                                  <xdr:cNvSpPr/>
                                </xdr:nvSpPr>
                                <xdr:spPr>
                                  <a:xfrm>
                                    <a:off x="12476557" y="4773130"/>
                                    <a:ext cx="1239354" cy="21997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marL="0" indent="0" algn="l"/>
                                    <a:fld id="{046ACE6F-B798-4EAA-840A-8FACF1498F37}" type="TxLink">
                                      <a:rPr lang="en-US" sz="1400" b="0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marL="0" indent="0" algn="l"/>
                                      <a:t>122 000 Fcfa</a:t>
                                    </a:fld>
                                    <a:endParaRPr lang="fr-FR" sz="1400" b="0" i="0" u="none" strike="noStrike">
                                      <a:solidFill>
                                        <a:srgbClr val="FF0000"/>
                                      </a:solidFill>
                                      <a:latin typeface="Calibri"/>
                                      <a:ea typeface="Calibri"/>
                                      <a:cs typeface="Calibri"/>
                                    </a:endParaRPr>
                                  </a:p>
                                </xdr:txBody>
                              </xdr:sp>
                              <xdr:sp macro="" textlink="Traitement!BO6">
                                <xdr:nvSpPr>
                                  <xdr:cNvPr id="111" name="Rectangle 110"/>
                                  <xdr:cNvSpPr/>
                                </xdr:nvSpPr>
                                <xdr:spPr>
                                  <a:xfrm>
                                    <a:off x="13733860" y="4773130"/>
                                    <a:ext cx="934641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fld id="{ED5762EB-75E8-4A47-AB25-53B894C0E7C8}" type="TxLink">
                                      <a:rPr lang="en-US" sz="1400" b="0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algn="l"/>
                                      <a:t>2 facture</a:t>
                                    </a:fld>
                                    <a:endParaRPr lang="fr-FR" sz="1400" b="0">
                                      <a:solidFill>
                                        <a:srgbClr val="FF0000"/>
                                      </a:solidFill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25" name="Groupe 24"/>
                                <xdr:cNvGrpSpPr/>
                              </xdr:nvGrpSpPr>
                              <xdr:grpSpPr>
                                <a:xfrm>
                                  <a:off x="11222832" y="5050546"/>
                                  <a:ext cx="3449241" cy="217375"/>
                                  <a:chOff x="11222832" y="5050546"/>
                                  <a:chExt cx="3449241" cy="217375"/>
                                </a:xfrm>
                              </xdr:grpSpPr>
                              <xdr:sp macro="" textlink="">
                                <xdr:nvSpPr>
                                  <xdr:cNvPr id="108" name="Rectangle 107"/>
                                  <xdr:cNvSpPr/>
                                </xdr:nvSpPr>
                                <xdr:spPr>
                                  <a:xfrm>
                                    <a:off x="11222832" y="5050546"/>
                                    <a:ext cx="934641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r>
                                      <a:rPr lang="fr-FR" sz="1400" b="1">
                                        <a:solidFill>
                                          <a:schemeClr val="tx1"/>
                                        </a:solidFill>
                                      </a:rPr>
                                      <a:t>Rélance</a:t>
                                    </a:r>
                                    <a:r>
                                      <a:rPr lang="fr-FR" sz="1400" b="1" baseline="0">
                                        <a:solidFill>
                                          <a:schemeClr val="tx1"/>
                                        </a:solidFill>
                                      </a:rPr>
                                      <a:t> 3</a:t>
                                    </a:r>
                                    <a:endParaRPr lang="fr-FR" sz="1400" b="1">
                                      <a:solidFill>
                                        <a:schemeClr val="tx1"/>
                                      </a:solidFill>
                                    </a:endParaRPr>
                                  </a:p>
                                </xdr:txBody>
                              </xdr:sp>
                              <xdr:sp macro="" textlink="Traitement!BT6">
                                <xdr:nvSpPr>
                                  <xdr:cNvPr id="110" name="Rectangle 109"/>
                                  <xdr:cNvSpPr/>
                                </xdr:nvSpPr>
                                <xdr:spPr>
                                  <a:xfrm>
                                    <a:off x="12480129" y="5050546"/>
                                    <a:ext cx="1239354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fld id="{35B19C1A-EEBD-4059-A745-4E414E100E7A}" type="TxLink">
                                      <a:rPr lang="en-US" sz="1400" b="0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algn="l"/>
                                      <a:t>75 000 Fcfa</a:t>
                                    </a:fld>
                                    <a:endParaRPr lang="fr-FR" sz="1400" b="0">
                                      <a:solidFill>
                                        <a:srgbClr val="FF0000"/>
                                      </a:solidFill>
                                    </a:endParaRPr>
                                  </a:p>
                                </xdr:txBody>
                              </xdr:sp>
                              <xdr:sp macro="" textlink="Traitement!BU6">
                                <xdr:nvSpPr>
                                  <xdr:cNvPr id="112" name="Rectangle 111"/>
                                  <xdr:cNvSpPr/>
                                </xdr:nvSpPr>
                                <xdr:spPr>
                                  <a:xfrm>
                                    <a:off x="13737432" y="5050546"/>
                                    <a:ext cx="934641" cy="2173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fld id="{69F1E17C-FE6F-458A-A4E5-E1C5D706A3E9}" type="TxLink">
                                      <a:rPr lang="en-US" sz="1400" b="0" i="0" u="none" strike="noStrike">
                                        <a:solidFill>
                                          <a:srgbClr val="FF0000"/>
                                        </a:solidFill>
                                        <a:latin typeface="Calibri"/>
                                        <a:ea typeface="Calibri"/>
                                        <a:cs typeface="Calibri"/>
                                      </a:rPr>
                                      <a:pPr algn="l"/>
                                      <a:t>1 facture</a:t>
                                    </a:fld>
                                    <a:endParaRPr lang="fr-FR" sz="1400" b="0">
                                      <a:solidFill>
                                        <a:srgbClr val="FF0000"/>
                                      </a:solidFill>
                                    </a:endParaRPr>
                                  </a:p>
                                </xdr:txBody>
                              </xdr:sp>
                            </xdr:grpSp>
                          </xdr:grpSp>
                        </xdr:grpSp>
                      </xdr:grpSp>
                      <xdr:cxnSp macro="">
                        <xdr:nvCxnSpPr>
                          <xdr:cNvPr id="113" name="Connecteur droit 112"/>
                          <xdr:cNvCxnSpPr/>
                        </xdr:nvCxnSpPr>
                        <xdr:spPr>
                          <a:xfrm>
                            <a:off x="12532473" y="5083994"/>
                            <a:ext cx="4852074" cy="0"/>
                          </a:xfrm>
                          <a:prstGeom prst="line">
                            <a:avLst/>
                          </a:prstGeom>
                          <a:ln w="12700">
                            <a:solidFill>
                              <a:schemeClr val="bg2">
                                <a:lumMod val="75000"/>
                              </a:schemeClr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14" name="Connecteur droit 113"/>
                          <xdr:cNvCxnSpPr/>
                        </xdr:nvCxnSpPr>
                        <xdr:spPr>
                          <a:xfrm>
                            <a:off x="12529707" y="5517741"/>
                            <a:ext cx="4852074" cy="0"/>
                          </a:xfrm>
                          <a:prstGeom prst="line">
                            <a:avLst/>
                          </a:prstGeom>
                          <a:ln w="12700">
                            <a:solidFill>
                              <a:schemeClr val="bg2">
                                <a:lumMod val="75000"/>
                              </a:schemeClr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15" name="Connecteur droit 114"/>
                          <xdr:cNvCxnSpPr/>
                        </xdr:nvCxnSpPr>
                        <xdr:spPr>
                          <a:xfrm>
                            <a:off x="12609944" y="5896930"/>
                            <a:ext cx="4852074" cy="0"/>
                          </a:xfrm>
                          <a:prstGeom prst="line">
                            <a:avLst/>
                          </a:prstGeom>
                          <a:ln w="12700">
                            <a:solidFill>
                              <a:schemeClr val="bg2">
                                <a:lumMod val="75000"/>
                              </a:schemeClr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cxnSp macro="">
                        <xdr:nvCxnSpPr>
                          <xdr:cNvPr id="116" name="Connecteur droit 115"/>
                          <xdr:cNvCxnSpPr/>
                        </xdr:nvCxnSpPr>
                        <xdr:spPr>
                          <a:xfrm>
                            <a:off x="12579509" y="6207918"/>
                            <a:ext cx="4852074" cy="0"/>
                          </a:xfrm>
                          <a:prstGeom prst="line">
                            <a:avLst/>
                          </a:prstGeom>
                          <a:ln w="12700">
                            <a:solidFill>
                              <a:schemeClr val="bg2">
                                <a:lumMod val="75000"/>
                              </a:schemeClr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</xdr:grpSp>
                    <xdr:grpSp>
                      <xdr:nvGrpSpPr>
                        <xdr:cNvPr id="128" name="Groupe 127"/>
                        <xdr:cNvGrpSpPr/>
                      </xdr:nvGrpSpPr>
                      <xdr:grpSpPr>
                        <a:xfrm>
                          <a:off x="110165" y="1143000"/>
                          <a:ext cx="1658764" cy="2245952"/>
                          <a:chOff x="110165" y="1143000"/>
                          <a:chExt cx="1658764" cy="2245952"/>
                        </a:xfrm>
                      </xdr:grpSpPr>
                      <xdr:sp macro="[0]!Dashboard" textlink="">
                        <xdr:nvSpPr>
                          <xdr:cNvPr id="118" name="Rectangle 117"/>
                          <xdr:cNvSpPr/>
                        </xdr:nvSpPr>
                        <xdr:spPr>
                          <a:xfrm>
                            <a:off x="136409" y="1143000"/>
                            <a:ext cx="1632520" cy="285749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algn="ctr"/>
                            <a:r>
                              <a:rPr lang="fr-FR" sz="1700" b="1">
                                <a:solidFill>
                                  <a:schemeClr val="bg1"/>
                                </a:solidFill>
                              </a:rPr>
                              <a:t>Dashbord</a:t>
                            </a:r>
                          </a:p>
                        </xdr:txBody>
                      </xdr:sp>
                      <xdr:grpSp>
                        <xdr:nvGrpSpPr>
                          <xdr:cNvPr id="127" name="Groupe 126"/>
                          <xdr:cNvGrpSpPr/>
                        </xdr:nvGrpSpPr>
                        <xdr:grpSpPr>
                          <a:xfrm>
                            <a:off x="155166" y="1660071"/>
                            <a:ext cx="1398703" cy="252000"/>
                            <a:chOff x="155166" y="1660071"/>
                            <a:chExt cx="1398703" cy="252000"/>
                          </a:xfrm>
                        </xdr:grpSpPr>
                        <xdr:sp macro="[0]!Créances" textlink="">
                          <xdr:nvSpPr>
                            <xdr:cNvPr id="119" name="Rectangle 118"/>
                            <xdr:cNvSpPr/>
                          </xdr:nvSpPr>
                          <xdr:spPr>
                            <a:xfrm>
                              <a:off x="351469" y="1660071"/>
                              <a:ext cx="1202400" cy="252000"/>
                            </a:xfrm>
                            <a:prstGeom prst="rect">
                              <a:avLst/>
                            </a:prstGeom>
                            <a:noFill/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ctr"/>
                              <a:r>
                                <a:rPr lang="fr-FR" sz="1800" b="0">
                                  <a:solidFill>
                                    <a:srgbClr val="777A87"/>
                                  </a:solidFill>
                                  <a:latin typeface="Berlin Sans FB" panose="020E0602020502020306" pitchFamily="34" charset="0"/>
                                  <a:ea typeface="Cambria Math" panose="02040503050406030204" pitchFamily="18" charset="0"/>
                                  <a:cs typeface="+mn-cs"/>
                                </a:rPr>
                                <a:t>Créances</a:t>
                              </a:r>
                            </a:p>
                          </xdr:txBody>
                        </xdr:sp>
                        <xdr:pic>
                          <xdr:nvPicPr>
                            <xdr:cNvPr id="129" name="Image 128"/>
                            <xdr:cNvPicPr>
                              <a:picLocks noChangeAspect="1"/>
                            </xdr:cNvPicPr>
                          </xdr:nvPicPr>
                          <xdr:blipFill rotWithShape="1">
                            <a:blip xmlns:r="http://schemas.openxmlformats.org/officeDocument/2006/relationships" r:embed="rId7" cstate="print">
                              <a:extLst>
                                <a:ext uri="{BEBA8EAE-BF5A-486C-A8C5-ECC9F3942E4B}">
                                  <a14:imgProps xmlns:a14="http://schemas.microsoft.com/office/drawing/2010/main">
                                    <a14:imgLayer r:embed="rId8">
                                      <a14:imgEffect>
                                        <a14:backgroundRemoval t="32253" b="42940" l="8788" r="25298">
                                          <a14:foregroundMark x1="11201" y1="35656" x2="18182" y2="40681"/>
                                          <a14:foregroundMark x1="20130" y1="35008" x2="22565" y2="42301"/>
                                          <a14:foregroundMark x1="21753" y1="35981" x2="23539" y2="38898"/>
                                        </a14:backgroundRemoval>
                                      </a14:imgEffect>
                                    </a14:imgLayer>
                                  </a14:imgProps>
                                </a:ext>
                                <a:ext uri="{28A0092B-C50C-407E-A947-70E740481C1C}">
                                  <a14:useLocalDpi xmlns:a14="http://schemas.microsoft.com/office/drawing/2010/main" val="0"/>
                                </a:ext>
                              </a:extLst>
                            </a:blip>
                            <a:srcRect l="9324" t="34103" r="75055" b="56306"/>
                            <a:stretch/>
                          </xdr:blipFill>
                          <xdr:spPr>
                            <a:xfrm>
                              <a:off x="155166" y="1714071"/>
                              <a:ext cx="262798" cy="144000"/>
                            </a:xfrm>
                            <a:prstGeom prst="rect">
                              <a:avLst/>
                            </a:prstGeom>
                          </xdr:spPr>
                        </xdr:pic>
                      </xdr:grpSp>
                      <xdr:grpSp>
                        <xdr:nvGrpSpPr>
                          <xdr:cNvPr id="126" name="Groupe 125"/>
                          <xdr:cNvGrpSpPr/>
                        </xdr:nvGrpSpPr>
                        <xdr:grpSpPr>
                          <a:xfrm>
                            <a:off x="136071" y="2138361"/>
                            <a:ext cx="1428598" cy="252000"/>
                            <a:chOff x="136071" y="2138361"/>
                            <a:chExt cx="1428598" cy="252000"/>
                          </a:xfrm>
                        </xdr:grpSpPr>
                        <xdr:sp macro="[0]!Règlements" textlink="">
                          <xdr:nvSpPr>
                            <xdr:cNvPr id="120" name="Rectangle 119"/>
                            <xdr:cNvSpPr/>
                          </xdr:nvSpPr>
                          <xdr:spPr>
                            <a:xfrm>
                              <a:off x="340669" y="2138361"/>
                              <a:ext cx="1224000" cy="252000"/>
                            </a:xfrm>
                            <a:prstGeom prst="rect">
                              <a:avLst/>
                            </a:prstGeom>
                            <a:noFill/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ctr"/>
                              <a:r>
                                <a:rPr lang="fr-FR" sz="1800" b="0">
                                  <a:solidFill>
                                    <a:srgbClr val="777A87"/>
                                  </a:solidFill>
                                  <a:latin typeface="Berlin Sans FB" panose="020E0602020502020306" pitchFamily="34" charset="0"/>
                                  <a:ea typeface="Cambria Math" panose="02040503050406030204" pitchFamily="18" charset="0"/>
                                  <a:cs typeface="+mn-cs"/>
                                </a:rPr>
                                <a:t>Réglements</a:t>
                              </a:r>
                            </a:p>
                          </xdr:txBody>
                        </xdr:sp>
                        <xdr:pic>
                          <xdr:nvPicPr>
                            <xdr:cNvPr id="136" name="Image 135"/>
                            <xdr:cNvPicPr>
                              <a:picLocks noChangeAspect="1"/>
                            </xdr:cNvPicPr>
                          </xdr:nvPicPr>
                          <xdr:blipFill rotWithShape="1">
                            <a:blip xmlns:r="http://schemas.openxmlformats.org/officeDocument/2006/relationships" r:embed="rId9" cstate="print">
                              <a:extLst>
                                <a:ext uri="{BEBA8EAE-BF5A-486C-A8C5-ECC9F3942E4B}">
                                  <a14:imgProps xmlns:a14="http://schemas.microsoft.com/office/drawing/2010/main">
                                    <a14:imgLayer r:embed="rId8">
                                      <a14:imgEffect>
                                        <a14:backgroundRemoval t="77310" b="91572" l="10390" r="23052">
                                          <a14:foregroundMark x1="15097" y1="85413" x2="10390" y2="86710"/>
                                          <a14:foregroundMark x1="12662" y1="86548" x2="20455" y2="87196"/>
                                        </a14:backgroundRemoval>
                                      </a14:imgEffect>
                                    </a14:imgLayer>
                                  </a14:imgProps>
                                </a:ext>
                                <a:ext uri="{28A0092B-C50C-407E-A947-70E740481C1C}">
                                  <a14:useLocalDpi xmlns:a14="http://schemas.microsoft.com/office/drawing/2010/main" val="0"/>
                                </a:ext>
                              </a:extLst>
                            </a:blip>
                            <a:srcRect l="9508" t="75703" r="75420" b="6656"/>
                            <a:stretch/>
                          </xdr:blipFill>
                          <xdr:spPr>
                            <a:xfrm>
                              <a:off x="136071" y="2156361"/>
                              <a:ext cx="300989" cy="216000"/>
                            </a:xfrm>
                            <a:prstGeom prst="rect">
                              <a:avLst/>
                            </a:prstGeom>
                          </xdr:spPr>
                        </xdr:pic>
                      </xdr:grpSp>
                      <xdr:grpSp>
                        <xdr:nvGrpSpPr>
                          <xdr:cNvPr id="99" name="Groupe 98"/>
                          <xdr:cNvGrpSpPr/>
                        </xdr:nvGrpSpPr>
                        <xdr:grpSpPr>
                          <a:xfrm>
                            <a:off x="110565" y="2607436"/>
                            <a:ext cx="1443304" cy="288000"/>
                            <a:chOff x="110565" y="2607436"/>
                            <a:chExt cx="1443304" cy="288000"/>
                          </a:xfrm>
                        </xdr:grpSpPr>
                        <xdr:sp macro="[0]!Relances" textlink="">
                          <xdr:nvSpPr>
                            <xdr:cNvPr id="121" name="Rectangle 120"/>
                            <xdr:cNvSpPr/>
                          </xdr:nvSpPr>
                          <xdr:spPr>
                            <a:xfrm>
                              <a:off x="351469" y="2625436"/>
                              <a:ext cx="1202400" cy="252000"/>
                            </a:xfrm>
                            <a:prstGeom prst="rect">
                              <a:avLst/>
                            </a:prstGeom>
                            <a:noFill/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ctr"/>
                              <a:r>
                                <a:rPr lang="fr-FR" sz="1800" b="0">
                                  <a:solidFill>
                                    <a:srgbClr val="777A87"/>
                                  </a:solidFill>
                                  <a:latin typeface="Berlin Sans FB" panose="020E0602020502020306" pitchFamily="34" charset="0"/>
                                  <a:ea typeface="Cambria Math" panose="02040503050406030204" pitchFamily="18" charset="0"/>
                                  <a:cs typeface="+mn-cs"/>
                                </a:rPr>
                                <a:t>Relance</a:t>
                              </a:r>
                            </a:p>
                          </xdr:txBody>
                        </xdr:sp>
                        <xdr:pic>
                          <xdr:nvPicPr>
                            <xdr:cNvPr id="137" name="Image 136"/>
                            <xdr:cNvPicPr>
                              <a:picLocks noChangeAspect="1"/>
                            </xdr:cNvPicPr>
                          </xdr:nvPicPr>
                          <xdr:blipFill rotWithShape="1">
                            <a:blip xmlns:r="http://schemas.openxmlformats.org/officeDocument/2006/relationships" r:embed="rId10" cstate="print">
                              <a:extLst>
                                <a:ext uri="{BEBA8EAE-BF5A-486C-A8C5-ECC9F3942E4B}">
                                  <a14:imgProps xmlns:a14="http://schemas.microsoft.com/office/drawing/2010/main">
                                    <a14:imgLayer r:embed="rId11">
                                      <a14:imgEffect>
                                        <a14:backgroundRemoval t="80407" b="95165" l="7658" r="18168">
                                          <a14:foregroundMark x1="13768" y1="90695" x2="15539" y2="92556"/>
                                          <a14:foregroundMark x1="13366" y1="88443" x2="10548" y2="85406"/>
                                          <a14:foregroundMark x1="9259" y1="81587" x2="9259" y2="81587"/>
                                          <a14:foregroundMark x1="15781" y1="82076" x2="15781" y2="82076"/>
                                          <a14:foregroundMark x1="12560" y1="81587" x2="12560" y2="81587"/>
                                          <a14:foregroundMark x1="8132" y1="81978" x2="7810" y2="89716"/>
                                          <a14:foregroundMark x1="8132" y1="90108" x2="13527" y2="90108"/>
                                          <a14:foregroundMark x1="17150" y1="82272" x2="17391" y2="89226"/>
                                          <a14:foregroundMark x1="12162" y1="93384" x2="17868" y2="93130"/>
                                          <a14:foregroundMark x1="12312" y1="95165" x2="18168" y2="94402"/>
                                        </a14:backgroundRemoval>
                                      </a14:imgEffect>
                                    </a14:imgLayer>
                                  </a14:imgProps>
                                </a:ext>
                                <a:ext uri="{28A0092B-C50C-407E-A947-70E740481C1C}">
                                  <a14:useLocalDpi xmlns:a14="http://schemas.microsoft.com/office/drawing/2010/main" val="0"/>
                                </a:ext>
                              </a:extLst>
                            </a:blip>
                            <a:srcRect l="6476" t="78690" r="80859" b="3715"/>
                            <a:stretch/>
                          </xdr:blipFill>
                          <xdr:spPr>
                            <a:xfrm>
                              <a:off x="110565" y="2607436"/>
                              <a:ext cx="352001" cy="288000"/>
                            </a:xfrm>
                            <a:prstGeom prst="rect">
                              <a:avLst/>
                            </a:prstGeom>
                          </xdr:spPr>
                        </xdr:pic>
                      </xdr:grpSp>
                      <xdr:grpSp>
                        <xdr:nvGrpSpPr>
                          <xdr:cNvPr id="98" name="Groupe 97"/>
                          <xdr:cNvGrpSpPr/>
                        </xdr:nvGrpSpPr>
                        <xdr:grpSpPr>
                          <a:xfrm>
                            <a:off x="110165" y="3123455"/>
                            <a:ext cx="1501304" cy="265497"/>
                            <a:chOff x="110165" y="3123455"/>
                            <a:chExt cx="1501304" cy="265497"/>
                          </a:xfrm>
                        </xdr:grpSpPr>
                        <xdr:sp macro="[0]!Paramètres" textlink="">
                          <xdr:nvSpPr>
                            <xdr:cNvPr id="122" name="Rectangle 121"/>
                            <xdr:cNvSpPr/>
                          </xdr:nvSpPr>
                          <xdr:spPr>
                            <a:xfrm>
                              <a:off x="351469" y="3130203"/>
                              <a:ext cx="1260000" cy="252000"/>
                            </a:xfrm>
                            <a:prstGeom prst="rect">
                              <a:avLst/>
                            </a:prstGeom>
                            <a:noFill/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ctr"/>
                              <a:r>
                                <a:rPr lang="fr-FR" sz="1800" b="0">
                                  <a:solidFill>
                                    <a:srgbClr val="777A87"/>
                                  </a:solidFill>
                                  <a:latin typeface="Berlin Sans FB" panose="020E0602020502020306" pitchFamily="34" charset="0"/>
                                  <a:ea typeface="Cambria Math" panose="02040503050406030204" pitchFamily="18" charset="0"/>
                                  <a:cs typeface="+mn-cs"/>
                                </a:rPr>
                                <a:t>Paramètre</a:t>
                              </a:r>
                            </a:p>
                          </xdr:txBody>
                        </xdr:sp>
                        <xdr:pic>
                          <xdr:nvPicPr>
                            <xdr:cNvPr id="30" name="Image 29"/>
                            <xdr:cNvPicPr>
                              <a:picLocks noChangeAspect="1"/>
                            </xdr:cNvPicPr>
                          </xdr:nvPicPr>
                          <xdr:blipFill>
                            <a:blip xmlns:r="http://schemas.openxmlformats.org/officeDocument/2006/relationships" r:embed="rId12" cstate="print">
                              <a:duotone>
                                <a:schemeClr val="bg2">
                                  <a:shade val="45000"/>
                                  <a:satMod val="135000"/>
                                </a:schemeClr>
                                <a:prstClr val="white"/>
                              </a:duotone>
                              <a:extLst>
                                <a:ext uri="{28A0092B-C50C-407E-A947-70E740481C1C}">
                                  <a14:useLocalDpi xmlns:a14="http://schemas.microsoft.com/office/drawing/2010/main" val="0"/>
                                </a:ext>
                              </a:extLst>
                            </a:blip>
                            <a:stretch>
                              <a:fillRect/>
                            </a:stretch>
                          </xdr:blipFill>
                          <xdr:spPr>
                            <a:xfrm>
                              <a:off x="110165" y="3123455"/>
                              <a:ext cx="288000" cy="265497"/>
                            </a:xfrm>
                            <a:prstGeom prst="rect">
                              <a:avLst/>
                            </a:prstGeom>
                          </xdr:spPr>
                        </xdr:pic>
                      </xdr:grpSp>
                    </xdr:grpSp>
                  </xdr:grpSp>
                </xdr:grpSp>
              </xdr:grpSp>
              <xdr:sp macro="" textlink="">
                <xdr:nvSpPr>
                  <xdr:cNvPr id="150" name="Rectangle 149"/>
                  <xdr:cNvSpPr/>
                </xdr:nvSpPr>
                <xdr:spPr>
                  <a:xfrm>
                    <a:off x="12457400" y="1869480"/>
                    <a:ext cx="4405111" cy="34231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marL="0" indent="0" algn="l"/>
                    <a:r>
                      <a:rPr lang="fr-FR" sz="1600" b="1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rPr>
                      <a:t>Evolution du DSO</a:t>
                    </a:r>
                  </a:p>
                </xdr:txBody>
              </xdr:sp>
              <xdr:grpSp>
                <xdr:nvGrpSpPr>
                  <xdr:cNvPr id="154" name="Groupe 153"/>
                  <xdr:cNvGrpSpPr/>
                </xdr:nvGrpSpPr>
                <xdr:grpSpPr>
                  <a:xfrm>
                    <a:off x="3648884" y="511065"/>
                    <a:ext cx="13664310" cy="340199"/>
                    <a:chOff x="3648884" y="511065"/>
                    <a:chExt cx="13664310" cy="340199"/>
                  </a:xfrm>
                </xdr:grpSpPr>
                <xdr:pic>
                  <xdr:nvPicPr>
                    <xdr:cNvPr id="145" name="Image 144"/>
                    <xdr:cNvPicPr>
                      <a:picLocks noChangeAspect="1"/>
                    </xdr:cNvPicPr>
                  </xdr:nvPicPr>
                  <xdr:blipFill rotWithShape="1">
                    <a:blip xmlns:r="http://schemas.openxmlformats.org/officeDocument/2006/relationships" r:embed="rId13" cstate="print">
                      <a:extLst>
                        <a:ext uri="{BEBA8EAE-BF5A-486C-A8C5-ECC9F3942E4B}">
                          <a14:imgProps xmlns:a14="http://schemas.microsoft.com/office/drawing/2010/main">
                            <a14:imgLayer r:embed="rId14">
                              <a14:imgEffect>
                                <a14:backgroundRemoval t="10000" b="90000" l="10000" r="90000">
                                  <a14:foregroundMark x1="36163" y1="29543" x2="36163" y2="29543"/>
                                  <a14:foregroundMark x1="44735" y1="29543" x2="44735" y2="29543"/>
                                  <a14:foregroundMark x1="43837" y1="41038" x2="43837" y2="41038"/>
                                  <a14:foregroundMark x1="37633" y1="48949" x2="37633" y2="48949"/>
                                  <a14:foregroundMark x1="31918" y1="69098" x2="31918" y2="69098"/>
                                  <a14:foregroundMark x1="46204" y1="69098" x2="46204" y2="69098"/>
                                  <a14:foregroundMark x1="38612" y1="64030" x2="38612" y2="64030"/>
                                  <a14:foregroundMark x1="38612" y1="77009" x2="38612" y2="77009"/>
                                  <a14:foregroundMark x1="44735" y1="56860" x2="44735" y2="56860"/>
                                  <a14:foregroundMark x1="32898" y1="58962" x2="32898" y2="58962"/>
                                  <a14:foregroundMark x1="32898" y1="38072" x2="34286" y2="41038"/>
                                  <a14:foregroundMark x1="39020" y1="58220" x2="39020" y2="58220"/>
                                  <a14:foregroundMark x1="37633" y1="41038" x2="37633" y2="41038"/>
                                  <a14:foregroundMark x1="38612" y1="22991" x2="38612" y2="22991"/>
                                  <a14:foregroundMark x1="43347" y1="22991" x2="43347" y2="22991"/>
                                  <a14:foregroundMark x1="30449" y1="27318" x2="30449" y2="27318"/>
                                  <a14:foregroundMark x1="46694" y1="64030" x2="46694" y2="64030"/>
                                </a14:backgroundRemoval>
                              </a14:imgEffect>
                            </a14:imgLayer>
                          </a14:imgProps>
                        </a:ex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rcRect l="27595" t="18042" r="47964" b="21499"/>
                    <a:stretch/>
                  </xdr:blipFill>
                  <xdr:spPr>
                    <a:xfrm>
                      <a:off x="8894741" y="545392"/>
                      <a:ext cx="321381" cy="25200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146" name="Image 145"/>
                    <xdr:cNvPicPr>
                      <a:picLocks noChangeAspect="1"/>
                    </xdr:cNvPicPr>
                  </xdr:nvPicPr>
                  <xdr:blipFill rotWithShape="1">
                    <a:blip xmlns:r="http://schemas.openxmlformats.org/officeDocument/2006/relationships" r:embed="rId10" cstate="print">
                      <a:extLst>
                        <a:ext uri="{BEBA8EAE-BF5A-486C-A8C5-ECC9F3942E4B}">
                          <a14:imgProps xmlns:a14="http://schemas.microsoft.com/office/drawing/2010/main">
                            <a14:imgLayer r:embed="rId11">
                              <a14:imgEffect>
                                <a14:backgroundRemoval t="80407" b="95165" l="7658" r="18168">
                                  <a14:foregroundMark x1="13768" y1="90695" x2="15539" y2="92556"/>
                                  <a14:foregroundMark x1="13366" y1="88443" x2="10548" y2="85406"/>
                                  <a14:foregroundMark x1="9259" y1="81587" x2="9259" y2="81587"/>
                                  <a14:foregroundMark x1="15781" y1="82076" x2="15781" y2="82076"/>
                                  <a14:foregroundMark x1="12560" y1="81587" x2="12560" y2="81587"/>
                                  <a14:foregroundMark x1="8132" y1="81978" x2="7810" y2="89716"/>
                                  <a14:foregroundMark x1="8132" y1="90108" x2="13527" y2="90108"/>
                                  <a14:foregroundMark x1="17150" y1="82272" x2="17391" y2="89226"/>
                                  <a14:foregroundMark x1="12162" y1="93384" x2="17868" y2="93130"/>
                                  <a14:foregroundMark x1="12312" y1="95165" x2="18168" y2="94402"/>
                                </a14:backgroundRemoval>
                              </a14:imgEffect>
                            </a14:imgLayer>
                          </a14:imgProps>
                        </a:ex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rcRect l="6476" t="78690" r="80859" b="3715"/>
                    <a:stretch/>
                  </xdr:blipFill>
                  <xdr:spPr>
                    <a:xfrm>
                      <a:off x="11538486" y="527392"/>
                      <a:ext cx="352001" cy="28800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147" name="Image 146"/>
                    <xdr:cNvPicPr>
                      <a:picLocks noChangeAspect="1"/>
                    </xdr:cNvPicPr>
                  </xdr:nvPicPr>
                  <xdr:blipFill rotWithShape="1">
                    <a:blip xmlns:r="http://schemas.openxmlformats.org/officeDocument/2006/relationships" r:embed="rId9" cstate="print">
                      <a:extLst>
                        <a:ext uri="{BEBA8EAE-BF5A-486C-A8C5-ECC9F3942E4B}">
                          <a14:imgProps xmlns:a14="http://schemas.microsoft.com/office/drawing/2010/main">
                            <a14:imgLayer r:embed="rId8">
                              <a14:imgEffect>
                                <a14:backgroundRemoval t="77310" b="91572" l="10390" r="23052">
                                  <a14:foregroundMark x1="15097" y1="85413" x2="10390" y2="86710"/>
                                  <a14:foregroundMark x1="12662" y1="86548" x2="20455" y2="87196"/>
                                </a14:backgroundRemoval>
                              </a14:imgEffect>
                            </a14:imgLayer>
                          </a14:imgProps>
                        </a:ex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rcRect l="9508" t="75703" r="75420" b="6656"/>
                    <a:stretch/>
                  </xdr:blipFill>
                  <xdr:spPr>
                    <a:xfrm>
                      <a:off x="6232608" y="563392"/>
                      <a:ext cx="300989" cy="21600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148" name="Image 147"/>
                    <xdr:cNvPicPr>
                      <a:picLocks noChangeAspect="1"/>
                    </xdr:cNvPicPr>
                  </xdr:nvPicPr>
                  <xdr:blipFill rotWithShape="1">
                    <a:blip xmlns:r="http://schemas.openxmlformats.org/officeDocument/2006/relationships" r:embed="rId7" cstate="print">
                      <a:extLst>
                        <a:ext uri="{BEBA8EAE-BF5A-486C-A8C5-ECC9F3942E4B}">
                          <a14:imgProps xmlns:a14="http://schemas.microsoft.com/office/drawing/2010/main">
                            <a14:imgLayer r:embed="rId8">
                              <a14:imgEffect>
                                <a14:backgroundRemoval t="32253" b="42940" l="8788" r="25298">
                                  <a14:foregroundMark x1="11201" y1="35656" x2="18182" y2="40681"/>
                                  <a14:foregroundMark x1="20130" y1="35008" x2="22565" y2="42301"/>
                                  <a14:foregroundMark x1="21753" y1="35981" x2="23539" y2="38898"/>
                                </a14:backgroundRemoval>
                              </a14:imgEffect>
                            </a14:imgLayer>
                          </a14:imgProps>
                        </a:ex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rcRect l="9324" t="34103" r="75055" b="56306"/>
                    <a:stretch/>
                  </xdr:blipFill>
                  <xdr:spPr>
                    <a:xfrm>
                      <a:off x="3648884" y="599392"/>
                      <a:ext cx="262798" cy="14400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149" name="Image 148"/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5" cstate="print">
                      <a:duotone>
                        <a:prstClr val="black"/>
                        <a:schemeClr val="tx1">
                          <a:tint val="45000"/>
                          <a:satMod val="400000"/>
                        </a:schemeClr>
                      </a:duotone>
                      <a:extLst>
                        <a:ext uri="{BEBA8EAE-BF5A-486C-A8C5-ECC9F3942E4B}">
                          <a14:imgProps xmlns:a14="http://schemas.microsoft.com/office/drawing/2010/main">
                            <a14:imgLayer r:embed="rId16">
                              <a14:imgEffect>
                                <a14:backgroundRemoval t="1587" b="95767" l="1307" r="98475">
                                  <a14:foregroundMark x1="35185" y1="36931" x2="48148" y2="43704"/>
                                  <a14:foregroundMark x1="63399" y1="52910" x2="63399" y2="52910"/>
                                  <a14:foregroundMark x1="63399" y1="52910" x2="63399" y2="52910"/>
                                  <a14:foregroundMark x1="63399" y1="52910" x2="71786" y2="64656"/>
                                  <a14:foregroundMark x1="67211" y1="36931" x2="38235" y2="64656"/>
                                </a14:backgroundRemoval>
                              </a14:imgEffect>
                            </a14:imgLayer>
                          </a14:imgProps>
                        </a:ex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14325682" y="511065"/>
                      <a:ext cx="352800" cy="320654"/>
                    </a:xfrm>
                    <a:prstGeom prst="rect">
                      <a:avLst/>
                    </a:prstGeom>
                    <a:solidFill>
                      <a:schemeClr val="bg1"/>
                    </a:solidFill>
                  </xdr:spPr>
                </xdr:pic>
                <xdr:pic>
                  <xdr:nvPicPr>
                    <xdr:cNvPr id="151" name="Image 150"/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7" cstate="print">
                      <a:extLst>
                        <a:ext uri="{BEBA8EAE-BF5A-486C-A8C5-ECC9F3942E4B}">
                          <a14:imgProps xmlns:a14="http://schemas.microsoft.com/office/drawing/2010/main">
                            <a14:imgLayer r:embed="rId18">
                              <a14:imgEffect>
                                <a14:backgroundRemoval t="0" b="97500" l="0" r="100000">
                                  <a14:foregroundMark x1="55556" y1="46250" x2="57081" y2="47708"/>
                                  <a14:foregroundMark x1="77778" y1="46250" x2="77778" y2="46250"/>
                                  <a14:foregroundMark x1="77778" y1="46250" x2="77778" y2="46250"/>
                                  <a14:foregroundMark x1="78431" y1="64792" x2="78431" y2="64792"/>
                                  <a14:foregroundMark x1="60566" y1="62083" x2="60566" y2="62083"/>
                                  <a14:foregroundMark x1="40741" y1="63333" x2="40741" y2="63333"/>
                                  <a14:foregroundMark x1="20697" y1="62708" x2="20697" y2="62708"/>
                                  <a14:foregroundMark x1="21351" y1="81875" x2="21351" y2="81875"/>
                                  <a14:foregroundMark x1="42048" y1="82500" x2="42048" y2="82500"/>
                                  <a14:foregroundMark x1="61438" y1="81875" x2="61438" y2="81875"/>
                                  <a14:foregroundMark x1="78431" y1="79792" x2="78431" y2="79792"/>
                                  <a14:foregroundMark x1="80610" y1="81042" x2="80610" y2="81042"/>
                                  <a14:foregroundMark x1="80610" y1="84583" x2="80610" y2="84583"/>
                                  <a14:foregroundMark x1="25708" y1="7500" x2="25708" y2="7500"/>
                                  <a14:foregroundMark x1="74074" y1="12917" x2="74074" y2="12917"/>
                                </a14:backgroundRemoval>
                              </a14:imgEffect>
                            </a14:imgLayer>
                          </a14:imgProps>
                        </a:ex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16994382" y="563264"/>
                      <a:ext cx="318812" cy="288000"/>
                    </a:xfrm>
                    <a:prstGeom prst="rect">
                      <a:avLst/>
                    </a:prstGeom>
                  </xdr:spPr>
                </xdr:pic>
              </xdr:grpSp>
            </xdr:grpSp>
          </xdr:grpSp>
        </xdr:grpSp>
        <xdr:cxnSp macro="">
          <xdr:nvCxnSpPr>
            <xdr:cNvPr id="158" name="Connecteur droit 157"/>
            <xdr:cNvCxnSpPr/>
          </xdr:nvCxnSpPr>
          <xdr:spPr>
            <a:xfrm>
              <a:off x="2198843" y="7235532"/>
              <a:ext cx="5497200" cy="0"/>
            </a:xfrm>
            <a:prstGeom prst="line">
              <a:avLst/>
            </a:prstGeom>
            <a:ln w="12700">
              <a:solidFill>
                <a:schemeClr val="bg2">
                  <a:lumMod val="7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52" name="Groupe 151"/>
          <xdr:cNvGrpSpPr/>
        </xdr:nvGrpSpPr>
        <xdr:grpSpPr>
          <a:xfrm>
            <a:off x="16280078" y="1388791"/>
            <a:ext cx="1548000" cy="260395"/>
            <a:chOff x="16257984" y="1073105"/>
            <a:chExt cx="1455273" cy="260395"/>
          </a:xfrm>
        </xdr:grpSpPr>
        <xdr:sp macro="" textlink="Traitement!B8">
          <xdr:nvSpPr>
            <xdr:cNvPr id="153" name="Rectangle 152"/>
            <xdr:cNvSpPr/>
          </xdr:nvSpPr>
          <xdr:spPr>
            <a:xfrm>
              <a:off x="16257984" y="1073105"/>
              <a:ext cx="631341" cy="252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C02B6154-9E14-41AC-B469-7B1D7C94DF5F}" type="TxLink">
                <a:rPr lang="en-US" sz="13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marL="0" indent="0" algn="l"/>
                <a:t>févr-26</a:t>
              </a:fld>
              <a:endParaRPr lang="fr-FR" sz="13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endParaRPr>
            </a:p>
          </xdr:txBody>
        </xdr:sp>
        <xdr:sp macro="" textlink="">
          <xdr:nvSpPr>
            <xdr:cNvPr id="160" name="Rectangle 159"/>
            <xdr:cNvSpPr/>
          </xdr:nvSpPr>
          <xdr:spPr>
            <a:xfrm>
              <a:off x="16950546" y="1073105"/>
              <a:ext cx="70149" cy="26039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ctr"/>
              <a:r>
                <a:rPr lang="en-US" sz="13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t>:</a:t>
              </a:r>
            </a:p>
          </xdr:txBody>
        </xdr:sp>
        <xdr:sp macro="" textlink="Traitement!J8">
          <xdr:nvSpPr>
            <xdr:cNvPr id="161" name="Rectangle 160"/>
            <xdr:cNvSpPr/>
          </xdr:nvSpPr>
          <xdr:spPr>
            <a:xfrm>
              <a:off x="17081916" y="1073105"/>
              <a:ext cx="631341" cy="26039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fld id="{19F185A1-6CAC-4006-B9A7-5B357F08FEFF}" type="TxLink">
                <a:rPr lang="en-US" sz="1300" b="1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marL="0" indent="0" algn="l"/>
                <a:t>78</a:t>
              </a:fld>
              <a:endParaRPr lang="fr-FR" sz="13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1394753</xdr:colOff>
      <xdr:row>7</xdr:row>
      <xdr:rowOff>194039</xdr:rowOff>
    </xdr:from>
    <xdr:to>
      <xdr:col>9</xdr:col>
      <xdr:colOff>839666</xdr:colOff>
      <xdr:row>8</xdr:row>
      <xdr:rowOff>202290</xdr:rowOff>
    </xdr:to>
    <xdr:sp macro="[0]!annulerCreance" textlink="">
      <xdr:nvSpPr>
        <xdr:cNvPr id="2" name="Rectangle à coins arrondis 1"/>
        <xdr:cNvSpPr/>
      </xdr:nvSpPr>
      <xdr:spPr>
        <a:xfrm>
          <a:off x="13110503" y="2003789"/>
          <a:ext cx="1036949" cy="253180"/>
        </a:xfrm>
        <a:prstGeom prst="roundRect">
          <a:avLst/>
        </a:prstGeom>
        <a:ln w="28575">
          <a:solidFill>
            <a:schemeClr val="bg1">
              <a:lumMod val="8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Annuler</a:t>
          </a:r>
        </a:p>
      </xdr:txBody>
    </xdr:sp>
    <xdr:clientData/>
  </xdr:twoCellAnchor>
  <xdr:twoCellAnchor>
    <xdr:from>
      <xdr:col>8</xdr:col>
      <xdr:colOff>1409859</xdr:colOff>
      <xdr:row>9</xdr:row>
      <xdr:rowOff>147600</xdr:rowOff>
    </xdr:from>
    <xdr:to>
      <xdr:col>9</xdr:col>
      <xdr:colOff>854772</xdr:colOff>
      <xdr:row>10</xdr:row>
      <xdr:rowOff>154671</xdr:rowOff>
    </xdr:to>
    <xdr:sp macro="[0]!ajoutCreance" textlink="">
      <xdr:nvSpPr>
        <xdr:cNvPr id="3" name="Rectangle à coins arrondis 2"/>
        <xdr:cNvSpPr/>
      </xdr:nvSpPr>
      <xdr:spPr>
        <a:xfrm>
          <a:off x="13125609" y="2460814"/>
          <a:ext cx="1036949" cy="252000"/>
        </a:xfrm>
        <a:prstGeom prst="roundRect">
          <a:avLst/>
        </a:prstGeom>
        <a:solidFill>
          <a:srgbClr val="3333CC"/>
        </a:solidFill>
        <a:ln w="28575"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 b="1">
              <a:solidFill>
                <a:schemeClr val="bg1"/>
              </a:solidFill>
              <a:latin typeface="+mn-lt"/>
              <a:ea typeface="+mn-ea"/>
              <a:cs typeface="+mn-cs"/>
            </a:rPr>
            <a:t>Aujouter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21</xdr:col>
      <xdr:colOff>122464</xdr:colOff>
      <xdr:row>2</xdr:row>
      <xdr:rowOff>40822</xdr:rowOff>
    </xdr:to>
    <xdr:cxnSp macro="">
      <xdr:nvCxnSpPr>
        <xdr:cNvPr id="5" name="Connecteur droit 4"/>
        <xdr:cNvCxnSpPr/>
      </xdr:nvCxnSpPr>
      <xdr:spPr>
        <a:xfrm>
          <a:off x="0" y="603250"/>
          <a:ext cx="24681089" cy="40822"/>
        </a:xfrm>
        <a:prstGeom prst="line">
          <a:avLst/>
        </a:prstGeom>
        <a:ln w="19050"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1034143</xdr:colOff>
      <xdr:row>0</xdr:row>
      <xdr:rowOff>142877</xdr:rowOff>
    </xdr:from>
    <xdr:to>
      <xdr:col>5</xdr:col>
      <xdr:colOff>653144</xdr:colOff>
      <xdr:row>1</xdr:row>
      <xdr:rowOff>68670</xdr:rowOff>
    </xdr:to>
    <xdr:sp macro="" textlink="">
      <xdr:nvSpPr>
        <xdr:cNvPr id="23" name="Rectangle à coins arrondis 22"/>
        <xdr:cNvSpPr/>
      </xdr:nvSpPr>
      <xdr:spPr>
        <a:xfrm>
          <a:off x="5238750" y="142877"/>
          <a:ext cx="1428751" cy="320400"/>
        </a:xfrm>
        <a:prstGeom prst="roundRect">
          <a:avLst/>
        </a:prstGeom>
        <a:solidFill>
          <a:srgbClr val="3333CC">
            <a:alpha val="80000"/>
          </a:srgb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122462</xdr:colOff>
      <xdr:row>0</xdr:row>
      <xdr:rowOff>0</xdr:rowOff>
    </xdr:from>
    <xdr:to>
      <xdr:col>8</xdr:col>
      <xdr:colOff>1510391</xdr:colOff>
      <xdr:row>2</xdr:row>
      <xdr:rowOff>1040</xdr:rowOff>
    </xdr:to>
    <xdr:grpSp>
      <xdr:nvGrpSpPr>
        <xdr:cNvPr id="13" name="Groupe 12"/>
        <xdr:cNvGrpSpPr/>
      </xdr:nvGrpSpPr>
      <xdr:grpSpPr>
        <a:xfrm>
          <a:off x="367391" y="0"/>
          <a:ext cx="12858750" cy="599754"/>
          <a:chOff x="367393" y="27214"/>
          <a:chExt cx="12858750" cy="653143"/>
        </a:xfrm>
      </xdr:grpSpPr>
      <xdr:pic>
        <xdr:nvPicPr>
          <xdr:cNvPr id="7" name="Image 6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361" t="26061" r="21171" b="27879"/>
          <a:stretch/>
        </xdr:blipFill>
        <xdr:spPr>
          <a:xfrm>
            <a:off x="367393" y="27214"/>
            <a:ext cx="1578428" cy="653143"/>
          </a:xfrm>
          <a:prstGeom prst="rect">
            <a:avLst/>
          </a:prstGeom>
        </xdr:spPr>
      </xdr:pic>
      <xdr:sp macro="[0]!Dashboard" textlink="">
        <xdr:nvSpPr>
          <xdr:cNvPr id="8" name="Rectangle 7"/>
          <xdr:cNvSpPr/>
        </xdr:nvSpPr>
        <xdr:spPr>
          <a:xfrm>
            <a:off x="2871107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Tableau de Bord</a:t>
            </a:r>
          </a:p>
        </xdr:txBody>
      </xdr:sp>
      <xdr:sp macro="[0]!Créances" textlink="">
        <xdr:nvSpPr>
          <xdr:cNvPr id="9" name="Rectangle 8"/>
          <xdr:cNvSpPr/>
        </xdr:nvSpPr>
        <xdr:spPr>
          <a:xfrm>
            <a:off x="4993141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chemeClr val="bg1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Créances</a:t>
            </a:r>
          </a:p>
        </xdr:txBody>
      </xdr:sp>
      <xdr:sp macro="[0]!Règlements" textlink="">
        <xdr:nvSpPr>
          <xdr:cNvPr id="10" name="Rectangle 9"/>
          <xdr:cNvSpPr/>
        </xdr:nvSpPr>
        <xdr:spPr>
          <a:xfrm>
            <a:off x="7115175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Règlements</a:t>
            </a:r>
          </a:p>
        </xdr:txBody>
      </xdr:sp>
      <xdr:sp macro="[0]!Relances" textlink="">
        <xdr:nvSpPr>
          <xdr:cNvPr id="11" name="Rectangle 10"/>
          <xdr:cNvSpPr/>
        </xdr:nvSpPr>
        <xdr:spPr>
          <a:xfrm>
            <a:off x="9237209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Relances</a:t>
            </a:r>
          </a:p>
        </xdr:txBody>
      </xdr:sp>
      <xdr:sp macro="[0]!Paramètres" textlink="">
        <xdr:nvSpPr>
          <xdr:cNvPr id="12" name="Rectangle 11"/>
          <xdr:cNvSpPr/>
        </xdr:nvSpPr>
        <xdr:spPr>
          <a:xfrm>
            <a:off x="11359244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Paramètres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1047750</xdr:colOff>
      <xdr:row>8</xdr:row>
      <xdr:rowOff>166824</xdr:rowOff>
    </xdr:from>
    <xdr:to>
      <xdr:col>7</xdr:col>
      <xdr:colOff>1875749</xdr:colOff>
      <xdr:row>9</xdr:row>
      <xdr:rowOff>160289</xdr:rowOff>
    </xdr:to>
    <xdr:sp macro="[0]!annulerReglement" textlink="">
      <xdr:nvSpPr>
        <xdr:cNvPr id="2" name="Rectangle à coins arrondis 1"/>
        <xdr:cNvSpPr/>
      </xdr:nvSpPr>
      <xdr:spPr>
        <a:xfrm>
          <a:off x="11770179" y="2221503"/>
          <a:ext cx="827999" cy="252000"/>
        </a:xfrm>
        <a:prstGeom prst="roundRect">
          <a:avLst/>
        </a:prstGeom>
        <a:ln w="28575">
          <a:solidFill>
            <a:schemeClr val="bg1">
              <a:lumMod val="8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chemeClr val="tx1"/>
              </a:solidFill>
            </a:rPr>
            <a:t>Annuler</a:t>
          </a:r>
        </a:p>
      </xdr:txBody>
    </xdr:sp>
    <xdr:clientData/>
  </xdr:twoCellAnchor>
  <xdr:twoCellAnchor>
    <xdr:from>
      <xdr:col>7</xdr:col>
      <xdr:colOff>1074967</xdr:colOff>
      <xdr:row>10</xdr:row>
      <xdr:rowOff>38742</xdr:rowOff>
    </xdr:from>
    <xdr:to>
      <xdr:col>7</xdr:col>
      <xdr:colOff>1902966</xdr:colOff>
      <xdr:row>11</xdr:row>
      <xdr:rowOff>32206</xdr:rowOff>
    </xdr:to>
    <xdr:sp macro="[0]!ajoutReglement" textlink="">
      <xdr:nvSpPr>
        <xdr:cNvPr id="3" name="Rectangle à coins arrondis 2"/>
        <xdr:cNvSpPr/>
      </xdr:nvSpPr>
      <xdr:spPr>
        <a:xfrm>
          <a:off x="11797396" y="2610492"/>
          <a:ext cx="827999" cy="252000"/>
        </a:xfrm>
        <a:prstGeom prst="roundRect">
          <a:avLst/>
        </a:prstGeom>
        <a:solidFill>
          <a:srgbClr val="3333CC"/>
        </a:solidFill>
        <a:ln w="28575">
          <a:solidFill>
            <a:schemeClr val="bg1">
              <a:lumMod val="8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100" b="1">
              <a:solidFill>
                <a:schemeClr val="bg1"/>
              </a:solidFill>
              <a:latin typeface="+mn-lt"/>
              <a:ea typeface="+mn-ea"/>
              <a:cs typeface="+mn-cs"/>
            </a:rPr>
            <a:t>Aujouter</a:t>
          </a:r>
        </a:p>
      </xdr:txBody>
    </xdr:sp>
    <xdr:clientData/>
  </xdr:twoCellAnchor>
  <xdr:twoCellAnchor>
    <xdr:from>
      <xdr:col>0</xdr:col>
      <xdr:colOff>0</xdr:colOff>
      <xdr:row>2</xdr:row>
      <xdr:rowOff>1</xdr:rowOff>
    </xdr:from>
    <xdr:to>
      <xdr:col>27</xdr:col>
      <xdr:colOff>666750</xdr:colOff>
      <xdr:row>2</xdr:row>
      <xdr:rowOff>54430</xdr:rowOff>
    </xdr:to>
    <xdr:cxnSp macro="">
      <xdr:nvCxnSpPr>
        <xdr:cNvPr id="13" name="Connecteur droit 12"/>
        <xdr:cNvCxnSpPr/>
      </xdr:nvCxnSpPr>
      <xdr:spPr>
        <a:xfrm>
          <a:off x="0" y="721180"/>
          <a:ext cx="29064857" cy="54429"/>
        </a:xfrm>
        <a:prstGeom prst="line">
          <a:avLst/>
        </a:prstGeom>
        <a:ln w="19050"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108856</xdr:colOff>
      <xdr:row>0</xdr:row>
      <xdr:rowOff>0</xdr:rowOff>
    </xdr:from>
    <xdr:to>
      <xdr:col>7</xdr:col>
      <xdr:colOff>721177</xdr:colOff>
      <xdr:row>1</xdr:row>
      <xdr:rowOff>176892</xdr:rowOff>
    </xdr:to>
    <xdr:grpSp>
      <xdr:nvGrpSpPr>
        <xdr:cNvPr id="4" name="Groupe 3"/>
        <xdr:cNvGrpSpPr/>
      </xdr:nvGrpSpPr>
      <xdr:grpSpPr>
        <a:xfrm>
          <a:off x="353785" y="0"/>
          <a:ext cx="13784035" cy="571499"/>
          <a:chOff x="353785" y="0"/>
          <a:chExt cx="12858750" cy="571499"/>
        </a:xfrm>
      </xdr:grpSpPr>
      <xdr:sp macro="" textlink="">
        <xdr:nvSpPr>
          <xdr:cNvPr id="21" name="Rectangle à coins arrondis 20"/>
          <xdr:cNvSpPr/>
        </xdr:nvSpPr>
        <xdr:spPr>
          <a:xfrm>
            <a:off x="7320643" y="149678"/>
            <a:ext cx="1429200" cy="347614"/>
          </a:xfrm>
          <a:prstGeom prst="roundRect">
            <a:avLst/>
          </a:prstGeom>
          <a:solidFill>
            <a:srgbClr val="3333CC">
              <a:alpha val="80000"/>
            </a:srgbClr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>
              <a:solidFill>
                <a:schemeClr val="bg1"/>
              </a:solidFill>
            </a:endParaRPr>
          </a:p>
        </xdr:txBody>
      </xdr:sp>
      <xdr:grpSp>
        <xdr:nvGrpSpPr>
          <xdr:cNvPr id="14" name="Groupe 13"/>
          <xdr:cNvGrpSpPr/>
        </xdr:nvGrpSpPr>
        <xdr:grpSpPr>
          <a:xfrm>
            <a:off x="353785" y="0"/>
            <a:ext cx="12858750" cy="571499"/>
            <a:chOff x="367393" y="27214"/>
            <a:chExt cx="12858750" cy="653143"/>
          </a:xfrm>
        </xdr:grpSpPr>
        <xdr:pic>
          <xdr:nvPicPr>
            <xdr:cNvPr id="15" name="Image 14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10361" t="26061" r="21171" b="27879"/>
            <a:stretch/>
          </xdr:blipFill>
          <xdr:spPr>
            <a:xfrm>
              <a:off x="367393" y="27214"/>
              <a:ext cx="1578428" cy="653143"/>
            </a:xfrm>
            <a:prstGeom prst="rect">
              <a:avLst/>
            </a:prstGeom>
          </xdr:spPr>
        </xdr:pic>
        <xdr:sp macro="[0]!Dashboard" textlink="">
          <xdr:nvSpPr>
            <xdr:cNvPr id="16" name="Rectangle 15"/>
            <xdr:cNvSpPr/>
          </xdr:nvSpPr>
          <xdr:spPr>
            <a:xfrm>
              <a:off x="2871107" y="186417"/>
              <a:ext cx="1866899" cy="31704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800" b="0">
                  <a:solidFill>
                    <a:srgbClr val="777A87"/>
                  </a:solidFill>
                  <a:latin typeface="Berlin Sans FB" panose="020E0602020502020306" pitchFamily="34" charset="0"/>
                  <a:ea typeface="Cambria Math" panose="02040503050406030204" pitchFamily="18" charset="0"/>
                </a:rPr>
                <a:t>Tableau de Bord</a:t>
              </a:r>
            </a:p>
          </xdr:txBody>
        </xdr:sp>
        <xdr:sp macro="[0]!Créances" textlink="">
          <xdr:nvSpPr>
            <xdr:cNvPr id="17" name="Rectangle 16"/>
            <xdr:cNvSpPr/>
          </xdr:nvSpPr>
          <xdr:spPr>
            <a:xfrm>
              <a:off x="4993141" y="186417"/>
              <a:ext cx="1866899" cy="31704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800" b="0">
                  <a:solidFill>
                    <a:srgbClr val="777A87"/>
                  </a:solidFill>
                  <a:latin typeface="Berlin Sans FB" panose="020E0602020502020306" pitchFamily="34" charset="0"/>
                  <a:ea typeface="Cambria Math" panose="02040503050406030204" pitchFamily="18" charset="0"/>
                  <a:cs typeface="+mn-cs"/>
                </a:rPr>
                <a:t>Créances</a:t>
              </a:r>
            </a:p>
          </xdr:txBody>
        </xdr:sp>
        <xdr:sp macro="[0]!Règlements" textlink="">
          <xdr:nvSpPr>
            <xdr:cNvPr id="18" name="Rectangle 17"/>
            <xdr:cNvSpPr/>
          </xdr:nvSpPr>
          <xdr:spPr>
            <a:xfrm>
              <a:off x="7115175" y="186417"/>
              <a:ext cx="1866899" cy="31704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800" b="0">
                  <a:solidFill>
                    <a:schemeClr val="bg1"/>
                  </a:solidFill>
                  <a:latin typeface="Berlin Sans FB" panose="020E0602020502020306" pitchFamily="34" charset="0"/>
                  <a:ea typeface="Cambria Math" panose="02040503050406030204" pitchFamily="18" charset="0"/>
                </a:rPr>
                <a:t>Règlements</a:t>
              </a:r>
            </a:p>
          </xdr:txBody>
        </xdr:sp>
        <xdr:sp macro="[0]!Relances" textlink="">
          <xdr:nvSpPr>
            <xdr:cNvPr id="19" name="Rectangle 18"/>
            <xdr:cNvSpPr/>
          </xdr:nvSpPr>
          <xdr:spPr>
            <a:xfrm>
              <a:off x="9237209" y="186417"/>
              <a:ext cx="1866899" cy="31704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800" b="0">
                  <a:solidFill>
                    <a:srgbClr val="777A87"/>
                  </a:solidFill>
                  <a:latin typeface="Berlin Sans FB" panose="020E0602020502020306" pitchFamily="34" charset="0"/>
                  <a:ea typeface="Cambria Math" panose="02040503050406030204" pitchFamily="18" charset="0"/>
                </a:rPr>
                <a:t>Relances</a:t>
              </a:r>
            </a:p>
          </xdr:txBody>
        </xdr:sp>
        <xdr:sp macro="[0]!Paramètres" textlink="">
          <xdr:nvSpPr>
            <xdr:cNvPr id="20" name="Rectangle 19"/>
            <xdr:cNvSpPr/>
          </xdr:nvSpPr>
          <xdr:spPr>
            <a:xfrm>
              <a:off x="11359244" y="186417"/>
              <a:ext cx="1866899" cy="31704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800" b="0">
                  <a:solidFill>
                    <a:srgbClr val="777A87"/>
                  </a:solidFill>
                  <a:latin typeface="Berlin Sans FB" panose="020E0602020502020306" pitchFamily="34" charset="0"/>
                  <a:ea typeface="Cambria Math" panose="02040503050406030204" pitchFamily="18" charset="0"/>
                </a:rPr>
                <a:t>Paramètres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166633</xdr:colOff>
      <xdr:row>0</xdr:row>
      <xdr:rowOff>163286</xdr:rowOff>
    </xdr:from>
    <xdr:to>
      <xdr:col>11</xdr:col>
      <xdr:colOff>161480</xdr:colOff>
      <xdr:row>1</xdr:row>
      <xdr:rowOff>61865</xdr:rowOff>
    </xdr:to>
    <xdr:sp macro="" textlink="">
      <xdr:nvSpPr>
        <xdr:cNvPr id="16" name="Rectangle à coins arrondis 15"/>
        <xdr:cNvSpPr/>
      </xdr:nvSpPr>
      <xdr:spPr>
        <a:xfrm>
          <a:off x="11566072" y="163286"/>
          <a:ext cx="1429200" cy="320400"/>
        </a:xfrm>
        <a:prstGeom prst="roundRect">
          <a:avLst/>
        </a:prstGeom>
        <a:solidFill>
          <a:srgbClr val="3333CC">
            <a:alpha val="80000"/>
          </a:srgb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27214</xdr:colOff>
      <xdr:row>2</xdr:row>
      <xdr:rowOff>13607</xdr:rowOff>
    </xdr:from>
    <xdr:to>
      <xdr:col>31</xdr:col>
      <xdr:colOff>299357</xdr:colOff>
      <xdr:row>2</xdr:row>
      <xdr:rowOff>68036</xdr:rowOff>
    </xdr:to>
    <xdr:cxnSp macro="">
      <xdr:nvCxnSpPr>
        <xdr:cNvPr id="10" name="Connecteur droit 9"/>
        <xdr:cNvCxnSpPr/>
      </xdr:nvCxnSpPr>
      <xdr:spPr>
        <a:xfrm>
          <a:off x="27214" y="734786"/>
          <a:ext cx="29064857" cy="54429"/>
        </a:xfrm>
        <a:prstGeom prst="line">
          <a:avLst/>
        </a:prstGeom>
        <a:ln w="19050"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108858</xdr:colOff>
      <xdr:row>0</xdr:row>
      <xdr:rowOff>0</xdr:rowOff>
    </xdr:from>
    <xdr:to>
      <xdr:col>11</xdr:col>
      <xdr:colOff>378745</xdr:colOff>
      <xdr:row>1</xdr:row>
      <xdr:rowOff>112939</xdr:rowOff>
    </xdr:to>
    <xdr:grpSp>
      <xdr:nvGrpSpPr>
        <xdr:cNvPr id="11" name="Groupe 10"/>
        <xdr:cNvGrpSpPr/>
      </xdr:nvGrpSpPr>
      <xdr:grpSpPr>
        <a:xfrm>
          <a:off x="353787" y="0"/>
          <a:ext cx="12829279" cy="507546"/>
          <a:chOff x="367393" y="27214"/>
          <a:chExt cx="12858750" cy="653143"/>
        </a:xfrm>
      </xdr:grpSpPr>
      <xdr:pic>
        <xdr:nvPicPr>
          <xdr:cNvPr id="12" name="Image 11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361" t="26061" r="21171" b="27879"/>
          <a:stretch/>
        </xdr:blipFill>
        <xdr:spPr>
          <a:xfrm>
            <a:off x="367393" y="27214"/>
            <a:ext cx="1578428" cy="653143"/>
          </a:xfrm>
          <a:prstGeom prst="rect">
            <a:avLst/>
          </a:prstGeom>
        </xdr:spPr>
      </xdr:pic>
      <xdr:sp macro="[0]!Dashboard" textlink="">
        <xdr:nvSpPr>
          <xdr:cNvPr id="13" name="Rectangle 12"/>
          <xdr:cNvSpPr/>
        </xdr:nvSpPr>
        <xdr:spPr>
          <a:xfrm>
            <a:off x="2871107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Tableau de Bord</a:t>
            </a:r>
          </a:p>
        </xdr:txBody>
      </xdr:sp>
      <xdr:sp macro="[0]!Créances" textlink="">
        <xdr:nvSpPr>
          <xdr:cNvPr id="14" name="Rectangle 13"/>
          <xdr:cNvSpPr/>
        </xdr:nvSpPr>
        <xdr:spPr>
          <a:xfrm>
            <a:off x="4993141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  <a:cs typeface="+mn-cs"/>
              </a:rPr>
              <a:t>Créances</a:t>
            </a:r>
          </a:p>
        </xdr:txBody>
      </xdr:sp>
      <xdr:sp macro="[0]!Règlements" textlink="">
        <xdr:nvSpPr>
          <xdr:cNvPr id="15" name="Rectangle 14"/>
          <xdr:cNvSpPr/>
        </xdr:nvSpPr>
        <xdr:spPr>
          <a:xfrm>
            <a:off x="7115175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Règlements</a:t>
            </a:r>
          </a:p>
        </xdr:txBody>
      </xdr:sp>
      <xdr:sp macro="[0]!Relances" textlink="">
        <xdr:nvSpPr>
          <xdr:cNvPr id="24" name="Rectangle 23"/>
          <xdr:cNvSpPr/>
        </xdr:nvSpPr>
        <xdr:spPr>
          <a:xfrm>
            <a:off x="9237209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Relances</a:t>
            </a:r>
          </a:p>
        </xdr:txBody>
      </xdr:sp>
      <xdr:sp macro="[0]!Paramètres" textlink="">
        <xdr:nvSpPr>
          <xdr:cNvPr id="25" name="Rectangle 24"/>
          <xdr:cNvSpPr/>
        </xdr:nvSpPr>
        <xdr:spPr>
          <a:xfrm>
            <a:off x="11359244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chemeClr val="bg1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Paramètres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624929</xdr:colOff>
      <xdr:row>0</xdr:row>
      <xdr:rowOff>149678</xdr:rowOff>
    </xdr:from>
    <xdr:to>
      <xdr:col>8</xdr:col>
      <xdr:colOff>357968</xdr:colOff>
      <xdr:row>1</xdr:row>
      <xdr:rowOff>75471</xdr:rowOff>
    </xdr:to>
    <xdr:sp macro="" textlink="">
      <xdr:nvSpPr>
        <xdr:cNvPr id="17" name="Rectangle à coins arrondis 16"/>
        <xdr:cNvSpPr/>
      </xdr:nvSpPr>
      <xdr:spPr>
        <a:xfrm>
          <a:off x="9456965" y="149678"/>
          <a:ext cx="1429200" cy="320400"/>
        </a:xfrm>
        <a:prstGeom prst="roundRect">
          <a:avLst/>
        </a:prstGeom>
        <a:solidFill>
          <a:srgbClr val="3333CC">
            <a:alpha val="80000"/>
          </a:srgb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231321</xdr:rowOff>
    </xdr:from>
    <xdr:to>
      <xdr:col>31</xdr:col>
      <xdr:colOff>340178</xdr:colOff>
      <xdr:row>2</xdr:row>
      <xdr:rowOff>40821</xdr:rowOff>
    </xdr:to>
    <xdr:cxnSp macro="">
      <xdr:nvCxnSpPr>
        <xdr:cNvPr id="9" name="Connecteur droit 8"/>
        <xdr:cNvCxnSpPr/>
      </xdr:nvCxnSpPr>
      <xdr:spPr>
        <a:xfrm>
          <a:off x="0" y="721178"/>
          <a:ext cx="29064857" cy="54429"/>
        </a:xfrm>
        <a:prstGeom prst="line">
          <a:avLst/>
        </a:prstGeom>
        <a:ln w="19050">
          <a:solidFill>
            <a:schemeClr val="bg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136071</xdr:colOff>
      <xdr:row>0</xdr:row>
      <xdr:rowOff>0</xdr:rowOff>
    </xdr:from>
    <xdr:to>
      <xdr:col>9</xdr:col>
      <xdr:colOff>1146732</xdr:colOff>
      <xdr:row>1</xdr:row>
      <xdr:rowOff>149678</xdr:rowOff>
    </xdr:to>
    <xdr:grpSp>
      <xdr:nvGrpSpPr>
        <xdr:cNvPr id="10" name="Groupe 9"/>
        <xdr:cNvGrpSpPr/>
      </xdr:nvGrpSpPr>
      <xdr:grpSpPr>
        <a:xfrm>
          <a:off x="381000" y="0"/>
          <a:ext cx="12876089" cy="544285"/>
          <a:chOff x="367393" y="27214"/>
          <a:chExt cx="12858750" cy="653143"/>
        </a:xfrm>
      </xdr:grpSpPr>
      <xdr:pic>
        <xdr:nvPicPr>
          <xdr:cNvPr id="11" name="Image 10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361" t="26061" r="21171" b="27879"/>
          <a:stretch/>
        </xdr:blipFill>
        <xdr:spPr>
          <a:xfrm>
            <a:off x="367393" y="27214"/>
            <a:ext cx="1578428" cy="653143"/>
          </a:xfrm>
          <a:prstGeom prst="rect">
            <a:avLst/>
          </a:prstGeom>
        </xdr:spPr>
      </xdr:pic>
      <xdr:sp macro="[0]!Dashboard" textlink="">
        <xdr:nvSpPr>
          <xdr:cNvPr id="12" name="Rectangle 11"/>
          <xdr:cNvSpPr/>
        </xdr:nvSpPr>
        <xdr:spPr>
          <a:xfrm>
            <a:off x="2871107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Tableau de Bord</a:t>
            </a:r>
          </a:p>
        </xdr:txBody>
      </xdr:sp>
      <xdr:sp macro="[0]!Créances" textlink="">
        <xdr:nvSpPr>
          <xdr:cNvPr id="13" name="Rectangle 12"/>
          <xdr:cNvSpPr/>
        </xdr:nvSpPr>
        <xdr:spPr>
          <a:xfrm>
            <a:off x="4993141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  <a:cs typeface="+mn-cs"/>
              </a:rPr>
              <a:t>Créances</a:t>
            </a:r>
          </a:p>
        </xdr:txBody>
      </xdr:sp>
      <xdr:sp macro="[0]!Règlements" textlink="">
        <xdr:nvSpPr>
          <xdr:cNvPr id="14" name="Rectangle 13"/>
          <xdr:cNvSpPr/>
        </xdr:nvSpPr>
        <xdr:spPr>
          <a:xfrm>
            <a:off x="7115175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Règlements</a:t>
            </a:r>
          </a:p>
        </xdr:txBody>
      </xdr:sp>
      <xdr:sp macro="[0]!Relances" textlink="">
        <xdr:nvSpPr>
          <xdr:cNvPr id="15" name="Rectangle 14"/>
          <xdr:cNvSpPr/>
        </xdr:nvSpPr>
        <xdr:spPr>
          <a:xfrm>
            <a:off x="9237209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chemeClr val="bg1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Relances</a:t>
            </a:r>
          </a:p>
        </xdr:txBody>
      </xdr:sp>
      <xdr:sp macro="[0]!Paramètres" textlink="">
        <xdr:nvSpPr>
          <xdr:cNvPr id="16" name="Rectangle 15"/>
          <xdr:cNvSpPr/>
        </xdr:nvSpPr>
        <xdr:spPr>
          <a:xfrm>
            <a:off x="11359244" y="186417"/>
            <a:ext cx="1866899" cy="3170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800" b="0">
                <a:solidFill>
                  <a:srgbClr val="777A87"/>
                </a:solidFill>
                <a:latin typeface="Berlin Sans FB" panose="020E0602020502020306" pitchFamily="34" charset="0"/>
                <a:ea typeface="Cambria Math" panose="02040503050406030204" pitchFamily="18" charset="0"/>
              </a:rPr>
              <a:t>Paramètres</a:t>
            </a:r>
          </a:p>
        </xdr:txBody>
      </xdr:sp>
    </xdr:grpSp>
    <xdr:clientData/>
  </xdr:twoCellAnchor>
  <xdr:twoCellAnchor>
    <xdr:from>
      <xdr:col>9</xdr:col>
      <xdr:colOff>612321</xdr:colOff>
      <xdr:row>4</xdr:row>
      <xdr:rowOff>38099</xdr:rowOff>
    </xdr:from>
    <xdr:to>
      <xdr:col>10</xdr:col>
      <xdr:colOff>2667001</xdr:colOff>
      <xdr:row>5</xdr:row>
      <xdr:rowOff>46349</xdr:rowOff>
    </xdr:to>
    <xdr:grpSp>
      <xdr:nvGrpSpPr>
        <xdr:cNvPr id="2" name="Groupe 1"/>
        <xdr:cNvGrpSpPr/>
      </xdr:nvGrpSpPr>
      <xdr:grpSpPr>
        <a:xfrm>
          <a:off x="12722678" y="1126670"/>
          <a:ext cx="4041323" cy="253179"/>
          <a:chOff x="12749893" y="1072242"/>
          <a:chExt cx="5140246" cy="253179"/>
        </a:xfrm>
      </xdr:grpSpPr>
      <xdr:sp macro="[0]!listeRelances1" textlink="">
        <xdr:nvSpPr>
          <xdr:cNvPr id="18" name="Rectangle à coins arrondis 17"/>
          <xdr:cNvSpPr/>
        </xdr:nvSpPr>
        <xdr:spPr>
          <a:xfrm>
            <a:off x="12749893" y="1072242"/>
            <a:ext cx="1036949" cy="253179"/>
          </a:xfrm>
          <a:prstGeom prst="roundRect">
            <a:avLst/>
          </a:prstGeom>
          <a:solidFill>
            <a:srgbClr val="3333CC"/>
          </a:solidFill>
          <a:ln w="28575"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Relance</a:t>
            </a:r>
            <a:r>
              <a:rPr lang="fr-FR" sz="11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1</a:t>
            </a:r>
            <a:endParaRPr lang="fr-FR" sz="11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[0]!listeRelances2" textlink="">
        <xdr:nvSpPr>
          <xdr:cNvPr id="19" name="Rectangle à coins arrondis 18"/>
          <xdr:cNvSpPr/>
        </xdr:nvSpPr>
        <xdr:spPr>
          <a:xfrm>
            <a:off x="14117865" y="1072242"/>
            <a:ext cx="1036949" cy="253179"/>
          </a:xfrm>
          <a:prstGeom prst="roundRect">
            <a:avLst/>
          </a:prstGeom>
          <a:solidFill>
            <a:srgbClr val="3333CC"/>
          </a:solidFill>
          <a:ln w="28575"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Relance</a:t>
            </a:r>
            <a:r>
              <a:rPr lang="fr-FR" sz="11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2</a:t>
            </a:r>
            <a:endParaRPr lang="fr-FR" sz="11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[0]!listeRelances3" textlink="">
        <xdr:nvSpPr>
          <xdr:cNvPr id="20" name="Rectangle à coins arrondis 19"/>
          <xdr:cNvSpPr/>
        </xdr:nvSpPr>
        <xdr:spPr>
          <a:xfrm>
            <a:off x="15481303" y="1072242"/>
            <a:ext cx="1036949" cy="253179"/>
          </a:xfrm>
          <a:prstGeom prst="roundRect">
            <a:avLst/>
          </a:prstGeom>
          <a:solidFill>
            <a:srgbClr val="3333CC"/>
          </a:solidFill>
          <a:ln w="28575"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Relance</a:t>
            </a:r>
            <a:r>
              <a:rPr lang="fr-FR" sz="11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 3</a:t>
            </a:r>
            <a:endParaRPr lang="fr-FR" sz="1100" b="1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xdr:sp macro="[0]!EffectuerRelance" textlink="">
        <xdr:nvSpPr>
          <xdr:cNvPr id="21" name="Rectangle à coins arrondis 20"/>
          <xdr:cNvSpPr/>
        </xdr:nvSpPr>
        <xdr:spPr>
          <a:xfrm>
            <a:off x="16851747" y="1072242"/>
            <a:ext cx="1038392" cy="253179"/>
          </a:xfrm>
          <a:prstGeom prst="roundRect">
            <a:avLst/>
          </a:prstGeom>
          <a:solidFill>
            <a:srgbClr val="2CDDC7"/>
          </a:solidFill>
          <a:ln w="28575"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fr-FR" sz="11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Effectuée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ISSE GSM" refreshedDate="46089.634640972225" createdVersion="5" refreshedVersion="5" minRefreshableVersion="3" recordCount="25">
  <cacheSource type="worksheet">
    <worksheetSource name="listeCreances"/>
  </cacheSource>
  <cacheFields count="15">
    <cacheField name="N° Facture" numFmtId="0">
      <sharedItems containsBlank="1" count="31">
        <m/>
        <s v="F-069"/>
        <s v="F-067"/>
        <s v="F-065"/>
        <s v="F-062"/>
        <s v="F-056"/>
        <s v="F-053"/>
        <s v="F-041"/>
        <s v="F-036"/>
        <s v="F-034"/>
        <s v="F-027"/>
        <s v="F-026"/>
        <s v="F-025"/>
        <s v="F-024"/>
        <s v="F-023"/>
        <s v="F-022"/>
        <s v="F-020"/>
        <s v="F-019"/>
        <s v="F-018"/>
        <s v="F-017"/>
        <s v="F-016"/>
        <s v="F-015"/>
        <s v="F-014"/>
        <s v="F-013"/>
        <s v="F-012"/>
        <s v="Formule1" f="1"/>
        <s v="F-71" u="1"/>
        <s v="Formule4" f="1"/>
        <s v="F-054" u="1"/>
        <s v="Formule3" f="1"/>
        <s v="Formule2" f="1"/>
      </sharedItems>
    </cacheField>
    <cacheField name="Date d'émission" numFmtId="14">
      <sharedItems containsNonDate="0" containsDate="1" containsString="0" containsBlank="1" minDate="2025-09-10T00:00:00" maxDate="2026-03-08T00:00:00" count="25">
        <m/>
        <d v="2026-03-07T00:00:00"/>
        <d v="2026-03-05T00:00:00"/>
        <d v="2026-02-14T00:00:00"/>
        <d v="2026-01-05T00:00:00"/>
        <d v="2026-01-02T00:00:00"/>
        <d v="2026-01-01T00:00:00"/>
        <d v="2025-12-25T00:00:00"/>
        <d v="2025-12-15T00:00:00"/>
        <d v="2025-11-19T00:00:00"/>
        <d v="2025-11-16T00:00:00"/>
        <d v="2025-11-01T00:00:00"/>
        <d v="2025-10-30T00:00:00"/>
        <d v="2025-10-26T00:00:00"/>
        <d v="2025-10-24T00:00:00"/>
        <d v="2025-10-21T00:00:00"/>
        <d v="2025-10-13T00:00:00"/>
        <d v="2025-10-10T00:00:00"/>
        <d v="2025-10-08T00:00:00"/>
        <d v="2025-10-01T00:00:00"/>
        <d v="2025-09-26T00:00:00"/>
        <d v="2025-09-12T00:00:00"/>
        <d v="2025-09-10T00:00:00"/>
        <d v="2026-01-04T00:00:00" u="1"/>
        <d v="2025-12-28T00:00:00" u="1"/>
      </sharedItems>
    </cacheField>
    <cacheField name="client" numFmtId="0">
      <sharedItems containsBlank="1" count="18">
        <m/>
        <s v="Boubacar Sangaré"/>
        <s v="Amadou Coulibaly"/>
        <s v="Moussa Traoré"/>
        <s v="Yacouba Konaté"/>
        <s v="Ibrahim Diarra"/>
        <s v="Kadidia Konaté"/>
        <s v="Aïssata Traoré"/>
        <s v="Oumar Keita"/>
        <s v="Sekou Diallo"/>
        <s v="Mariam Keita"/>
        <s v="Salif Sidibé"/>
        <s v="Mamadou Cissé"/>
        <s v="Abdoulaye Touré"/>
        <s v="Modibo Sissoko"/>
        <s v="Mahamadou Maïga"/>
        <s v="Lassana Camara"/>
        <s v="Hawa Touré"/>
      </sharedItems>
    </cacheField>
    <cacheField name="Délais de règlement" numFmtId="0">
      <sharedItems containsString="0" containsBlank="1" containsNumber="1" containsInteger="1" minValue="10" maxValue="90"/>
    </cacheField>
    <cacheField name="Montant facturé" numFmtId="0">
      <sharedItems containsString="0" containsBlank="1" containsNumber="1" containsInteger="1" minValue="25000" maxValue="250000"/>
    </cacheField>
    <cacheField name="Montant encaissé" numFmtId="0">
      <sharedItems containsString="0" containsBlank="1" containsNumber="1" containsInteger="1" minValue="0" maxValue="250000"/>
    </cacheField>
    <cacheField name="Solde" numFmtId="0">
      <sharedItems containsString="0" containsBlank="1" containsNumber="1" containsInteger="1" minValue="0" maxValue="120000"/>
    </cacheField>
    <cacheField name="Échéance" numFmtId="14">
      <sharedItems containsNonDate="0" containsDate="1" containsString="0" containsBlank="1" minDate="2025-10-06T00:00:00" maxDate="2026-06-06T00:00:00"/>
    </cacheField>
    <cacheField name="Retard" numFmtId="0">
      <sharedItems containsBlank="1" containsMixedTypes="1" containsNumber="1" containsInteger="1" minValue="-89" maxValue="97"/>
    </cacheField>
    <cacheField name="Statut" numFmtId="164">
      <sharedItems containsBlank="1" count="6">
        <m/>
        <s v="Non échue"/>
        <s v="Payée"/>
        <s v="Échue"/>
        <s v="En retard" u="1"/>
        <s v="En cours" u="1"/>
      </sharedItems>
    </cacheField>
    <cacheField name="Action de récouvrement" numFmtId="164">
      <sharedItems containsBlank="1" count="7">
        <m/>
        <s v=""/>
        <s v="Relance 2"/>
        <s v="Relance 3"/>
        <s v="Mise en demeure"/>
        <s v="Contentieux"/>
        <s v="Relance 1" u="1"/>
      </sharedItems>
    </cacheField>
    <cacheField name="Remarque sur le client" numFmtId="164">
      <sharedItems containsNonDate="0" containsString="0" containsBlank="1"/>
    </cacheField>
    <cacheField name="Relance 1" numFmtId="14">
      <sharedItems containsNonDate="0" containsDate="1" containsString="0" containsBlank="1" minDate="2025-10-22T00:00:00" maxDate="2026-01-05T00:00:00"/>
    </cacheField>
    <cacheField name="Relance 2" numFmtId="14">
      <sharedItems containsNonDate="0" containsDate="1" containsString="0" containsBlank="1" minDate="2025-11-07T00:00:00" maxDate="2025-12-19T00:00:00"/>
    </cacheField>
    <cacheField name="Relance 3" numFmtId="14">
      <sharedItems containsNonDate="0" containsDate="1" containsString="0" containsBlank="1" minDate="2025-11-23T00:00:00" maxDate="2025-12-13T00:00:00"/>
    </cacheField>
  </cacheFields>
  <calculatedItems count="4">
    <calculatedItem>
      <pivotArea cacheIndex="1" outline="0" fieldPosition="0">
        <references count="1">
          <reference field="0" count="1">
            <x v="25"/>
          </reference>
        </references>
      </pivotArea>
    </calculatedItem>
    <calculatedItem>
      <pivotArea cacheIndex="1" outline="0" fieldPosition="0">
        <references count="1">
          <reference field="0" count="1">
            <x v="30"/>
          </reference>
        </references>
      </pivotArea>
    </calculatedItem>
    <calculatedItem>
      <pivotArea cacheIndex="1" outline="0" fieldPosition="0">
        <references count="1">
          <reference field="0" count="1">
            <x v="29"/>
          </reference>
        </references>
      </pivotArea>
    </calculatedItem>
    <calculatedItem>
      <pivotArea cacheIndex="1" outline="0" fieldPosition="0">
        <references count="1">
          <reference field="0" count="1">
            <x v="27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x v="0"/>
    <m/>
    <m/>
    <m/>
    <m/>
    <m/>
    <m/>
    <x v="0"/>
    <x v="0"/>
    <m/>
    <m/>
    <m/>
    <m/>
  </r>
  <r>
    <x v="1"/>
    <x v="1"/>
    <x v="1"/>
    <n v="90"/>
    <n v="40000"/>
    <n v="0"/>
    <n v="40000"/>
    <d v="2026-06-05T00:00:00"/>
    <n v="-89"/>
    <x v="1"/>
    <x v="1"/>
    <m/>
    <m/>
    <m/>
    <m/>
  </r>
  <r>
    <x v="2"/>
    <x v="1"/>
    <x v="2"/>
    <n v="60"/>
    <n v="50000"/>
    <n v="0"/>
    <n v="50000"/>
    <d v="2026-05-06T00:00:00"/>
    <n v="-59"/>
    <x v="1"/>
    <x v="1"/>
    <m/>
    <m/>
    <m/>
    <m/>
  </r>
  <r>
    <x v="3"/>
    <x v="2"/>
    <x v="3"/>
    <n v="30"/>
    <n v="60000"/>
    <n v="0"/>
    <n v="60000"/>
    <d v="2026-04-04T00:00:00"/>
    <n v="-27"/>
    <x v="1"/>
    <x v="1"/>
    <m/>
    <m/>
    <m/>
    <m/>
  </r>
  <r>
    <x v="4"/>
    <x v="3"/>
    <x v="4"/>
    <n v="25"/>
    <n v="245000"/>
    <n v="125000"/>
    <n v="120000"/>
    <d v="2026-03-11T00:00:00"/>
    <n v="-3"/>
    <x v="1"/>
    <x v="1"/>
    <m/>
    <m/>
    <m/>
    <m/>
  </r>
  <r>
    <x v="5"/>
    <x v="4"/>
    <x v="5"/>
    <n v="30"/>
    <n v="25000"/>
    <n v="25000"/>
    <n v="0"/>
    <d v="2026-02-04T00:00:00"/>
    <s v=""/>
    <x v="2"/>
    <x v="1"/>
    <m/>
    <m/>
    <m/>
    <m/>
  </r>
  <r>
    <x v="6"/>
    <x v="5"/>
    <x v="6"/>
    <n v="15"/>
    <n v="40000"/>
    <n v="40000"/>
    <n v="0"/>
    <d v="2026-01-17T00:00:00"/>
    <s v=""/>
    <x v="2"/>
    <x v="1"/>
    <m/>
    <m/>
    <m/>
    <m/>
  </r>
  <r>
    <x v="7"/>
    <x v="6"/>
    <x v="7"/>
    <n v="30"/>
    <n v="97000"/>
    <n v="0"/>
    <n v="97000"/>
    <d v="2026-01-31T00:00:00"/>
    <n v="36"/>
    <x v="3"/>
    <x v="2"/>
    <m/>
    <m/>
    <m/>
    <m/>
  </r>
  <r>
    <x v="8"/>
    <x v="7"/>
    <x v="8"/>
    <n v="30"/>
    <n v="75000"/>
    <n v="50000"/>
    <n v="25000"/>
    <d v="2026-01-24T00:00:00"/>
    <n v="43"/>
    <x v="3"/>
    <x v="2"/>
    <m/>
    <m/>
    <m/>
    <m/>
  </r>
  <r>
    <x v="9"/>
    <x v="8"/>
    <x v="9"/>
    <n v="30"/>
    <n v="75000"/>
    <n v="0"/>
    <n v="75000"/>
    <d v="2026-01-14T00:00:00"/>
    <n v="53"/>
    <x v="3"/>
    <x v="3"/>
    <m/>
    <m/>
    <m/>
    <m/>
  </r>
  <r>
    <x v="10"/>
    <x v="9"/>
    <x v="10"/>
    <n v="30"/>
    <n v="90000"/>
    <n v="0"/>
    <n v="90000"/>
    <d v="2025-12-19T00:00:00"/>
    <n v="79"/>
    <x v="3"/>
    <x v="4"/>
    <m/>
    <m/>
    <m/>
    <m/>
  </r>
  <r>
    <x v="11"/>
    <x v="10"/>
    <x v="11"/>
    <n v="15"/>
    <n v="26000"/>
    <n v="26000"/>
    <n v="0"/>
    <d v="2025-12-01T00:00:00"/>
    <s v=""/>
    <x v="2"/>
    <x v="1"/>
    <m/>
    <m/>
    <m/>
    <m/>
  </r>
  <r>
    <x v="12"/>
    <x v="11"/>
    <x v="1"/>
    <n v="30"/>
    <n v="60000"/>
    <n v="35000"/>
    <n v="25000"/>
    <d v="2025-12-01T00:00:00"/>
    <n v="97"/>
    <x v="3"/>
    <x v="5"/>
    <m/>
    <d v="2026-01-04T00:00:00"/>
    <m/>
    <m/>
  </r>
  <r>
    <x v="13"/>
    <x v="12"/>
    <x v="7"/>
    <n v="15"/>
    <n v="60000"/>
    <n v="60000"/>
    <n v="0"/>
    <d v="2025-11-14T00:00:00"/>
    <s v=""/>
    <x v="2"/>
    <x v="1"/>
    <m/>
    <d v="2025-12-03T00:00:00"/>
    <d v="2025-12-18T00:00:00"/>
    <m/>
  </r>
  <r>
    <x v="14"/>
    <x v="11"/>
    <x v="8"/>
    <n v="30"/>
    <n v="79000"/>
    <n v="79000"/>
    <n v="0"/>
    <d v="2025-12-01T00:00:00"/>
    <s v=""/>
    <x v="2"/>
    <x v="1"/>
    <m/>
    <m/>
    <m/>
    <m/>
  </r>
  <r>
    <x v="15"/>
    <x v="13"/>
    <x v="2"/>
    <n v="15"/>
    <n v="95000"/>
    <n v="95000"/>
    <n v="0"/>
    <d v="2025-11-10T00:00:00"/>
    <s v=""/>
    <x v="2"/>
    <x v="1"/>
    <m/>
    <m/>
    <m/>
    <m/>
  </r>
  <r>
    <x v="16"/>
    <x v="14"/>
    <x v="4"/>
    <n v="15"/>
    <n v="150000"/>
    <n v="150000"/>
    <n v="0"/>
    <d v="2025-11-08T00:00:00"/>
    <s v=""/>
    <x v="2"/>
    <x v="1"/>
    <m/>
    <m/>
    <m/>
    <m/>
  </r>
  <r>
    <x v="17"/>
    <x v="15"/>
    <x v="9"/>
    <n v="15"/>
    <n v="95000"/>
    <n v="95000"/>
    <n v="0"/>
    <d v="2025-11-05T00:00:00"/>
    <s v=""/>
    <x v="2"/>
    <x v="1"/>
    <m/>
    <m/>
    <m/>
    <m/>
  </r>
  <r>
    <x v="18"/>
    <x v="16"/>
    <x v="12"/>
    <n v="30"/>
    <n v="50000"/>
    <n v="50000"/>
    <n v="0"/>
    <d v="2025-11-12T00:00:00"/>
    <s v=""/>
    <x v="2"/>
    <x v="1"/>
    <m/>
    <m/>
    <m/>
    <m/>
  </r>
  <r>
    <x v="19"/>
    <x v="17"/>
    <x v="13"/>
    <n v="15"/>
    <n v="65000"/>
    <n v="65000"/>
    <n v="0"/>
    <d v="2025-10-25T00:00:00"/>
    <s v=""/>
    <x v="2"/>
    <x v="1"/>
    <m/>
    <d v="2025-11-10T00:00:00"/>
    <d v="2025-11-26T00:00:00"/>
    <d v="2025-12-12T00:00:00"/>
  </r>
  <r>
    <x v="20"/>
    <x v="18"/>
    <x v="14"/>
    <n v="30"/>
    <n v="250000"/>
    <n v="250000"/>
    <n v="0"/>
    <d v="2025-11-07T00:00:00"/>
    <s v=""/>
    <x v="2"/>
    <x v="1"/>
    <m/>
    <m/>
    <m/>
    <m/>
  </r>
  <r>
    <x v="21"/>
    <x v="19"/>
    <x v="15"/>
    <n v="30"/>
    <n v="45000"/>
    <n v="45000"/>
    <n v="0"/>
    <d v="2025-10-31T00:00:00"/>
    <s v=""/>
    <x v="2"/>
    <x v="1"/>
    <m/>
    <m/>
    <m/>
    <m/>
  </r>
  <r>
    <x v="22"/>
    <x v="20"/>
    <x v="16"/>
    <n v="10"/>
    <n v="125000"/>
    <n v="125000"/>
    <n v="0"/>
    <d v="2025-10-06T00:00:00"/>
    <s v=""/>
    <x v="2"/>
    <x v="1"/>
    <m/>
    <d v="2025-10-22T00:00:00"/>
    <d v="2025-11-07T00:00:00"/>
    <d v="2025-11-23T00:00:00"/>
  </r>
  <r>
    <x v="23"/>
    <x v="21"/>
    <x v="6"/>
    <n v="30"/>
    <n v="30000"/>
    <n v="30000"/>
    <n v="0"/>
    <d v="2025-10-12T00:00:00"/>
    <s v=""/>
    <x v="2"/>
    <x v="1"/>
    <m/>
    <m/>
    <m/>
    <m/>
  </r>
  <r>
    <x v="24"/>
    <x v="22"/>
    <x v="17"/>
    <n v="30"/>
    <n v="100000"/>
    <n v="100000"/>
    <n v="0"/>
    <d v="2025-10-10T00:00:00"/>
    <s v=""/>
    <x v="2"/>
    <x v="1"/>
    <m/>
    <d v="2025-10-26T00:00:00"/>
    <d v="2025-11-11T00:00:00"/>
    <d v="2025-11-27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5 premiers clients par solde impayé" cacheId="8" applyNumberFormats="0" applyBorderFormats="0" applyFontFormats="0" applyPatternFormats="0" applyAlignmentFormats="0" applyWidthHeightFormats="1" dataCaption="Valeurs" updatedVersion="5" minRefreshableVersion="5" useAutoFormatting="1" rowGrandTotals="0" colGrandTotals="0" itemPrintTitles="1" createdVersion="5" indent="0" outline="1" outlineData="1" multipleFieldFilters="0" chartFormat="5">
  <location ref="AV3:AW8" firstHeaderRow="1" firstDataRow="1" firstDataCol="1"/>
  <pivotFields count="15">
    <pivotField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f="1" x="25"/>
        <item f="1" x="30"/>
        <item f="1" x="29"/>
        <item f="1" x="27"/>
        <item x="0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axis="axisRow" showAll="0" measureFilter="1" sortType="ascending">
      <items count="19">
        <item x="13"/>
        <item x="7"/>
        <item x="2"/>
        <item x="1"/>
        <item x="17"/>
        <item x="6"/>
        <item x="16"/>
        <item x="15"/>
        <item x="12"/>
        <item x="10"/>
        <item x="14"/>
        <item x="8"/>
        <item x="11"/>
        <item x="9"/>
        <item x="4"/>
        <item x="0"/>
        <item x="5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 v="3"/>
    </i>
    <i>
      <x v="13"/>
    </i>
    <i>
      <x v="9"/>
    </i>
    <i>
      <x v="1"/>
    </i>
    <i>
      <x v="14"/>
    </i>
  </rowItems>
  <colItems count="1">
    <i/>
  </colItems>
  <dataFields count="1">
    <dataField name="Somme de Solde" fld="6" baseField="2" baseItem="0" numFmtId="167"/>
  </dataFields>
  <formats count="1">
    <format dxfId="0">
      <pivotArea outline="0" collapsedLevelsAreSubtotals="1" fieldPosition="0"/>
    </format>
  </formats>
  <chartFormats count="6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Montant non échue  (à venir)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U5:U6" firstHeaderRow="1" firstDataRow="1" firstDataCol="0" rowPageCount="1" colPageCount="1"/>
  <pivotFields count="15">
    <pivotField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7">
        <item h="1" m="1" x="5"/>
        <item m="1" x="4"/>
        <item h="1" x="2"/>
        <item h="1" x="0"/>
        <item x="1"/>
        <item h="1" x="3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9" hier="-1"/>
  </pageFields>
  <dataFields count="1">
    <dataField name="Somme de Solde" fld="6" baseField="0" baseItem="0" numFmtId="167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omme et nbre des fac de relancé 2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BK5:BL6" firstHeaderRow="0" firstDataRow="1" firstDataCol="0" rowPageCount="1" colPageCount="1"/>
  <pivotFields count="15">
    <pivotField dataField="1"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f="1" x="25"/>
        <item f="1" x="30"/>
        <item f="1" x="29"/>
        <item f="1" x="27"/>
        <item x="0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8">
        <item h="1" x="1"/>
        <item h="1" x="5"/>
        <item h="1" x="4"/>
        <item h="1" m="1" x="6"/>
        <item x="2"/>
        <item h="1" x="3"/>
        <item h="1" x="0"/>
        <item t="default"/>
      </items>
    </pivotField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Solde" fld="6" baseField="0" baseItem="1" numFmtId="167"/>
    <dataField name="Nombre de N° Facture" fld="0" subtotal="count" baseField="0" baseItem="0"/>
  </dataFields>
  <formats count="1"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5 plus anciennes facture échue" cacheId="8" applyNumberFormats="0" applyBorderFormats="0" applyFontFormats="0" applyPatternFormats="0" applyAlignmentFormats="0" applyWidthHeightFormats="1" dataCaption="Valeurs" updatedVersion="5" minRefreshableVersion="5" useAutoFormatting="1" rowGrandTotals="0" itemPrintTitles="1" createdVersion="5" indent="0" outline="1" outlineData="1" multipleFieldFilters="0">
  <location ref="AN3:AO8" firstHeaderRow="1" firstDataRow="1" firstDataCol="1"/>
  <pivotFields count="15">
    <pivotField axis="axisRow" showAll="0" measureFilter="1" sortType="descending">
      <items count="32">
        <item x="24"/>
        <item x="23"/>
        <item x="22"/>
        <item x="21"/>
        <item x="20"/>
        <item f="1" x="25"/>
        <item x="19"/>
        <item x="18"/>
        <item f="1" x="30"/>
        <item x="17"/>
        <item x="16"/>
        <item x="15"/>
        <item f="1" x="29"/>
        <item x="14"/>
        <item x="13"/>
        <item f="1" x="27"/>
        <item x="12"/>
        <item x="11"/>
        <item x="10"/>
        <item x="9"/>
        <item x="8"/>
        <item x="7"/>
        <item x="0"/>
        <item x="6"/>
        <item m="1" x="28"/>
        <item x="5"/>
        <item x="4"/>
        <item x="3"/>
        <item x="1"/>
        <item x="2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sortType="ascending"/>
    <pivotField dataField="1"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16"/>
    </i>
    <i>
      <x v="18"/>
    </i>
    <i>
      <x v="19"/>
    </i>
    <i>
      <x v="20"/>
    </i>
    <i>
      <x v="21"/>
    </i>
  </rowItems>
  <colItems count="1">
    <i/>
  </colItems>
  <dataFields count="1">
    <dataField name="Somme de Retard" fld="8" baseField="0" baseItem="0"/>
  </dataFields>
  <pivotTableStyleInfo name="PivotStyleLight16" showRowHeaders="1" showColHeaders="1" showRowStripes="0" showColStripes="0" showLastColumn="1"/>
  <filters count="1">
    <filter fld="0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Nbre de fac  non échue (à venir)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X5:X6" firstHeaderRow="1" firstDataRow="1" firstDataCol="0" rowPageCount="1" colPageCount="1"/>
  <pivotFields count="15">
    <pivotField dataField="1"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m="1" x="5"/>
        <item m="1" x="4"/>
        <item h="1" x="2"/>
        <item h="1" x="0"/>
        <item x="1"/>
        <item h="1" x="3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9" hier="-1"/>
  </pageFields>
  <dataFields count="1">
    <dataField name="Nombre de N° Factur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Nbre des fac échue (en retard)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AD5:AD6" firstHeaderRow="1" firstDataRow="1" firstDataCol="0" rowPageCount="1" colPageCount="1"/>
  <pivotFields count="15">
    <pivotField dataField="1"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m="1" x="5"/>
        <item m="1" x="4"/>
        <item h="1" x="2"/>
        <item x="0"/>
        <item h="1" x="1"/>
        <item x="3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9" hier="-1"/>
  </pageFields>
  <dataFields count="1">
    <dataField name="Nombre de N° Factur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somme et nbre des fac de relancé 1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BE5:BF6" firstHeaderRow="0" firstDataRow="1" firstDataCol="0" rowPageCount="1" colPageCount="1"/>
  <pivotFields count="15">
    <pivotField dataField="1"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f="1" x="25"/>
        <item f="1" x="30"/>
        <item f="1" x="29"/>
        <item f="1" x="27"/>
        <item x="0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8">
        <item h="1" x="1"/>
        <item h="1" x="5"/>
        <item h="1" x="4"/>
        <item m="1" x="6"/>
        <item h="1" x="2"/>
        <item h="1" x="3"/>
        <item h="1" x="0"/>
        <item t="default"/>
      </items>
    </pivotField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Solde" fld="6" baseField="0" baseItem="1" numFmtId="167"/>
    <dataField name="Nombre de N° Facture" fld="0" subtotal="count" baseField="0" baseItem="0"/>
  </dataFields>
  <formats count="1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Nbre des fac encaissé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R5:R6" firstHeaderRow="1" firstDataRow="1" firstDataCol="0" rowPageCount="1" colPageCount="1"/>
  <pivotFields count="15">
    <pivotField dataField="1"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m="1" x="5"/>
        <item m="1" x="4"/>
        <item x="2"/>
        <item x="0"/>
        <item h="1" x="1"/>
        <item h="1" x="3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9" hier="-1"/>
  </pageFields>
  <dataFields count="1">
    <dataField name="Nombre de N° Factur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Montant des fac échue (en retard)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AA5:AA6" firstHeaderRow="1" firstDataRow="1" firstDataCol="0" rowPageCount="1" colPageCount="1"/>
  <pivotFields count="15">
    <pivotField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axis="axisPage" showAll="0">
      <items count="7">
        <item m="1" x="5"/>
        <item m="1" x="4"/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9" item="5" hier="-1"/>
  </pageFields>
  <dataFields count="1">
    <dataField name="Somme de Solde" fld="6" baseField="0" baseItem="0" numFmtId="167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Montant encaissé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P3:P4" firstHeaderRow="1" firstDataRow="1" firstDataCol="0"/>
  <pivotFields count="15">
    <pivotField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omme de Montant encaissé" fld="5" baseField="0" baseItem="0" numFmtId="167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somme et nbre des fac de relancé 3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BQ5:BR6" firstHeaderRow="0" firstDataRow="1" firstDataCol="0" rowPageCount="1" colPageCount="1"/>
  <pivotFields count="15">
    <pivotField dataField="1"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f="1" x="25"/>
        <item f="1" x="30"/>
        <item f="1" x="29"/>
        <item f="1" x="27"/>
        <item x="0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multipleItemSelectionAllowed="1" showAll="0">
      <items count="8">
        <item h="1" x="1"/>
        <item h="1" x="5"/>
        <item h="1" x="4"/>
        <item h="1" m="1" x="6"/>
        <item h="1" x="2"/>
        <item x="3"/>
        <item h="1" x="0"/>
        <item t="default"/>
      </items>
    </pivotField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Solde" fld="6" baseField="0" baseItem="1" numFmtId="167"/>
    <dataField name="Nombre de N° Facture" fld="0" subtotal="count" baseField="0" baseItem="0"/>
  </dataFields>
  <formats count="1"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Échue vs Non éhue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 chartFormat="6">
  <location ref="AK3:AL6" firstHeaderRow="1" firstDataRow="1" firstDataCol="1"/>
  <pivotFields count="15">
    <pivotField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axis="axisRow" multipleItemSelectionAllowed="1" showAll="0">
      <items count="7">
        <item x="3"/>
        <item h="1" m="1" x="5"/>
        <item h="1" m="1" x="4"/>
        <item x="1"/>
        <item h="1" x="2"/>
        <item h="1" x="0"/>
        <item t="default"/>
      </items>
    </pivotField>
    <pivotField showAll="0"/>
    <pivotField showAll="0"/>
    <pivotField showAll="0"/>
    <pivotField showAll="0"/>
    <pivotField showAll="0"/>
  </pivotFields>
  <rowFields count="1">
    <field x="9"/>
  </rowFields>
  <rowItems count="3">
    <i>
      <x/>
    </i>
    <i>
      <x v="3"/>
    </i>
    <i t="grand">
      <x/>
    </i>
  </rowItems>
  <colItems count="1">
    <i/>
  </colItems>
  <dataFields count="1">
    <dataField name="Somme de Solde" fld="6" baseField="0" baseItem="0"/>
  </dataFields>
  <formats count="3">
    <format dxfId="9">
      <pivotArea collapsedLevelsAreSubtotals="1" fieldPosition="0">
        <references count="1">
          <reference field="9" count="1">
            <x v="0"/>
          </reference>
        </references>
      </pivotArea>
    </format>
    <format dxfId="8">
      <pivotArea collapsedLevelsAreSubtotals="1" fieldPosition="0">
        <references count="1">
          <reference field="9" count="1">
            <x v="3"/>
          </reference>
        </references>
      </pivotArea>
    </format>
    <format dxfId="7">
      <pivotArea grandRow="1" outline="0" collapsedLevelsAreSubtotals="1" fieldPosition="0"/>
    </format>
  </formats>
  <chartFormats count="2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Taux de recuvrement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AG3:AH4" firstHeaderRow="0" firstDataRow="1" firstDataCol="0"/>
  <pivotFields count="15">
    <pivotField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Montant facturé" fld="4" baseField="0" baseItem="0" numFmtId="167"/>
    <dataField name="Somme de Montant encaissé" fld="5" baseField="0" baseItem="1" numFmtId="167"/>
  </dataFields>
  <formats count="2">
    <format dxfId="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Montant facturé et nbre des fac facturé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L3:M4" firstHeaderRow="0" firstDataRow="1" firstDataCol="0"/>
  <pivotFields count="15">
    <pivotField dataField="1"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0"/>
        <item f="1" x="25"/>
        <item f="1" x="30"/>
        <item f="1" x="29"/>
        <item f="1" x="27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Montant facturé" fld="4" baseField="0" baseItem="0" numFmtId="167"/>
    <dataField name="Nombre de N° Facture" fld="0" subtotal="count" baseField="0" baseItem="0"/>
  </dataFields>
  <formats count="1">
    <format dxfId="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somme et nbre des fac à relancé" cacheId="8" applyNumberFormats="0" applyBorderFormats="0" applyFontFormats="0" applyPatternFormats="0" applyAlignmentFormats="0" applyWidthHeightFormats="1" dataCaption="Valeurs" updatedVersion="5" minRefreshableVersion="5" useAutoFormatting="1" itemPrintTitles="1" createdVersion="5" indent="0" outline="1" outlineData="1" multipleFieldFilters="0">
  <location ref="AY5:AZ6" firstHeaderRow="0" firstDataRow="1" firstDataCol="0" rowPageCount="1" colPageCount="1"/>
  <pivotFields count="15">
    <pivotField showAll="0">
      <items count="32"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f="1" x="25"/>
        <item f="1" x="30"/>
        <item f="1" x="29"/>
        <item f="1" x="27"/>
        <item x="0"/>
        <item x="6"/>
        <item m="1" x="28"/>
        <item x="5"/>
        <item x="4"/>
        <item x="3"/>
        <item x="1"/>
        <item x="2"/>
        <item m="1" x="26"/>
        <item t="default"/>
      </items>
    </pivotField>
    <pivotField showAll="0">
      <items count="26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m="1" x="24"/>
        <item x="6"/>
        <item x="5"/>
        <item m="1" x="23"/>
        <item x="4"/>
        <item x="3"/>
        <item x="2"/>
        <item x="1"/>
        <item x="0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axis="axisPage" multipleItemSelectionAllowed="1" showAll="0">
      <items count="8">
        <item h="1" x="1"/>
        <item h="1" x="5"/>
        <item h="1" x="4"/>
        <item m="1" x="6"/>
        <item x="2"/>
        <item x="3"/>
        <item h="1" x="0"/>
        <item t="default"/>
      </items>
    </pivotField>
    <pivotField showAll="0"/>
    <pivotField showAll="0"/>
    <pivotField showAll="0"/>
    <pivotField showAll="0"/>
  </pivotFields>
  <rowItems count="1">
    <i/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Somme de Solde" fld="6" baseField="0" baseItem="0" numFmtId="167"/>
    <dataField name="Nombre de Montant facturé" fld="4" subtotal="count" baseField="0" baseItem="0"/>
  </dataFields>
  <formats count="1"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listeCreances" displayName="listeCreances" ref="C12:Q37" totalsRowShown="0" headerRowDxfId="61" dataDxfId="59" headerRowBorderDxfId="60" tableBorderDxfId="58" totalsRowBorderDxfId="57">
  <autoFilter ref="C12:Q37"/>
  <tableColumns count="15">
    <tableColumn id="1" name="N° Facture" dataDxfId="56"/>
    <tableColumn id="2" name="Date d'émission" dataDxfId="55"/>
    <tableColumn id="3" name="client" dataDxfId="54"/>
    <tableColumn id="23" name="Délais de règlement" dataDxfId="53"/>
    <tableColumn id="5" name="Montant facturé" dataDxfId="52"/>
    <tableColumn id="24" name="Montant encaissé" dataDxfId="51">
      <calculatedColumnFormula>SUMIF(historiqueReglements[N° Facture],listeCreances[[#This Row],[N° Facture]],historiqueReglements[[Montant encaissé ]])</calculatedColumnFormula>
    </tableColumn>
    <tableColumn id="25" name="Solde" dataDxfId="50">
      <calculatedColumnFormula>listeCreances[Montant facturé]-listeCreances[Montant encaissé]</calculatedColumnFormula>
    </tableColumn>
    <tableColumn id="26" name="Échéance" dataDxfId="49">
      <calculatedColumnFormula>listeCreances[Date d''émission]+listeCreances[Délais de règlement]</calculatedColumnFormula>
    </tableColumn>
    <tableColumn id="4" name="Retard" dataDxfId="48">
      <calculatedColumnFormula>IF(listeCreances[[#This Row],[Solde]]=0,"",TODAY()-listeCreances[[#This Row],[Échéance]])</calculatedColumnFormula>
    </tableColumn>
    <tableColumn id="28" name="Statut" dataDxfId="47">
      <calculatedColumnFormula>IF(listeCreances[Solde]=0,"Payée",IF(listeCreances[Échéance]&gt;TODAY(),"Non échue","Échue"))</calculatedColumnFormula>
    </tableColumn>
    <tableColumn id="29" name="Action de récouvrement" dataDxfId="46">
      <calculatedColumnFormula>IF(listeCreances[[#This Row],[Retard]]="","",IF(listeCreances[[#This Row],[Retard]]&lt;15,"",IF(AND(listeCreances[[#This Row],[Retard]]&gt;15,listeCreances[[#This Row],[Retard]]&lt;30,listeCreances[[#This Row],[Relance 1]]=""),"Relance 1",IF(AND(listeCreances[[#This Row],[Retard]]&gt;30,listeCreances[[#This Row],[Retard]]&lt;45,listeCreances[[#This Row],[Relance 2]]=""),"Relance 2",IF(AND(listeCreances[[#This Row],[Retard]]&gt;45,listeCreances[[#This Row],[Retard]]&lt;60,listeCreances[[#This Row],[Relance 3]]=""),"Relance 3",IF(AND(listeCreances[[#This Row],[Retard]]&gt;60,listeCreances[[#This Row],[Retard]]&lt;90),"Mise en demeure",IF(AND(listeCreances[[#This Row],[Retard]]&gt;90,listeCreances[[#This Row],[Retard]]&lt;1000),"Contentieux","")))))))</calculatedColumnFormula>
    </tableColumn>
    <tableColumn id="30" name="Remarque sur le client" dataDxfId="45"/>
    <tableColumn id="31" name="Relance 1" dataDxfId="44"/>
    <tableColumn id="32" name="Relance 2" dataDxfId="43"/>
    <tableColumn id="33" name="Relance 3" dataDxfId="4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1" name="historiqueReglements" displayName="historiqueReglements" ref="C14:H45" totalsRowShown="0" headerRowDxfId="41" dataDxfId="40">
  <autoFilter ref="C14:H45"/>
  <tableColumns count="6">
    <tableColumn id="1" name="N° Facture" dataDxfId="39"/>
    <tableColumn id="2" name="Client" dataDxfId="38">
      <calculatedColumnFormula>IFERROR(VLOOKUP(D14,listeCreances[],3,FALSE),"")</calculatedColumnFormula>
    </tableColumn>
    <tableColumn id="3" name="Date d'encaissement" dataDxfId="37"/>
    <tableColumn id="4" name="Référence" dataDxfId="36"/>
    <tableColumn id="5" name="Montant encaissé " dataDxfId="35"/>
    <tableColumn id="6" name="Mode de paiement" dataDxfId="3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listeClients" displayName="listeClients" ref="C7:F27" totalsRowShown="0" headerRowDxfId="33" dataDxfId="32">
  <autoFilter ref="C7:F27"/>
  <tableColumns count="4">
    <tableColumn id="1" name="client" dataDxfId="31"/>
    <tableColumn id="2" name="Contact" dataDxfId="30"/>
    <tableColumn id="3" name="Adresse" dataDxfId="29"/>
    <tableColumn id="4" name="Email" dataDxfId="28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2" name="listeRelances" displayName="listeRelances" ref="C7:K8" insertRow="1" totalsRowShown="0" headerRowDxfId="27" dataDxfId="25" headerRowBorderDxfId="26" tableBorderDxfId="24" totalsRowBorderDxfId="23">
  <autoFilter ref="C7:K8"/>
  <tableColumns count="9">
    <tableColumn id="1" name="N°Facture" dataDxfId="22"/>
    <tableColumn id="2" name="Client" dataDxfId="21"/>
    <tableColumn id="3" name="Date d'émission" dataDxfId="20"/>
    <tableColumn id="4" name="Échéance" dataDxfId="19"/>
    <tableColumn id="5" name="Retard (jours)" dataDxfId="18"/>
    <tableColumn id="6" name="Solde" dataDxfId="17"/>
    <tableColumn id="7" name="Relance" dataDxfId="16"/>
    <tableColumn id="8" name="Téléphone" dataDxfId="15"/>
    <tableColumn id="9" name="Email" dataDxfId="1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ChronologieNative_Date_d_émission" sourceName="Date d'émission">
  <pivotTables>
    <pivotTable tabId="14" name="Montant facturé et nbre des fac facturé"/>
    <pivotTable tabId="14" name="5 plus anciennes facture échue"/>
    <pivotTable tabId="14" name="5 premiers clients par solde impayé"/>
    <pivotTable tabId="14" name="Échue vs Non éhue"/>
    <pivotTable tabId="14" name="Montant des fac échue (en retard)"/>
    <pivotTable tabId="14" name="Montant encaissé"/>
    <pivotTable tabId="14" name="Montant non échue  (à venir)"/>
    <pivotTable tabId="14" name="Nbre de fac  non échue (à venir)"/>
    <pivotTable tabId="14" name="Nbre des fac échue (en retard)"/>
    <pivotTable tabId="14" name="Nbre des fac encaissé"/>
    <pivotTable tabId="14" name="somme et nbre des fac à relancé"/>
    <pivotTable tabId="14" name="somme et nbre des fac de relancé 1"/>
    <pivotTable tabId="14" name="somme et nbre des fac de relancé 2"/>
    <pivotTable tabId="14" name="somme et nbre des fac de relancé 3"/>
    <pivotTable tabId="14" name="Taux de recuvrement"/>
  </pivotTables>
  <state minimalRefreshVersion="6" lastRefreshVersion="6" pivotCacheId="1" filterType="unknown">
    <bounds startDate="202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e d'émission" cache="ChronologieNative_Date_d_émission" caption="Mois" showHorizontalScrollbar="0" level="2" selectionLevel="2" scrollPosition="2026-02-01T00:00:00" style="TimeSlicerStyleDark5"/>
  <timeline name="Date d'émission 1" cache="ChronologieNative_Date_d_émission" caption="Années" showHorizontalScrollbar="0" level="0" selectionLevel="0" scrollPosition="2025-01-01T00:00:00" style="TimeSlicerStyleDark5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6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1"/>
  <sheetViews>
    <sheetView showGridLines="0" tabSelected="1" zoomScale="70" zoomScaleNormal="70" workbookViewId="0">
      <selection activeCell="C40" sqref="C40"/>
    </sheetView>
  </sheetViews>
  <sheetFormatPr baseColWidth="10" defaultRowHeight="15" x14ac:dyDescent="0.25"/>
  <cols>
    <col min="1" max="1" width="11.42578125" style="23"/>
    <col min="2" max="2" width="15" style="23" customWidth="1"/>
    <col min="3" max="3" width="13.85546875" style="58" customWidth="1"/>
    <col min="4" max="16384" width="11.42578125" style="58"/>
  </cols>
  <sheetData/>
  <pageMargins left="0.7" right="0.7" top="0.75" bottom="0.75" header="0.3" footer="0.3"/>
  <pageSetup paperSize="9"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R42"/>
  <sheetViews>
    <sheetView showGridLines="0" topLeftCell="H1" zoomScale="70" zoomScaleNormal="70" workbookViewId="0">
      <pane ySplit="13" topLeftCell="A14" activePane="bottomLeft" state="frozen"/>
      <selection pane="bottomLeft" activeCell="G21" sqref="G21"/>
    </sheetView>
  </sheetViews>
  <sheetFormatPr baseColWidth="10" defaultRowHeight="18.75" x14ac:dyDescent="0.3"/>
  <cols>
    <col min="1" max="1" width="3.5703125" style="15" customWidth="1"/>
    <col min="2" max="2" width="5.7109375" style="2" customWidth="1"/>
    <col min="3" max="3" width="25.28515625" style="2" customWidth="1"/>
    <col min="4" max="4" width="28.42578125" style="2" customWidth="1"/>
    <col min="5" max="5" width="27.140625" style="2" customWidth="1"/>
    <col min="6" max="6" width="30.28515625" style="2" customWidth="1"/>
    <col min="7" max="7" width="25.42578125" style="2" customWidth="1"/>
    <col min="8" max="8" width="29.85546875" style="2" customWidth="1"/>
    <col min="9" max="9" width="23.85546875" style="2" customWidth="1"/>
    <col min="10" max="10" width="24.140625" style="2" customWidth="1"/>
    <col min="11" max="11" width="24.140625" style="11" customWidth="1"/>
    <col min="12" max="12" width="24.140625" style="2" customWidth="1"/>
    <col min="13" max="14" width="35.140625" style="2" customWidth="1"/>
    <col min="15" max="15" width="20.85546875" style="2" customWidth="1"/>
    <col min="16" max="16" width="19.7109375" style="2" customWidth="1"/>
    <col min="17" max="17" width="22.28515625" style="2" customWidth="1"/>
    <col min="18" max="18" width="5.5703125" style="2" customWidth="1"/>
    <col min="19" max="16384" width="11.42578125" style="15"/>
  </cols>
  <sheetData>
    <row r="1" spans="2:18" s="2" customFormat="1" ht="30.75" customHeight="1" x14ac:dyDescent="0.3">
      <c r="K1" s="11"/>
    </row>
    <row r="2" spans="2:18" s="2" customFormat="1" ht="15.75" customHeight="1" x14ac:dyDescent="0.3">
      <c r="K2" s="11"/>
    </row>
    <row r="3" spans="2:18" ht="13.5" customHeight="1" x14ac:dyDescent="0.3">
      <c r="B3" s="15"/>
      <c r="C3" s="15"/>
      <c r="D3" s="15"/>
      <c r="E3" s="15"/>
      <c r="F3" s="15"/>
      <c r="G3" s="15"/>
      <c r="H3" s="15"/>
      <c r="I3" s="15"/>
      <c r="J3" s="15"/>
      <c r="K3" s="25"/>
      <c r="L3" s="15"/>
      <c r="M3" s="15"/>
      <c r="N3" s="15"/>
      <c r="O3" s="15"/>
      <c r="P3" s="15"/>
      <c r="Q3" s="15"/>
      <c r="R3" s="15"/>
    </row>
    <row r="4" spans="2:18" ht="13.5" customHeight="1" x14ac:dyDescent="0.3"/>
    <row r="5" spans="2:18" x14ac:dyDescent="0.3">
      <c r="C5" s="6" t="s">
        <v>24</v>
      </c>
      <c r="D5" s="8"/>
      <c r="E5" s="9"/>
    </row>
    <row r="6" spans="2:18" x14ac:dyDescent="0.3">
      <c r="C6" s="8" t="s">
        <v>12</v>
      </c>
      <c r="D6" s="9"/>
      <c r="E6" s="9"/>
    </row>
    <row r="8" spans="2:18" ht="19.5" thickBot="1" x14ac:dyDescent="0.35">
      <c r="C8" s="10" t="s">
        <v>2</v>
      </c>
      <c r="D8" s="12" t="s">
        <v>170</v>
      </c>
      <c r="E8" s="10" t="s">
        <v>10</v>
      </c>
      <c r="F8" s="14">
        <f ca="1">TODAY()</f>
        <v>46254</v>
      </c>
      <c r="G8" s="10" t="s">
        <v>11</v>
      </c>
      <c r="H8" s="13" t="s">
        <v>62</v>
      </c>
    </row>
    <row r="9" spans="2:18" ht="20.25" thickTop="1" thickBot="1" x14ac:dyDescent="0.35">
      <c r="C9" s="10" t="s">
        <v>9</v>
      </c>
      <c r="D9" s="13">
        <v>30</v>
      </c>
      <c r="E9" s="10" t="s">
        <v>3</v>
      </c>
      <c r="F9" s="90">
        <v>45000</v>
      </c>
    </row>
    <row r="10" spans="2:18" ht="19.5" thickTop="1" x14ac:dyDescent="0.3"/>
    <row r="11" spans="2:18" s="39" customFormat="1" x14ac:dyDescent="0.25">
      <c r="B11" s="36"/>
      <c r="C11" s="37" t="s">
        <v>25</v>
      </c>
      <c r="D11" s="36"/>
      <c r="E11" s="36"/>
      <c r="F11" s="36"/>
      <c r="G11" s="36"/>
      <c r="H11" s="36"/>
      <c r="I11" s="36"/>
      <c r="J11" s="36"/>
      <c r="K11" s="38"/>
      <c r="L11" s="36"/>
      <c r="M11" s="36"/>
      <c r="N11" s="36"/>
      <c r="O11" s="36"/>
      <c r="P11" s="36"/>
      <c r="Q11" s="36"/>
      <c r="R11" s="36"/>
    </row>
    <row r="12" spans="2:18" ht="15" customHeight="1" x14ac:dyDescent="0.3">
      <c r="C12" s="43" t="s">
        <v>2</v>
      </c>
      <c r="D12" s="44" t="s">
        <v>10</v>
      </c>
      <c r="E12" s="43" t="s">
        <v>11</v>
      </c>
      <c r="F12" s="43" t="s">
        <v>7</v>
      </c>
      <c r="G12" s="45" t="s">
        <v>3</v>
      </c>
      <c r="H12" s="44" t="s">
        <v>4</v>
      </c>
      <c r="I12" s="46" t="s">
        <v>5</v>
      </c>
      <c r="J12" s="47" t="s">
        <v>6</v>
      </c>
      <c r="K12" s="47" t="s">
        <v>48</v>
      </c>
      <c r="L12" s="46" t="s">
        <v>1</v>
      </c>
      <c r="M12" s="46" t="s">
        <v>8</v>
      </c>
      <c r="N12" s="46" t="s">
        <v>26</v>
      </c>
      <c r="O12" s="46" t="s">
        <v>27</v>
      </c>
      <c r="P12" s="46" t="s">
        <v>28</v>
      </c>
      <c r="Q12" s="46" t="s">
        <v>29</v>
      </c>
    </row>
    <row r="13" spans="2:18" ht="10.5" customHeight="1" x14ac:dyDescent="0.3">
      <c r="C13" s="27"/>
      <c r="D13" s="28"/>
      <c r="E13" s="29"/>
      <c r="F13" s="29"/>
      <c r="G13" s="30"/>
      <c r="H13" s="30"/>
      <c r="I13" s="31"/>
      <c r="J13" s="32"/>
      <c r="K13"/>
      <c r="L13" s="31"/>
      <c r="M13" s="31"/>
      <c r="N13" s="31"/>
      <c r="O13" s="32"/>
      <c r="P13" s="32"/>
      <c r="Q13" s="32"/>
      <c r="R13" s="30"/>
    </row>
    <row r="14" spans="2:18" x14ac:dyDescent="0.3">
      <c r="C14" s="27" t="s">
        <v>166</v>
      </c>
      <c r="D14" s="28">
        <v>46088</v>
      </c>
      <c r="E14" s="29" t="s">
        <v>65</v>
      </c>
      <c r="F14" s="29">
        <v>90</v>
      </c>
      <c r="G14" s="84">
        <v>40000</v>
      </c>
      <c r="H14" s="84">
        <f>SUMIF(historiqueReglements[N° Facture],listeCreances[[#This Row],[N° Facture]],historiqueReglements[[Montant encaissé ]])</f>
        <v>0</v>
      </c>
      <c r="I14" s="84">
        <f>listeCreances[Montant facturé]-listeCreances[Montant encaissé]</f>
        <v>40000</v>
      </c>
      <c r="J14" s="32">
        <f>listeCreances[Date d''émission]+listeCreances[Délais de règlement]</f>
        <v>46178</v>
      </c>
      <c r="K14" s="33">
        <f ca="1">IF(listeCreances[[#This Row],[Solde]]=0,"",TODAY()-listeCreances[[#This Row],[Échéance]])</f>
        <v>76</v>
      </c>
      <c r="L14" s="31" t="str">
        <f ca="1">IF(listeCreances[Solde]=0,"Payée",IF(listeCreances[Échéance]&gt;TODAY(),"Non échue","Échue"))</f>
        <v>Échue</v>
      </c>
      <c r="M14" s="31" t="str">
        <f ca="1">IF(listeCreances[[#This Row],[Retard]]="","",IF(listeCreances[[#This Row],[Retard]]&lt;15,"",IF(AND(listeCreances[[#This Row],[Retard]]&gt;15,listeCreances[[#This Row],[Retard]]&lt;30,listeCreances[[#This Row],[Relance 1]]=""),"Relance 1",IF(AND(listeCreances[[#This Row],[Retard]]&gt;30,listeCreances[[#This Row],[Retard]]&lt;45,listeCreances[[#This Row],[Relance 2]]=""),"Relance 2",IF(AND(listeCreances[[#This Row],[Retard]]&gt;45,listeCreances[[#This Row],[Retard]]&lt;60,listeCreances[[#This Row],[Relance 3]]=""),"Relance 3",IF(AND(listeCreances[[#This Row],[Retard]]&gt;60,listeCreances[[#This Row],[Retard]]&lt;90),"Mise en demeure",IF(AND(listeCreances[[#This Row],[Retard]]&gt;90,listeCreances[[#This Row],[Retard]]&lt;1000),"Contentieux","")))))))</f>
        <v>Mise en demeure</v>
      </c>
      <c r="N14" s="31"/>
      <c r="O14" s="32"/>
      <c r="P14" s="32"/>
      <c r="Q14" s="32"/>
      <c r="R14" s="30"/>
    </row>
    <row r="15" spans="2:18" x14ac:dyDescent="0.3">
      <c r="C15" s="27" t="s">
        <v>165</v>
      </c>
      <c r="D15" s="28">
        <v>46088</v>
      </c>
      <c r="E15" s="29" t="s">
        <v>60</v>
      </c>
      <c r="F15" s="29">
        <v>60</v>
      </c>
      <c r="G15" s="84">
        <v>50000</v>
      </c>
      <c r="H15" s="84">
        <f>SUMIF(historiqueReglements[N° Facture],listeCreances[[#This Row],[N° Facture]],historiqueReglements[[Montant encaissé ]])</f>
        <v>0</v>
      </c>
      <c r="I15" s="84">
        <f>listeCreances[Montant facturé]-listeCreances[Montant encaissé]</f>
        <v>50000</v>
      </c>
      <c r="J15" s="32">
        <f>listeCreances[Date d''émission]+listeCreances[Délais de règlement]</f>
        <v>46148</v>
      </c>
      <c r="K15" s="33">
        <f ca="1">IF(listeCreances[[#This Row],[Solde]]=0,"",TODAY()-listeCreances[[#This Row],[Échéance]])</f>
        <v>106</v>
      </c>
      <c r="L15" s="31" t="str">
        <f ca="1">IF(listeCreances[Solde]=0,"Payée",IF(listeCreances[Échéance]&gt;TODAY(),"Non échue","Échue"))</f>
        <v>Échue</v>
      </c>
      <c r="M15" s="31" t="str">
        <f ca="1">IF(listeCreances[[#This Row],[Retard]]="","",IF(listeCreances[[#This Row],[Retard]]&lt;15,"",IF(AND(listeCreances[[#This Row],[Retard]]&gt;15,listeCreances[[#This Row],[Retard]]&lt;30,listeCreances[[#This Row],[Relance 1]]=""),"Relance 1",IF(AND(listeCreances[[#This Row],[Retard]]&gt;30,listeCreances[[#This Row],[Retard]]&lt;45,listeCreances[[#This Row],[Relance 2]]=""),"Relance 2",IF(AND(listeCreances[[#This Row],[Retard]]&gt;45,listeCreances[[#This Row],[Retard]]&lt;60,listeCreances[[#This Row],[Relance 3]]=""),"Relance 3",IF(AND(listeCreances[[#This Row],[Retard]]&gt;60,listeCreances[[#This Row],[Retard]]&lt;90),"Mise en demeure",IF(AND(listeCreances[[#This Row],[Retard]]&gt;90,listeCreances[[#This Row],[Retard]]&lt;1000),"Contentieux","")))))))</f>
        <v>Contentieux</v>
      </c>
      <c r="N15" s="31"/>
      <c r="O15" s="32"/>
      <c r="P15" s="32"/>
      <c r="Q15" s="32"/>
      <c r="R15" s="30"/>
    </row>
    <row r="16" spans="2:18" x14ac:dyDescent="0.3">
      <c r="C16" s="27" t="s">
        <v>164</v>
      </c>
      <c r="D16" s="28">
        <v>46086</v>
      </c>
      <c r="E16" s="29" t="s">
        <v>57</v>
      </c>
      <c r="F16" s="29">
        <v>30</v>
      </c>
      <c r="G16" s="84">
        <v>60000</v>
      </c>
      <c r="H16" s="84">
        <f>SUMIF(historiqueReglements[N° Facture],listeCreances[[#This Row],[N° Facture]],historiqueReglements[[Montant encaissé ]])</f>
        <v>0</v>
      </c>
      <c r="I16" s="84">
        <f>listeCreances[Montant facturé]-listeCreances[Montant encaissé]</f>
        <v>60000</v>
      </c>
      <c r="J16" s="32">
        <f>listeCreances[Date d''émission]+listeCreances[Délais de règlement]</f>
        <v>46116</v>
      </c>
      <c r="K16" s="33">
        <f ca="1">IF(listeCreances[[#This Row],[Solde]]=0,"",TODAY()-listeCreances[[#This Row],[Échéance]])</f>
        <v>138</v>
      </c>
      <c r="L16" s="31" t="str">
        <f ca="1">IF(listeCreances[Solde]=0,"Payée",IF(listeCreances[Échéance]&gt;TODAY(),"Non échue","Échue"))</f>
        <v>Échue</v>
      </c>
      <c r="M16" s="31" t="str">
        <f ca="1">IF(listeCreances[[#This Row],[Retard]]="","",IF(listeCreances[[#This Row],[Retard]]&lt;15,"",IF(AND(listeCreances[[#This Row],[Retard]]&gt;15,listeCreances[[#This Row],[Retard]]&lt;30,listeCreances[[#This Row],[Relance 1]]=""),"Relance 1",IF(AND(listeCreances[[#This Row],[Retard]]&gt;30,listeCreances[[#This Row],[Retard]]&lt;45,listeCreances[[#This Row],[Relance 2]]=""),"Relance 2",IF(AND(listeCreances[[#This Row],[Retard]]&gt;45,listeCreances[[#This Row],[Retard]]&lt;60,listeCreances[[#This Row],[Relance 3]]=""),"Relance 3",IF(AND(listeCreances[[#This Row],[Retard]]&gt;60,listeCreances[[#This Row],[Retard]]&lt;90),"Mise en demeure",IF(AND(listeCreances[[#This Row],[Retard]]&gt;90,listeCreances[[#This Row],[Retard]]&lt;1000),"Contentieux","")))))))</f>
        <v>Contentieux</v>
      </c>
      <c r="N16" s="31"/>
      <c r="O16" s="32"/>
      <c r="P16" s="32"/>
      <c r="Q16" s="32"/>
      <c r="R16" s="30"/>
    </row>
    <row r="17" spans="3:18" x14ac:dyDescent="0.3">
      <c r="C17" s="27" t="s">
        <v>162</v>
      </c>
      <c r="D17" s="28">
        <v>46067</v>
      </c>
      <c r="E17" s="29" t="s">
        <v>61</v>
      </c>
      <c r="F17" s="29">
        <v>25</v>
      </c>
      <c r="G17" s="84">
        <v>245000</v>
      </c>
      <c r="H17" s="84">
        <f>SUMIF(historiqueReglements[N° Facture],listeCreances[[#This Row],[N° Facture]],historiqueReglements[[Montant encaissé ]])</f>
        <v>125000</v>
      </c>
      <c r="I17" s="84">
        <f>listeCreances[Montant facturé]-listeCreances[Montant encaissé]</f>
        <v>120000</v>
      </c>
      <c r="J17" s="32">
        <f>listeCreances[Date d''émission]+listeCreances[Délais de règlement]</f>
        <v>46092</v>
      </c>
      <c r="K17" s="33">
        <f ca="1">IF(listeCreances[[#This Row],[Solde]]=0,"",TODAY()-listeCreances[[#This Row],[Échéance]])</f>
        <v>162</v>
      </c>
      <c r="L17" s="31" t="str">
        <f ca="1">IF(listeCreances[Solde]=0,"Payée",IF(listeCreances[Échéance]&gt;TODAY(),"Non échue","Échue"))</f>
        <v>Échue</v>
      </c>
      <c r="M17" s="31" t="str">
        <f ca="1">IF(listeCreances[[#This Row],[Retard]]="","",IF(listeCreances[[#This Row],[Retard]]&lt;15,"",IF(AND(listeCreances[[#This Row],[Retard]]&gt;15,listeCreances[[#This Row],[Retard]]&lt;30,listeCreances[[#This Row],[Relance 1]]=""),"Relance 1",IF(AND(listeCreances[[#This Row],[Retard]]&gt;30,listeCreances[[#This Row],[Retard]]&lt;45,listeCreances[[#This Row],[Relance 2]]=""),"Relance 2",IF(AND(listeCreances[[#This Row],[Retard]]&gt;45,listeCreances[[#This Row],[Retard]]&lt;60,listeCreances[[#This Row],[Relance 3]]=""),"Relance 3",IF(AND(listeCreances[[#This Row],[Retard]]&gt;60,listeCreances[[#This Row],[Retard]]&lt;90),"Mise en demeure",IF(AND(listeCreances[[#This Row],[Retard]]&gt;90,listeCreances[[#This Row],[Retard]]&lt;1000),"Contentieux","")))))))</f>
        <v>Contentieux</v>
      </c>
      <c r="N17" s="31"/>
      <c r="O17" s="32"/>
      <c r="P17" s="32"/>
      <c r="Q17" s="32"/>
      <c r="R17" s="30"/>
    </row>
    <row r="18" spans="3:18" x14ac:dyDescent="0.3">
      <c r="C18" s="27" t="s">
        <v>161</v>
      </c>
      <c r="D18" s="28">
        <v>46027</v>
      </c>
      <c r="E18" s="29" t="s">
        <v>58</v>
      </c>
      <c r="F18" s="29">
        <v>30</v>
      </c>
      <c r="G18" s="84">
        <v>25000</v>
      </c>
      <c r="H18" s="84">
        <f>SUMIF(historiqueReglements[N° Facture],listeCreances[[#This Row],[N° Facture]],historiqueReglements[[Montant encaissé ]])</f>
        <v>25000</v>
      </c>
      <c r="I18" s="84">
        <f>listeCreances[Montant facturé]-listeCreances[Montant encaissé]</f>
        <v>0</v>
      </c>
      <c r="J18" s="32">
        <f>listeCreances[Date d''émission]+listeCreances[Délais de règlement]</f>
        <v>46057</v>
      </c>
      <c r="K18" s="33" t="str">
        <f ca="1">IF(listeCreances[[#This Row],[Solde]]=0,"",TODAY()-listeCreances[[#This Row],[Échéance]])</f>
        <v/>
      </c>
      <c r="L18" s="31" t="str">
        <f ca="1">IF(listeCreances[Solde]=0,"Payée",IF(listeCreances[Échéance]&gt;TODAY(),"Non échue","Échue"))</f>
        <v>Payée</v>
      </c>
      <c r="M18" s="31" t="str">
        <f ca="1">IF(listeCreances[[#This Row],[Retard]]="","",IF(listeCreances[[#This Row],[Retard]]&lt;15,"",IF(AND(listeCreances[[#This Row],[Retard]]&gt;15,listeCreances[[#This Row],[Retard]]&lt;30,listeCreances[[#This Row],[Relance 1]]=""),"Relance 1",IF(AND(listeCreances[[#This Row],[Retard]]&gt;30,listeCreances[[#This Row],[Retard]]&lt;45,listeCreances[[#This Row],[Relance 2]]=""),"Relance 2",IF(AND(listeCreances[[#This Row],[Retard]]&gt;45,listeCreances[[#This Row],[Retard]]&lt;60,listeCreances[[#This Row],[Relance 3]]=""),"Relance 3",IF(AND(listeCreances[[#This Row],[Retard]]&gt;60,listeCreances[[#This Row],[Retard]]&lt;90),"Mise en demeure",IF(AND(listeCreances[[#This Row],[Retard]]&gt;90,listeCreances[[#This Row],[Retard]]&lt;1000),"Contentieux","")))))))</f>
        <v/>
      </c>
      <c r="N18" s="31"/>
      <c r="O18" s="32"/>
      <c r="P18" s="32"/>
      <c r="Q18" s="32"/>
      <c r="R18" s="30"/>
    </row>
    <row r="19" spans="3:18" x14ac:dyDescent="0.3">
      <c r="C19" s="27" t="s">
        <v>139</v>
      </c>
      <c r="D19" s="28">
        <v>46024</v>
      </c>
      <c r="E19" s="29" t="s">
        <v>75</v>
      </c>
      <c r="F19" s="29">
        <v>15</v>
      </c>
      <c r="G19" s="84">
        <v>40000</v>
      </c>
      <c r="H19" s="84">
        <f>SUMIF(historiqueReglements[N° Facture],listeCreances[[#This Row],[N° Facture]],historiqueReglements[[Montant encaissé ]])</f>
        <v>40000</v>
      </c>
      <c r="I19" s="84">
        <f>listeCreances[Montant facturé]-listeCreances[Montant encaissé]</f>
        <v>0</v>
      </c>
      <c r="J19" s="32">
        <f>listeCreances[Date d''émission]+listeCreances[Délais de règlement]</f>
        <v>46039</v>
      </c>
      <c r="K19" s="33" t="str">
        <f ca="1">IF(listeCreances[[#This Row],[Solde]]=0,"",TODAY()-listeCreances[[#This Row],[Échéance]])</f>
        <v/>
      </c>
      <c r="L19" s="31" t="str">
        <f ca="1">IF(listeCreances[Solde]=0,"Payée",IF(listeCreances[Échéance]&gt;TODAY(),"Non échue","Échue"))</f>
        <v>Payée</v>
      </c>
      <c r="M19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19" s="31"/>
      <c r="O19" s="32"/>
      <c r="P19" s="32"/>
      <c r="Q19" s="32"/>
      <c r="R19" s="30"/>
    </row>
    <row r="20" spans="3:18" x14ac:dyDescent="0.3">
      <c r="C20" s="27" t="s">
        <v>102</v>
      </c>
      <c r="D20" s="28">
        <v>46023</v>
      </c>
      <c r="E20" s="29" t="s">
        <v>71</v>
      </c>
      <c r="F20" s="29">
        <v>30</v>
      </c>
      <c r="G20" s="84">
        <v>97000</v>
      </c>
      <c r="H20" s="84">
        <f>SUMIF(historiqueReglements[N° Facture],listeCreances[[#This Row],[N° Facture]],historiqueReglements[[Montant encaissé ]])</f>
        <v>0</v>
      </c>
      <c r="I20" s="84">
        <f>listeCreances[Montant facturé]-listeCreances[Montant encaissé]</f>
        <v>97000</v>
      </c>
      <c r="J20" s="32">
        <f>listeCreances[Date d''émission]+listeCreances[Délais de règlement]</f>
        <v>46053</v>
      </c>
      <c r="K20" s="33">
        <f ca="1">IF(listeCreances[[#This Row],[Solde]]=0,"",TODAY()-listeCreances[[#This Row],[Échéance]])</f>
        <v>201</v>
      </c>
      <c r="L20" s="31" t="str">
        <f ca="1">IF(listeCreances[Solde]=0,"Payée",IF(listeCreances[Échéance]&gt;TODAY(),"Non échue","Échue"))</f>
        <v>Échue</v>
      </c>
      <c r="M20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>Contentieux</v>
      </c>
      <c r="N20" s="31"/>
      <c r="O20" s="32"/>
      <c r="P20" s="32"/>
      <c r="Q20" s="32"/>
      <c r="R20" s="30"/>
    </row>
    <row r="21" spans="3:18" x14ac:dyDescent="0.3">
      <c r="C21" s="27" t="s">
        <v>101</v>
      </c>
      <c r="D21" s="28">
        <v>46016</v>
      </c>
      <c r="E21" s="29" t="s">
        <v>59</v>
      </c>
      <c r="F21" s="29">
        <v>30</v>
      </c>
      <c r="G21" s="84">
        <v>75000</v>
      </c>
      <c r="H21" s="84">
        <f>SUMIF(historiqueReglements[N° Facture],listeCreances[[#This Row],[N° Facture]],historiqueReglements[[Montant encaissé ]])</f>
        <v>50000</v>
      </c>
      <c r="I21" s="84">
        <f>listeCreances[Montant facturé]-listeCreances[Montant encaissé]</f>
        <v>25000</v>
      </c>
      <c r="J21" s="32">
        <f>listeCreances[Date d''émission]+listeCreances[Délais de règlement]</f>
        <v>46046</v>
      </c>
      <c r="K21" s="33">
        <f ca="1">IF(listeCreances[[#This Row],[Solde]]=0,"",TODAY()-listeCreances[[#This Row],[Échéance]])</f>
        <v>208</v>
      </c>
      <c r="L21" s="31" t="str">
        <f ca="1">IF(listeCreances[Solde]=0,"Payée",IF(listeCreances[Échéance]&gt;TODAY(),"Non échue","Échue"))</f>
        <v>Échue</v>
      </c>
      <c r="M21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>Contentieux</v>
      </c>
      <c r="N21" s="31"/>
      <c r="O21" s="32"/>
      <c r="P21" s="32"/>
      <c r="Q21" s="32"/>
      <c r="R21" s="30"/>
    </row>
    <row r="22" spans="3:18" x14ac:dyDescent="0.3">
      <c r="C22" s="27" t="s">
        <v>103</v>
      </c>
      <c r="D22" s="28">
        <v>46006</v>
      </c>
      <c r="E22" s="29" t="s">
        <v>62</v>
      </c>
      <c r="F22" s="29">
        <v>30</v>
      </c>
      <c r="G22" s="84">
        <v>75000</v>
      </c>
      <c r="H22" s="84">
        <f>SUMIF(historiqueReglements[N° Facture],listeCreances[[#This Row],[N° Facture]],historiqueReglements[[Montant encaissé ]])</f>
        <v>0</v>
      </c>
      <c r="I22" s="84">
        <f>listeCreances[Montant facturé]-listeCreances[Montant encaissé]</f>
        <v>75000</v>
      </c>
      <c r="J22" s="32">
        <f>listeCreances[Date d''émission]+listeCreances[Délais de règlement]</f>
        <v>46036</v>
      </c>
      <c r="K22" s="33">
        <f ca="1">IF(listeCreances[[#This Row],[Solde]]=0,"",TODAY()-listeCreances[[#This Row],[Échéance]])</f>
        <v>218</v>
      </c>
      <c r="L22" s="31" t="str">
        <f ca="1">IF(listeCreances[Solde]=0,"Payée",IF(listeCreances[Échéance]&gt;TODAY(),"Non échue","Échue"))</f>
        <v>Échue</v>
      </c>
      <c r="M22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>Contentieux</v>
      </c>
      <c r="N22" s="31"/>
      <c r="O22" s="32"/>
      <c r="P22" s="32"/>
      <c r="Q22" s="32"/>
      <c r="R22" s="30"/>
    </row>
    <row r="23" spans="3:18" x14ac:dyDescent="0.3">
      <c r="C23" s="27" t="s">
        <v>100</v>
      </c>
      <c r="D23" s="28">
        <v>45980</v>
      </c>
      <c r="E23" s="29" t="s">
        <v>72</v>
      </c>
      <c r="F23" s="29">
        <v>30</v>
      </c>
      <c r="G23" s="84">
        <v>90000</v>
      </c>
      <c r="H23" s="84">
        <f>SUMIF(historiqueReglements[N° Facture],listeCreances[[#This Row],[N° Facture]],historiqueReglements[[Montant encaissé ]])</f>
        <v>0</v>
      </c>
      <c r="I23" s="84">
        <f>listeCreances[Montant facturé]-listeCreances[Montant encaissé]</f>
        <v>90000</v>
      </c>
      <c r="J23" s="32">
        <f>listeCreances[Date d''émission]+listeCreances[Délais de règlement]</f>
        <v>46010</v>
      </c>
      <c r="K23" s="33">
        <f ca="1">IF(listeCreances[[#This Row],[Solde]]=0,"",TODAY()-listeCreances[[#This Row],[Échéance]])</f>
        <v>244</v>
      </c>
      <c r="L23" s="31" t="str">
        <f ca="1">IF(listeCreances[Solde]=0,"Payée",IF(listeCreances[Échéance]&gt;TODAY(),"Non échue","Échue"))</f>
        <v>Échue</v>
      </c>
      <c r="M23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>Contentieux</v>
      </c>
      <c r="N23" s="31"/>
      <c r="O23" s="32"/>
      <c r="P23" s="32"/>
      <c r="Q23" s="32"/>
      <c r="R23" s="30"/>
    </row>
    <row r="24" spans="3:18" x14ac:dyDescent="0.3">
      <c r="C24" s="27" t="s">
        <v>99</v>
      </c>
      <c r="D24" s="28">
        <v>45977</v>
      </c>
      <c r="E24" s="29" t="s">
        <v>70</v>
      </c>
      <c r="F24" s="29">
        <v>15</v>
      </c>
      <c r="G24" s="84">
        <v>26000</v>
      </c>
      <c r="H24" s="84">
        <f>SUMIF(historiqueReglements[N° Facture],listeCreances[[#This Row],[N° Facture]],historiqueReglements[[Montant encaissé ]])</f>
        <v>26000</v>
      </c>
      <c r="I24" s="84">
        <f>listeCreances[Montant facturé]-listeCreances[Montant encaissé]</f>
        <v>0</v>
      </c>
      <c r="J24" s="32">
        <f>listeCreances[Date d''émission]+listeCreances[Délais de règlement]</f>
        <v>45992</v>
      </c>
      <c r="K24" s="33" t="str">
        <f ca="1">IF(listeCreances[[#This Row],[Solde]]=0,"",TODAY()-listeCreances[[#This Row],[Échéance]])</f>
        <v/>
      </c>
      <c r="L24" s="31" t="str">
        <f ca="1">IF(listeCreances[Solde]=0,"Payée",IF(listeCreances[Échéance]&gt;TODAY(),"Non échue","Échue"))</f>
        <v>Payée</v>
      </c>
      <c r="M24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24" s="31"/>
      <c r="O24" s="32"/>
      <c r="P24" s="32"/>
      <c r="Q24" s="32"/>
      <c r="R24" s="30"/>
    </row>
    <row r="25" spans="3:18" x14ac:dyDescent="0.3">
      <c r="C25" s="27" t="s">
        <v>98</v>
      </c>
      <c r="D25" s="28">
        <v>45962</v>
      </c>
      <c r="E25" s="29" t="s">
        <v>65</v>
      </c>
      <c r="F25" s="29">
        <v>30</v>
      </c>
      <c r="G25" s="84">
        <v>60000</v>
      </c>
      <c r="H25" s="84">
        <f>SUMIF(historiqueReglements[N° Facture],listeCreances[[#This Row],[N° Facture]],historiqueReglements[[Montant encaissé ]])</f>
        <v>35000</v>
      </c>
      <c r="I25" s="84">
        <f>listeCreances[Montant facturé]-listeCreances[Montant encaissé]</f>
        <v>25000</v>
      </c>
      <c r="J25" s="32">
        <f>listeCreances[Date d''émission]+listeCreances[Délais de règlement]</f>
        <v>45992</v>
      </c>
      <c r="K25" s="33">
        <f ca="1">IF(listeCreances[[#This Row],[Solde]]=0,"",TODAY()-listeCreances[[#This Row],[Échéance]])</f>
        <v>262</v>
      </c>
      <c r="L25" s="31" t="str">
        <f ca="1">IF(listeCreances[Solde]=0,"Payée",IF(listeCreances[Échéance]&gt;TODAY(),"Non échue","Échue"))</f>
        <v>Échue</v>
      </c>
      <c r="M25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>Contentieux</v>
      </c>
      <c r="N25" s="31"/>
      <c r="O25" s="32">
        <v>46026</v>
      </c>
      <c r="P25" s="32"/>
      <c r="Q25" s="32"/>
      <c r="R25" s="30"/>
    </row>
    <row r="26" spans="3:18" x14ac:dyDescent="0.3">
      <c r="C26" s="27" t="s">
        <v>97</v>
      </c>
      <c r="D26" s="28">
        <v>45960</v>
      </c>
      <c r="E26" s="29" t="s">
        <v>71</v>
      </c>
      <c r="F26" s="29">
        <v>15</v>
      </c>
      <c r="G26" s="84">
        <v>60000</v>
      </c>
      <c r="H26" s="84">
        <f>SUMIF(historiqueReglements[N° Facture],listeCreances[[#This Row],[N° Facture]],historiqueReglements[[Montant encaissé ]])</f>
        <v>60000</v>
      </c>
      <c r="I26" s="84">
        <f>listeCreances[Montant facturé]-listeCreances[Montant encaissé]</f>
        <v>0</v>
      </c>
      <c r="J26" s="32">
        <f>listeCreances[Date d''émission]+listeCreances[Délais de règlement]</f>
        <v>45975</v>
      </c>
      <c r="K26" s="33" t="str">
        <f ca="1">IF(listeCreances[[#This Row],[Solde]]=0,"",TODAY()-listeCreances[[#This Row],[Échéance]])</f>
        <v/>
      </c>
      <c r="L26" s="31" t="str">
        <f ca="1">IF(listeCreances[Solde]=0,"Payée",IF(listeCreances[Échéance]&gt;TODAY(),"Non échue","Échue"))</f>
        <v>Payée</v>
      </c>
      <c r="M26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26" s="31"/>
      <c r="O26" s="32">
        <v>45994</v>
      </c>
      <c r="P26" s="32">
        <v>46009</v>
      </c>
      <c r="Q26" s="32"/>
      <c r="R26" s="30"/>
    </row>
    <row r="27" spans="3:18" x14ac:dyDescent="0.3">
      <c r="C27" s="27" t="s">
        <v>96</v>
      </c>
      <c r="D27" s="28">
        <v>45962</v>
      </c>
      <c r="E27" s="29" t="s">
        <v>59</v>
      </c>
      <c r="F27" s="29">
        <v>30</v>
      </c>
      <c r="G27" s="84">
        <v>79000</v>
      </c>
      <c r="H27" s="84">
        <f>SUMIF(historiqueReglements[N° Facture],listeCreances[[#This Row],[N° Facture]],historiqueReglements[[Montant encaissé ]])</f>
        <v>79000</v>
      </c>
      <c r="I27" s="84">
        <f>listeCreances[Montant facturé]-listeCreances[Montant encaissé]</f>
        <v>0</v>
      </c>
      <c r="J27" s="32">
        <f>listeCreances[Date d''émission]+listeCreances[Délais de règlement]</f>
        <v>45992</v>
      </c>
      <c r="K27" s="33" t="str">
        <f ca="1">IF(listeCreances[[#This Row],[Solde]]=0,"",TODAY()-listeCreances[[#This Row],[Échéance]])</f>
        <v/>
      </c>
      <c r="L27" s="31" t="str">
        <f ca="1">IF(listeCreances[Solde]=0,"Payée",IF(listeCreances[Échéance]&gt;TODAY(),"Non échue","Échue"))</f>
        <v>Payée</v>
      </c>
      <c r="M27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27" s="31"/>
      <c r="O27" s="32"/>
      <c r="P27" s="32"/>
      <c r="Q27" s="32"/>
      <c r="R27" s="30"/>
    </row>
    <row r="28" spans="3:18" x14ac:dyDescent="0.3">
      <c r="C28" s="27" t="s">
        <v>56</v>
      </c>
      <c r="D28" s="28">
        <v>45956</v>
      </c>
      <c r="E28" s="29" t="s">
        <v>60</v>
      </c>
      <c r="F28" s="29">
        <v>15</v>
      </c>
      <c r="G28" s="84">
        <v>95000</v>
      </c>
      <c r="H28" s="84">
        <f>SUMIF(historiqueReglements[N° Facture],listeCreances[[#This Row],[N° Facture]],historiqueReglements[[Montant encaissé ]])</f>
        <v>95000</v>
      </c>
      <c r="I28" s="84">
        <f>listeCreances[Montant facturé]-listeCreances[Montant encaissé]</f>
        <v>0</v>
      </c>
      <c r="J28" s="32">
        <f>listeCreances[Date d''émission]+listeCreances[Délais de règlement]</f>
        <v>45971</v>
      </c>
      <c r="K28" s="33" t="str">
        <f ca="1">IF(listeCreances[[#This Row],[Solde]]=0,"",TODAY()-listeCreances[[#This Row],[Échéance]])</f>
        <v/>
      </c>
      <c r="L28" s="31" t="str">
        <f ca="1">IF(listeCreances[Solde]=0,"Payée",IF(listeCreances[Échéance]&gt;TODAY(),"Non échue","Échue"))</f>
        <v>Payée</v>
      </c>
      <c r="M28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28" s="31"/>
      <c r="O28" s="32"/>
      <c r="P28" s="32"/>
      <c r="Q28" s="32"/>
      <c r="R28" s="30"/>
    </row>
    <row r="29" spans="3:18" x14ac:dyDescent="0.3">
      <c r="C29" s="27" t="s">
        <v>50</v>
      </c>
      <c r="D29" s="28">
        <v>45954</v>
      </c>
      <c r="E29" s="29" t="s">
        <v>61</v>
      </c>
      <c r="F29" s="29">
        <v>15</v>
      </c>
      <c r="G29" s="84">
        <v>150000</v>
      </c>
      <c r="H29" s="84">
        <f>SUMIF(historiqueReglements[N° Facture],listeCreances[[#This Row],[N° Facture]],historiqueReglements[[Montant encaissé ]])</f>
        <v>150000</v>
      </c>
      <c r="I29" s="84">
        <f>listeCreances[Montant facturé]-listeCreances[Montant encaissé]</f>
        <v>0</v>
      </c>
      <c r="J29" s="32">
        <f>listeCreances[Date d''émission]+listeCreances[Délais de règlement]</f>
        <v>45969</v>
      </c>
      <c r="K29" s="33" t="str">
        <f ca="1">IF(listeCreances[[#This Row],[Solde]]=0,"",TODAY()-listeCreances[[#This Row],[Échéance]])</f>
        <v/>
      </c>
      <c r="L29" s="31" t="str">
        <f ca="1">IF(listeCreances[Solde]=0,"Payée",IF(listeCreances[Échéance]&gt;TODAY(),"Non échue","Échue"))</f>
        <v>Payée</v>
      </c>
      <c r="M29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29" s="31"/>
      <c r="O29" s="32"/>
      <c r="P29" s="32"/>
      <c r="Q29" s="32"/>
      <c r="R29" s="30"/>
    </row>
    <row r="30" spans="3:18" x14ac:dyDescent="0.3">
      <c r="C30" s="27" t="s">
        <v>49</v>
      </c>
      <c r="D30" s="28">
        <v>45951</v>
      </c>
      <c r="E30" s="29" t="s">
        <v>62</v>
      </c>
      <c r="F30" s="29">
        <v>15</v>
      </c>
      <c r="G30" s="84">
        <v>95000</v>
      </c>
      <c r="H30" s="84">
        <f>SUMIF(historiqueReglements[N° Facture],listeCreances[[#This Row],[N° Facture]],historiqueReglements[[Montant encaissé ]])</f>
        <v>95000</v>
      </c>
      <c r="I30" s="84">
        <f>listeCreances[Montant facturé]-listeCreances[Montant encaissé]</f>
        <v>0</v>
      </c>
      <c r="J30" s="32">
        <f>listeCreances[Date d''émission]+listeCreances[Délais de règlement]</f>
        <v>45966</v>
      </c>
      <c r="K30" s="33" t="str">
        <f ca="1">IF(listeCreances[[#This Row],[Solde]]=0,"",TODAY()-listeCreances[[#This Row],[Échéance]])</f>
        <v/>
      </c>
      <c r="L30" s="31" t="str">
        <f ca="1">IF(listeCreances[Solde]=0,"Payée",IF(listeCreances[Échéance]&gt;TODAY(),"Non échue","Échue"))</f>
        <v>Payée</v>
      </c>
      <c r="M30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0" s="31"/>
      <c r="O30" s="32"/>
      <c r="P30" s="32"/>
      <c r="Q30" s="32"/>
      <c r="R30" s="30"/>
    </row>
    <row r="31" spans="3:18" x14ac:dyDescent="0.3">
      <c r="C31" s="27" t="s">
        <v>47</v>
      </c>
      <c r="D31" s="28">
        <v>45943</v>
      </c>
      <c r="E31" s="29" t="s">
        <v>64</v>
      </c>
      <c r="F31" s="29">
        <v>30</v>
      </c>
      <c r="G31" s="84">
        <v>50000</v>
      </c>
      <c r="H31" s="84">
        <f>SUMIF(historiqueReglements[N° Facture],listeCreances[[#This Row],[N° Facture]],historiqueReglements[[Montant encaissé ]])</f>
        <v>50000</v>
      </c>
      <c r="I31" s="84">
        <f>listeCreances[Montant facturé]-listeCreances[Montant encaissé]</f>
        <v>0</v>
      </c>
      <c r="J31" s="32">
        <f>listeCreances[Date d''émission]+listeCreances[Délais de règlement]</f>
        <v>45973</v>
      </c>
      <c r="K31" s="33" t="str">
        <f ca="1">IF(listeCreances[[#This Row],[Solde]]=0,"",TODAY()-listeCreances[[#This Row],[Échéance]])</f>
        <v/>
      </c>
      <c r="L31" s="31" t="str">
        <f ca="1">IF(listeCreances[Solde]=0,"Payée",IF(listeCreances[Échéance]&gt;TODAY(),"Non échue","Échue"))</f>
        <v>Payée</v>
      </c>
      <c r="M31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1" s="31"/>
      <c r="O31" s="32"/>
      <c r="P31" s="32"/>
      <c r="Q31" s="32"/>
      <c r="R31" s="30"/>
    </row>
    <row r="32" spans="3:18" x14ac:dyDescent="0.3">
      <c r="C32" s="27" t="s">
        <v>46</v>
      </c>
      <c r="D32" s="28">
        <v>45940</v>
      </c>
      <c r="E32" s="29" t="s">
        <v>63</v>
      </c>
      <c r="F32" s="29">
        <v>15</v>
      </c>
      <c r="G32" s="84">
        <v>65000</v>
      </c>
      <c r="H32" s="84">
        <f>SUMIF(historiqueReglements[N° Facture],listeCreances[[#This Row],[N° Facture]],historiqueReglements[[Montant encaissé ]])</f>
        <v>65000</v>
      </c>
      <c r="I32" s="84">
        <f>listeCreances[Montant facturé]-listeCreances[Montant encaissé]</f>
        <v>0</v>
      </c>
      <c r="J32" s="32">
        <f>listeCreances[Date d''émission]+listeCreances[Délais de règlement]</f>
        <v>45955</v>
      </c>
      <c r="K32" s="33" t="str">
        <f ca="1">IF(listeCreances[[#This Row],[Solde]]=0,"",TODAY()-listeCreances[[#This Row],[Échéance]])</f>
        <v/>
      </c>
      <c r="L32" s="31" t="str">
        <f ca="1">IF(listeCreances[Solde]=0,"Payée",IF(listeCreances[Échéance]&gt;TODAY(),"Non échue","Échue"))</f>
        <v>Payée</v>
      </c>
      <c r="M32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2" s="31"/>
      <c r="O32" s="32">
        <v>45971</v>
      </c>
      <c r="P32" s="32">
        <v>45987</v>
      </c>
      <c r="Q32" s="32">
        <v>46003</v>
      </c>
      <c r="R32" s="30"/>
    </row>
    <row r="33" spans="3:18" x14ac:dyDescent="0.3">
      <c r="C33" s="27" t="s">
        <v>43</v>
      </c>
      <c r="D33" s="28">
        <v>45938</v>
      </c>
      <c r="E33" s="29" t="s">
        <v>66</v>
      </c>
      <c r="F33" s="29">
        <v>30</v>
      </c>
      <c r="G33" s="84">
        <v>250000</v>
      </c>
      <c r="H33" s="84">
        <f>SUMIF(historiqueReglements[N° Facture],listeCreances[[#This Row],[N° Facture]],historiqueReglements[[Montant encaissé ]])</f>
        <v>250000</v>
      </c>
      <c r="I33" s="84">
        <f>listeCreances[Montant facturé]-listeCreances[Montant encaissé]</f>
        <v>0</v>
      </c>
      <c r="J33" s="32">
        <f>listeCreances[Date d''émission]+listeCreances[Délais de règlement]</f>
        <v>45968</v>
      </c>
      <c r="K33" s="33" t="str">
        <f ca="1">IF(listeCreances[[#This Row],[Solde]]=0,"",TODAY()-listeCreances[[#This Row],[Échéance]])</f>
        <v/>
      </c>
      <c r="L33" s="31" t="str">
        <f ca="1">IF(listeCreances[Solde]=0,"Payée",IF(listeCreances[Échéance]&gt;TODAY(),"Non échue","Échue"))</f>
        <v>Payée</v>
      </c>
      <c r="M33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3" s="31"/>
      <c r="O33" s="32"/>
      <c r="P33" s="32"/>
      <c r="Q33" s="32"/>
      <c r="R33" s="30"/>
    </row>
    <row r="34" spans="3:18" x14ac:dyDescent="0.3">
      <c r="C34" s="27" t="s">
        <v>42</v>
      </c>
      <c r="D34" s="28">
        <v>45931</v>
      </c>
      <c r="E34" s="29" t="s">
        <v>68</v>
      </c>
      <c r="F34" s="29">
        <v>30</v>
      </c>
      <c r="G34" s="84">
        <v>45000</v>
      </c>
      <c r="H34" s="84">
        <f>SUMIF(historiqueReglements[N° Facture],listeCreances[[#This Row],[N° Facture]],historiqueReglements[[Montant encaissé ]])</f>
        <v>45000</v>
      </c>
      <c r="I34" s="84">
        <f>listeCreances[Montant facturé]-listeCreances[Montant encaissé]</f>
        <v>0</v>
      </c>
      <c r="J34" s="32">
        <f>listeCreances[Date d''émission]+listeCreances[Délais de règlement]</f>
        <v>45961</v>
      </c>
      <c r="K34" s="33" t="str">
        <f ca="1">IF(listeCreances[[#This Row],[Solde]]=0,"",TODAY()-listeCreances[[#This Row],[Échéance]])</f>
        <v/>
      </c>
      <c r="L34" s="31" t="str">
        <f ca="1">IF(listeCreances[Solde]=0,"Payée",IF(listeCreances[Échéance]&gt;TODAY(),"Non échue","Échue"))</f>
        <v>Payée</v>
      </c>
      <c r="M34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4" s="31"/>
      <c r="O34" s="32"/>
      <c r="P34" s="32"/>
      <c r="Q34" s="32"/>
      <c r="R34" s="30"/>
    </row>
    <row r="35" spans="3:18" x14ac:dyDescent="0.3">
      <c r="C35" s="27" t="s">
        <v>41</v>
      </c>
      <c r="D35" s="28">
        <v>45926</v>
      </c>
      <c r="E35" s="29" t="s">
        <v>69</v>
      </c>
      <c r="F35" s="29">
        <v>10</v>
      </c>
      <c r="G35" s="84">
        <v>125000</v>
      </c>
      <c r="H35" s="84">
        <f>SUMIF(historiqueReglements[N° Facture],listeCreances[[#This Row],[N° Facture]],historiqueReglements[[Montant encaissé ]])</f>
        <v>125000</v>
      </c>
      <c r="I35" s="84">
        <f>listeCreances[Montant facturé]-listeCreances[Montant encaissé]</f>
        <v>0</v>
      </c>
      <c r="J35" s="32">
        <f>listeCreances[Date d''émission]+listeCreances[Délais de règlement]</f>
        <v>45936</v>
      </c>
      <c r="K35" s="33" t="str">
        <f ca="1">IF(listeCreances[[#This Row],[Solde]]=0,"",TODAY()-listeCreances[[#This Row],[Échéance]])</f>
        <v/>
      </c>
      <c r="L35" s="31" t="str">
        <f ca="1">IF(listeCreances[Solde]=0,"Payée",IF(listeCreances[Échéance]&gt;TODAY(),"Non échue","Échue"))</f>
        <v>Payée</v>
      </c>
      <c r="M35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5" s="31"/>
      <c r="O35" s="32">
        <v>45952</v>
      </c>
      <c r="P35" s="32">
        <v>45968</v>
      </c>
      <c r="Q35" s="32">
        <v>45984</v>
      </c>
      <c r="R35" s="30"/>
    </row>
    <row r="36" spans="3:18" x14ac:dyDescent="0.3">
      <c r="C36" s="27" t="s">
        <v>40</v>
      </c>
      <c r="D36" s="28">
        <v>45912</v>
      </c>
      <c r="E36" s="29" t="s">
        <v>75</v>
      </c>
      <c r="F36" s="29">
        <v>30</v>
      </c>
      <c r="G36" s="84">
        <v>30000</v>
      </c>
      <c r="H36" s="84">
        <f>SUMIF(historiqueReglements[N° Facture],listeCreances[[#This Row],[N° Facture]],historiqueReglements[[Montant encaissé ]])</f>
        <v>30000</v>
      </c>
      <c r="I36" s="84">
        <f>listeCreances[Montant facturé]-listeCreances[Montant encaissé]</f>
        <v>0</v>
      </c>
      <c r="J36" s="32">
        <f>listeCreances[Date d''émission]+listeCreances[Délais de règlement]</f>
        <v>45942</v>
      </c>
      <c r="K36" s="33" t="str">
        <f ca="1">IF(listeCreances[[#This Row],[Solde]]=0,"",TODAY()-listeCreances[[#This Row],[Échéance]])</f>
        <v/>
      </c>
      <c r="L36" s="31" t="str">
        <f ca="1">IF(listeCreances[Solde]=0,"Payée",IF(listeCreances[Échéance]&gt;TODAY(),"Non échue","Échue"))</f>
        <v>Payée</v>
      </c>
      <c r="M36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6" s="31"/>
      <c r="O36" s="32"/>
      <c r="P36" s="32"/>
      <c r="Q36" s="32"/>
      <c r="R36" s="30"/>
    </row>
    <row r="37" spans="3:18" x14ac:dyDescent="0.3">
      <c r="C37" s="27" t="s">
        <v>39</v>
      </c>
      <c r="D37" s="28">
        <v>45910</v>
      </c>
      <c r="E37" s="29" t="s">
        <v>74</v>
      </c>
      <c r="F37" s="29">
        <v>30</v>
      </c>
      <c r="G37" s="84">
        <v>100000</v>
      </c>
      <c r="H37" s="84">
        <f>SUMIF(historiqueReglements[N° Facture],listeCreances[[#This Row],[N° Facture]],historiqueReglements[[Montant encaissé ]])</f>
        <v>100000</v>
      </c>
      <c r="I37" s="84">
        <f>listeCreances[Montant facturé]-listeCreances[Montant encaissé]</f>
        <v>0</v>
      </c>
      <c r="J37" s="32">
        <f>listeCreances[Date d''émission]+listeCreances[Délais de règlement]</f>
        <v>45940</v>
      </c>
      <c r="K37" s="33" t="str">
        <f ca="1">IF(listeCreances[[#This Row],[Solde]]=0,"",TODAY()-listeCreances[[#This Row],[Échéance]])</f>
        <v/>
      </c>
      <c r="L37" s="31" t="str">
        <f ca="1">IF(listeCreances[Solde]=0,"Payée",IF(listeCreances[Échéance]&gt;TODAY(),"Non échue","Échue"))</f>
        <v>Payée</v>
      </c>
      <c r="M37" s="31" t="str">
        <f ca="1">IF(listeCreances[[#This Row],[Retard]]="","",IF(listeCreances[[#This Row],[Retard]]&lt;15,"",IF(AND(listeCreances[[#This Row],[Retard]]&gt;=15,listeCreances[[#This Row],[Retard]]&lt;30,listeCreances[[#This Row],[Relance 1]]=""),"Relance 1",IF(AND(listeCreances[[#This Row],[Retard]]&gt;=30,listeCreances[[#This Row],[Retard]]&lt;45,listeCreances[[#This Row],[Relance 2]]=""),"Relance 2",IF(AND(listeCreances[[#This Row],[Retard]]&gt;=45,listeCreances[[#This Row],[Retard]]&lt;60,listeCreances[[#This Row],[Relance 3]]=""),"Relance 3",IF(AND(listeCreances[[#This Row],[Retard]]&gt;=60,listeCreances[[#This Row],[Retard]]&lt;90),"Mise en demeure",IF(AND(listeCreances[[#This Row],[Retard]]&gt;=90,listeCreances[[#This Row],[Retard]]&lt;1000),"Contentieux","")))))))</f>
        <v/>
      </c>
      <c r="N37" s="31"/>
      <c r="O37" s="32">
        <v>45956</v>
      </c>
      <c r="P37" s="32">
        <v>45972</v>
      </c>
      <c r="Q37" s="32">
        <v>45988</v>
      </c>
      <c r="R37" s="30"/>
    </row>
    <row r="38" spans="3:18" x14ac:dyDescent="0.3">
      <c r="C38" s="18"/>
      <c r="D38" s="34"/>
      <c r="E38" s="18"/>
      <c r="F38" s="22"/>
      <c r="G38" s="22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30"/>
    </row>
    <row r="39" spans="3:18" x14ac:dyDescent="0.3">
      <c r="D39" s="20"/>
      <c r="F39" s="19"/>
      <c r="G39" s="19"/>
      <c r="H39" s="19"/>
      <c r="I39" s="20"/>
      <c r="J39" s="35"/>
      <c r="K39" s="35"/>
      <c r="R39" s="30"/>
    </row>
    <row r="40" spans="3:18" x14ac:dyDescent="0.3">
      <c r="D40" s="20"/>
      <c r="F40" s="19"/>
      <c r="G40" s="19"/>
      <c r="H40" s="19"/>
      <c r="I40" s="20"/>
      <c r="J40" s="35"/>
      <c r="K40" s="35"/>
      <c r="O40" s="19"/>
    </row>
    <row r="41" spans="3:18" x14ac:dyDescent="0.3">
      <c r="D41" s="20"/>
      <c r="F41" s="19"/>
      <c r="G41" s="19"/>
      <c r="H41" s="19"/>
      <c r="I41" s="20"/>
      <c r="J41" s="35"/>
      <c r="K41" s="35"/>
    </row>
    <row r="42" spans="3:18" x14ac:dyDescent="0.3">
      <c r="D42" s="20"/>
      <c r="F42" s="19"/>
      <c r="G42" s="19"/>
      <c r="H42" s="19"/>
      <c r="I42" s="20"/>
      <c r="J42" s="35"/>
      <c r="K42" s="35"/>
    </row>
  </sheetData>
  <conditionalFormatting sqref="K12 K14:K37">
    <cfRule type="cellIs" dxfId="64" priority="3" operator="greaterThan">
      <formula>0</formula>
    </cfRule>
    <cfRule type="cellIs" dxfId="63" priority="4" operator="lessThan">
      <formula>0</formula>
    </cfRule>
  </conditionalFormatting>
  <conditionalFormatting sqref="K12 K14:K37">
    <cfRule type="cellIs" dxfId="62" priority="1" operator="equal">
      <formula>""</formula>
    </cfRule>
  </conditionalFormatting>
  <dataValidations count="1">
    <dataValidation type="list" allowBlank="1" showInputMessage="1" showErrorMessage="1" sqref="H8 E12:E37">
      <formula1>INDIRECT("listeClients[Client]")</formula1>
    </dataValidation>
  </dataValidations>
  <pageMargins left="0.7" right="0.7" top="0.75" bottom="0.75" header="0.3" footer="0.3"/>
  <pageSetup paperSize="9" orientation="portrait" r:id="rId1"/>
  <ignoredErrors>
    <ignoredError sqref="M19:M34 M35:M37" calculatedColumn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I59"/>
  <sheetViews>
    <sheetView showGridLines="0" zoomScale="70" zoomScaleNormal="70" workbookViewId="0">
      <pane ySplit="15" topLeftCell="A19" activePane="bottomLeft" state="frozen"/>
      <selection pane="bottomLeft" activeCell="F9" sqref="F9"/>
    </sheetView>
  </sheetViews>
  <sheetFormatPr baseColWidth="10" defaultRowHeight="18.75" x14ac:dyDescent="0.3"/>
  <cols>
    <col min="1" max="1" width="3.5703125" style="15" customWidth="1"/>
    <col min="2" max="2" width="5.7109375" style="2" customWidth="1"/>
    <col min="3" max="3" width="32.85546875" style="2" customWidth="1"/>
    <col min="4" max="4" width="43.85546875" style="2" customWidth="1"/>
    <col min="5" max="5" width="45.42578125" style="2" customWidth="1"/>
    <col min="6" max="6" width="42.140625" style="2" customWidth="1"/>
    <col min="7" max="7" width="27.28515625" style="2" customWidth="1"/>
    <col min="8" max="8" width="29.85546875" style="2" customWidth="1"/>
    <col min="9" max="9" width="27.7109375" style="2" customWidth="1"/>
    <col min="10" max="16384" width="11.42578125" style="15"/>
  </cols>
  <sheetData>
    <row r="1" spans="2:9" s="2" customFormat="1" ht="30.75" customHeight="1" x14ac:dyDescent="0.3"/>
    <row r="2" spans="2:9" s="2" customFormat="1" ht="15.75" customHeight="1" x14ac:dyDescent="0.3"/>
    <row r="3" spans="2:9" ht="13.5" customHeight="1" x14ac:dyDescent="0.3">
      <c r="B3" s="15"/>
      <c r="C3" s="15"/>
      <c r="D3" s="15"/>
      <c r="E3" s="15"/>
      <c r="F3" s="15"/>
      <c r="G3" s="15"/>
      <c r="H3" s="15"/>
      <c r="I3" s="15"/>
    </row>
    <row r="4" spans="2:9" ht="13.5" customHeight="1" x14ac:dyDescent="0.3"/>
    <row r="5" spans="2:9" x14ac:dyDescent="0.3">
      <c r="C5" s="6" t="s">
        <v>36</v>
      </c>
      <c r="D5" s="8"/>
      <c r="E5" s="9"/>
    </row>
    <row r="6" spans="2:9" x14ac:dyDescent="0.3">
      <c r="C6" s="8" t="s">
        <v>35</v>
      </c>
      <c r="D6" s="9"/>
      <c r="E6" s="9"/>
    </row>
    <row r="8" spans="2:9" ht="19.5" thickBot="1" x14ac:dyDescent="0.35">
      <c r="C8" s="10" t="s">
        <v>2</v>
      </c>
      <c r="D8" s="85" t="s">
        <v>101</v>
      </c>
      <c r="E8" s="10" t="s">
        <v>31</v>
      </c>
      <c r="F8" s="89">
        <f ca="1">TODAY()</f>
        <v>46254</v>
      </c>
    </row>
    <row r="9" spans="2:9" ht="20.25" thickTop="1" thickBot="1" x14ac:dyDescent="0.35">
      <c r="C9" s="10" t="s">
        <v>30</v>
      </c>
      <c r="D9" s="86" t="str">
        <f>IFERROR(VLOOKUP(D8,listeCreances[],3,FALSE),"")</f>
        <v>Oumar Keita</v>
      </c>
      <c r="E9" s="10" t="s">
        <v>32</v>
      </c>
      <c r="F9" s="86" t="s">
        <v>171</v>
      </c>
    </row>
    <row r="10" spans="2:9" ht="20.25" thickTop="1" thickBot="1" x14ac:dyDescent="0.35">
      <c r="C10" s="10" t="s">
        <v>5</v>
      </c>
      <c r="D10" s="87">
        <f>IFERROR(VLOOKUP(D8,listeCreances[],7,FALSE),"")</f>
        <v>25000</v>
      </c>
      <c r="E10" s="10" t="s">
        <v>4</v>
      </c>
      <c r="F10" s="87">
        <v>50000</v>
      </c>
    </row>
    <row r="11" spans="2:9" ht="19.5" thickTop="1" x14ac:dyDescent="0.3">
      <c r="C11" s="10" t="s">
        <v>37</v>
      </c>
      <c r="D11" s="88">
        <f ca="1">IFERROR(VLOOKUP(D8,listeCreances[],9,FALSE),"")</f>
        <v>208</v>
      </c>
      <c r="E11" s="10" t="s">
        <v>33</v>
      </c>
      <c r="F11" s="85" t="s">
        <v>38</v>
      </c>
    </row>
    <row r="13" spans="2:9" x14ac:dyDescent="0.3">
      <c r="C13" s="40" t="s">
        <v>51</v>
      </c>
    </row>
    <row r="14" spans="2:9" x14ac:dyDescent="0.3">
      <c r="C14" s="48" t="s">
        <v>2</v>
      </c>
      <c r="D14" s="48" t="s">
        <v>30</v>
      </c>
      <c r="E14" s="48" t="s">
        <v>31</v>
      </c>
      <c r="F14" s="48" t="s">
        <v>32</v>
      </c>
      <c r="G14" s="48" t="s">
        <v>34</v>
      </c>
      <c r="H14" s="48" t="s">
        <v>33</v>
      </c>
    </row>
    <row r="15" spans="2:9" ht="6.75" hidden="1" customHeight="1" x14ac:dyDescent="0.3">
      <c r="C15" s="19"/>
      <c r="D15" s="19"/>
      <c r="E15" s="20"/>
      <c r="F15" s="19"/>
      <c r="G15" s="21"/>
      <c r="H15" s="19"/>
    </row>
    <row r="16" spans="2:9" x14ac:dyDescent="0.3">
      <c r="C16" s="91" t="s">
        <v>101</v>
      </c>
      <c r="D16" s="92" t="s">
        <v>59</v>
      </c>
      <c r="E16" s="93">
        <v>46088</v>
      </c>
      <c r="F16" s="91" t="s">
        <v>171</v>
      </c>
      <c r="G16" s="94">
        <v>50000</v>
      </c>
      <c r="H16" s="91" t="s">
        <v>38</v>
      </c>
    </row>
    <row r="17" spans="3:8" x14ac:dyDescent="0.3">
      <c r="C17" s="91" t="s">
        <v>162</v>
      </c>
      <c r="D17" s="92" t="s">
        <v>61</v>
      </c>
      <c r="E17" s="93">
        <v>46088</v>
      </c>
      <c r="F17" s="91" t="s">
        <v>169</v>
      </c>
      <c r="G17" s="94">
        <v>125000</v>
      </c>
      <c r="H17" s="91" t="s">
        <v>38</v>
      </c>
    </row>
    <row r="18" spans="3:8" x14ac:dyDescent="0.3">
      <c r="C18" s="91" t="s">
        <v>161</v>
      </c>
      <c r="D18" s="92" t="s">
        <v>58</v>
      </c>
      <c r="E18" s="93">
        <v>46088</v>
      </c>
      <c r="F18" s="91" t="s">
        <v>169</v>
      </c>
      <c r="G18" s="94">
        <v>25000</v>
      </c>
      <c r="H18" s="91" t="s">
        <v>38</v>
      </c>
    </row>
    <row r="19" spans="3:8" x14ac:dyDescent="0.3">
      <c r="C19" s="91" t="s">
        <v>39</v>
      </c>
      <c r="D19" s="92" t="s">
        <v>74</v>
      </c>
      <c r="E19" s="93">
        <v>46088</v>
      </c>
      <c r="F19" s="91" t="s">
        <v>169</v>
      </c>
      <c r="G19" s="94">
        <v>27000</v>
      </c>
      <c r="H19" s="91" t="s">
        <v>38</v>
      </c>
    </row>
    <row r="20" spans="3:8" x14ac:dyDescent="0.3">
      <c r="C20" s="91" t="s">
        <v>41</v>
      </c>
      <c r="D20" s="92" t="s">
        <v>69</v>
      </c>
      <c r="E20" s="93">
        <v>46088</v>
      </c>
      <c r="F20" s="91" t="s">
        <v>169</v>
      </c>
      <c r="G20" s="94">
        <v>25000</v>
      </c>
      <c r="H20" s="91" t="s">
        <v>38</v>
      </c>
    </row>
    <row r="21" spans="3:8" x14ac:dyDescent="0.3">
      <c r="C21" s="91" t="s">
        <v>46</v>
      </c>
      <c r="D21" s="92" t="s">
        <v>72</v>
      </c>
      <c r="E21" s="93">
        <v>46060</v>
      </c>
      <c r="F21" s="91" t="s">
        <v>169</v>
      </c>
      <c r="G21" s="94">
        <v>15000</v>
      </c>
      <c r="H21" s="91" t="s">
        <v>38</v>
      </c>
    </row>
    <row r="22" spans="3:8" x14ac:dyDescent="0.3">
      <c r="C22" s="91" t="s">
        <v>97</v>
      </c>
      <c r="D22" s="92" t="s">
        <v>71</v>
      </c>
      <c r="E22" s="93">
        <v>46060</v>
      </c>
      <c r="F22" s="91" t="s">
        <v>168</v>
      </c>
      <c r="G22" s="94">
        <v>40000</v>
      </c>
      <c r="H22" s="91" t="s">
        <v>38</v>
      </c>
    </row>
    <row r="23" spans="3:8" x14ac:dyDescent="0.3">
      <c r="C23" s="91" t="s">
        <v>139</v>
      </c>
      <c r="D23" s="92" t="s">
        <v>75</v>
      </c>
      <c r="E23" s="93">
        <v>46060</v>
      </c>
      <c r="F23" s="91" t="s">
        <v>167</v>
      </c>
      <c r="G23" s="94">
        <v>20000</v>
      </c>
      <c r="H23" s="91" t="s">
        <v>38</v>
      </c>
    </row>
    <row r="24" spans="3:8" x14ac:dyDescent="0.3">
      <c r="C24" s="91" t="s">
        <v>39</v>
      </c>
      <c r="D24" s="92" t="s">
        <v>74</v>
      </c>
      <c r="E24" s="93">
        <v>46057</v>
      </c>
      <c r="F24" s="91" t="s">
        <v>104</v>
      </c>
      <c r="G24" s="94">
        <v>3000</v>
      </c>
      <c r="H24" s="91" t="s">
        <v>38</v>
      </c>
    </row>
    <row r="25" spans="3:8" x14ac:dyDescent="0.3">
      <c r="C25" s="91" t="s">
        <v>49</v>
      </c>
      <c r="D25" s="92" t="s">
        <v>62</v>
      </c>
      <c r="E25" s="93">
        <v>46057</v>
      </c>
      <c r="F25" s="91" t="s">
        <v>158</v>
      </c>
      <c r="G25" s="94">
        <v>50000</v>
      </c>
      <c r="H25" s="91" t="s">
        <v>45</v>
      </c>
    </row>
    <row r="26" spans="3:8" x14ac:dyDescent="0.3">
      <c r="C26" s="91" t="s">
        <v>46</v>
      </c>
      <c r="D26" s="92" t="s">
        <v>63</v>
      </c>
      <c r="E26" s="93">
        <v>46055</v>
      </c>
      <c r="F26" s="91" t="s">
        <v>160</v>
      </c>
      <c r="G26" s="94">
        <v>50000</v>
      </c>
      <c r="H26" s="91" t="s">
        <v>45</v>
      </c>
    </row>
    <row r="27" spans="3:8" x14ac:dyDescent="0.3">
      <c r="C27" s="91" t="s">
        <v>98</v>
      </c>
      <c r="D27" s="92" t="s">
        <v>65</v>
      </c>
      <c r="E27" s="93">
        <v>46055</v>
      </c>
      <c r="F27" s="91" t="s">
        <v>159</v>
      </c>
      <c r="G27" s="94">
        <v>35000</v>
      </c>
      <c r="H27" s="91" t="s">
        <v>44</v>
      </c>
    </row>
    <row r="28" spans="3:8" x14ac:dyDescent="0.3">
      <c r="C28" s="91" t="s">
        <v>49</v>
      </c>
      <c r="D28" s="92" t="s">
        <v>62</v>
      </c>
      <c r="E28" s="93">
        <v>46055</v>
      </c>
      <c r="F28" s="91" t="s">
        <v>158</v>
      </c>
      <c r="G28" s="94">
        <v>45000</v>
      </c>
      <c r="H28" s="91" t="s">
        <v>38</v>
      </c>
    </row>
    <row r="29" spans="3:8" x14ac:dyDescent="0.3">
      <c r="C29" s="91" t="s">
        <v>41</v>
      </c>
      <c r="D29" s="92" t="s">
        <v>69</v>
      </c>
      <c r="E29" s="93">
        <v>46024</v>
      </c>
      <c r="F29" s="91" t="s">
        <v>111</v>
      </c>
      <c r="G29" s="94">
        <v>30000</v>
      </c>
      <c r="H29" s="91" t="s">
        <v>38</v>
      </c>
    </row>
    <row r="30" spans="3:8" x14ac:dyDescent="0.3">
      <c r="C30" s="91" t="s">
        <v>39</v>
      </c>
      <c r="D30" s="92" t="s">
        <v>74</v>
      </c>
      <c r="E30" s="93">
        <v>46024</v>
      </c>
      <c r="F30" s="91" t="s">
        <v>104</v>
      </c>
      <c r="G30" s="94">
        <v>25000</v>
      </c>
      <c r="H30" s="91" t="s">
        <v>38</v>
      </c>
    </row>
    <row r="31" spans="3:8" x14ac:dyDescent="0.3">
      <c r="C31" s="91" t="s">
        <v>42</v>
      </c>
      <c r="D31" s="92" t="s">
        <v>68</v>
      </c>
      <c r="E31" s="93">
        <v>46024</v>
      </c>
      <c r="F31" s="91" t="s">
        <v>156</v>
      </c>
      <c r="G31" s="94">
        <v>30000</v>
      </c>
      <c r="H31" s="91" t="s">
        <v>44</v>
      </c>
    </row>
    <row r="32" spans="3:8" x14ac:dyDescent="0.3">
      <c r="C32" s="91" t="s">
        <v>139</v>
      </c>
      <c r="D32" s="92" t="s">
        <v>75</v>
      </c>
      <c r="E32" s="93">
        <v>46024</v>
      </c>
      <c r="F32" s="91" t="s">
        <v>156</v>
      </c>
      <c r="G32" s="94">
        <v>20000</v>
      </c>
      <c r="H32" s="91" t="s">
        <v>38</v>
      </c>
    </row>
    <row r="33" spans="3:8" x14ac:dyDescent="0.3">
      <c r="C33" s="91" t="s">
        <v>41</v>
      </c>
      <c r="D33" s="92" t="s">
        <v>69</v>
      </c>
      <c r="E33" s="93">
        <v>46024</v>
      </c>
      <c r="F33" s="91" t="s">
        <v>111</v>
      </c>
      <c r="G33" s="94">
        <v>20000</v>
      </c>
      <c r="H33" s="91" t="s">
        <v>38</v>
      </c>
    </row>
    <row r="34" spans="3:8" x14ac:dyDescent="0.3">
      <c r="C34" s="91" t="s">
        <v>96</v>
      </c>
      <c r="D34" s="92" t="s">
        <v>59</v>
      </c>
      <c r="E34" s="93">
        <v>46023</v>
      </c>
      <c r="F34" s="91" t="s">
        <v>157</v>
      </c>
      <c r="G34" s="94">
        <v>79000</v>
      </c>
      <c r="H34" s="91" t="s">
        <v>38</v>
      </c>
    </row>
    <row r="35" spans="3:8" x14ac:dyDescent="0.3">
      <c r="C35" s="91" t="s">
        <v>97</v>
      </c>
      <c r="D35" s="92" t="s">
        <v>71</v>
      </c>
      <c r="E35" s="93">
        <v>46012</v>
      </c>
      <c r="F35" s="91" t="s">
        <v>113</v>
      </c>
      <c r="G35" s="94">
        <v>20000</v>
      </c>
      <c r="H35" s="91" t="s">
        <v>38</v>
      </c>
    </row>
    <row r="36" spans="3:8" x14ac:dyDescent="0.3">
      <c r="C36" s="91" t="s">
        <v>42</v>
      </c>
      <c r="D36" s="92" t="s">
        <v>68</v>
      </c>
      <c r="E36" s="93">
        <v>46009</v>
      </c>
      <c r="F36" s="91" t="s">
        <v>112</v>
      </c>
      <c r="G36" s="94">
        <v>15000</v>
      </c>
      <c r="H36" s="91" t="s">
        <v>38</v>
      </c>
    </row>
    <row r="37" spans="3:8" x14ac:dyDescent="0.3">
      <c r="C37" s="91" t="s">
        <v>41</v>
      </c>
      <c r="D37" s="92" t="s">
        <v>69</v>
      </c>
      <c r="E37" s="93">
        <v>46008</v>
      </c>
      <c r="F37" s="91" t="s">
        <v>111</v>
      </c>
      <c r="G37" s="94">
        <v>50000</v>
      </c>
      <c r="H37" s="91" t="s">
        <v>38</v>
      </c>
    </row>
    <row r="38" spans="3:8" x14ac:dyDescent="0.3">
      <c r="C38" s="91" t="s">
        <v>99</v>
      </c>
      <c r="D38" s="92" t="s">
        <v>70</v>
      </c>
      <c r="E38" s="93">
        <v>45986</v>
      </c>
      <c r="F38" s="91" t="s">
        <v>110</v>
      </c>
      <c r="G38" s="94">
        <v>26000</v>
      </c>
      <c r="H38" s="91" t="s">
        <v>38</v>
      </c>
    </row>
    <row r="39" spans="3:8" x14ac:dyDescent="0.3">
      <c r="C39" s="91" t="s">
        <v>56</v>
      </c>
      <c r="D39" s="92" t="s">
        <v>60</v>
      </c>
      <c r="E39" s="93">
        <v>45982</v>
      </c>
      <c r="F39" s="91" t="s">
        <v>109</v>
      </c>
      <c r="G39" s="94">
        <v>95000</v>
      </c>
      <c r="H39" s="91" t="s">
        <v>45</v>
      </c>
    </row>
    <row r="40" spans="3:8" x14ac:dyDescent="0.3">
      <c r="C40" s="91" t="s">
        <v>50</v>
      </c>
      <c r="D40" s="92" t="s">
        <v>61</v>
      </c>
      <c r="E40" s="93">
        <v>45970</v>
      </c>
      <c r="F40" s="91" t="s">
        <v>108</v>
      </c>
      <c r="G40" s="94">
        <v>150000</v>
      </c>
      <c r="H40" s="91" t="s">
        <v>45</v>
      </c>
    </row>
    <row r="41" spans="3:8" x14ac:dyDescent="0.3">
      <c r="C41" s="91" t="s">
        <v>47</v>
      </c>
      <c r="D41" s="92" t="s">
        <v>64</v>
      </c>
      <c r="E41" s="93">
        <v>45957</v>
      </c>
      <c r="F41" s="91" t="s">
        <v>107</v>
      </c>
      <c r="G41" s="94">
        <v>50000</v>
      </c>
      <c r="H41" s="91" t="s">
        <v>38</v>
      </c>
    </row>
    <row r="42" spans="3:8" x14ac:dyDescent="0.3">
      <c r="C42" s="91" t="s">
        <v>43</v>
      </c>
      <c r="D42" s="92" t="s">
        <v>66</v>
      </c>
      <c r="E42" s="93">
        <v>45947</v>
      </c>
      <c r="F42" s="91" t="s">
        <v>106</v>
      </c>
      <c r="G42" s="94">
        <v>50000</v>
      </c>
      <c r="H42" s="91" t="s">
        <v>38</v>
      </c>
    </row>
    <row r="43" spans="3:8" x14ac:dyDescent="0.3">
      <c r="C43" s="91" t="s">
        <v>43</v>
      </c>
      <c r="D43" s="92" t="s">
        <v>66</v>
      </c>
      <c r="E43" s="93">
        <v>45946</v>
      </c>
      <c r="F43" s="91" t="s">
        <v>106</v>
      </c>
      <c r="G43" s="94">
        <v>200000</v>
      </c>
      <c r="H43" s="91" t="s">
        <v>44</v>
      </c>
    </row>
    <row r="44" spans="3:8" x14ac:dyDescent="0.3">
      <c r="C44" s="91" t="s">
        <v>40</v>
      </c>
      <c r="D44" s="92" t="s">
        <v>75</v>
      </c>
      <c r="E44" s="93">
        <v>45946</v>
      </c>
      <c r="F44" s="91" t="s">
        <v>105</v>
      </c>
      <c r="G44" s="94">
        <v>30000</v>
      </c>
      <c r="H44" s="91" t="s">
        <v>38</v>
      </c>
    </row>
    <row r="45" spans="3:8" x14ac:dyDescent="0.3">
      <c r="C45" s="91" t="s">
        <v>39</v>
      </c>
      <c r="D45" s="92" t="s">
        <v>74</v>
      </c>
      <c r="E45" s="93">
        <v>45941</v>
      </c>
      <c r="F45" s="91" t="s">
        <v>104</v>
      </c>
      <c r="G45" s="94">
        <v>45000</v>
      </c>
      <c r="H45" s="91" t="s">
        <v>38</v>
      </c>
    </row>
    <row r="46" spans="3:8" x14ac:dyDescent="0.3">
      <c r="C46" s="19"/>
      <c r="D46" s="19"/>
      <c r="E46" s="20"/>
      <c r="F46" s="19"/>
      <c r="G46" s="21"/>
      <c r="H46" s="19"/>
    </row>
    <row r="47" spans="3:8" x14ac:dyDescent="0.3">
      <c r="C47" s="19"/>
      <c r="D47" s="19"/>
      <c r="E47" s="20"/>
      <c r="F47" s="19"/>
      <c r="G47" s="21"/>
      <c r="H47" s="19"/>
    </row>
    <row r="48" spans="3:8" x14ac:dyDescent="0.3">
      <c r="C48" s="19"/>
      <c r="D48" s="19"/>
      <c r="E48" s="20"/>
      <c r="F48" s="19"/>
      <c r="G48" s="21"/>
      <c r="H48" s="19"/>
    </row>
    <row r="49" spans="3:8" x14ac:dyDescent="0.3">
      <c r="C49" s="19"/>
      <c r="D49" s="19"/>
      <c r="E49" s="20"/>
      <c r="F49" s="19"/>
      <c r="G49" s="21"/>
      <c r="H49" s="19"/>
    </row>
    <row r="50" spans="3:8" x14ac:dyDescent="0.3">
      <c r="C50" s="19"/>
      <c r="D50" s="19"/>
      <c r="E50" s="20"/>
      <c r="F50" s="19"/>
      <c r="G50" s="21"/>
      <c r="H50" s="19"/>
    </row>
    <row r="51" spans="3:8" x14ac:dyDescent="0.3">
      <c r="C51" s="19"/>
      <c r="D51" s="19"/>
      <c r="E51" s="20"/>
      <c r="F51" s="19"/>
      <c r="G51" s="21"/>
      <c r="H51" s="19"/>
    </row>
    <row r="52" spans="3:8" x14ac:dyDescent="0.3">
      <c r="C52" s="19"/>
      <c r="D52" s="19"/>
      <c r="E52" s="20"/>
      <c r="F52" s="19"/>
      <c r="G52" s="21"/>
      <c r="H52" s="19"/>
    </row>
    <row r="53" spans="3:8" x14ac:dyDescent="0.3">
      <c r="C53" s="19"/>
      <c r="D53" s="19"/>
      <c r="E53" s="20"/>
      <c r="F53" s="19"/>
      <c r="G53" s="21"/>
      <c r="H53" s="19"/>
    </row>
    <row r="54" spans="3:8" x14ac:dyDescent="0.3">
      <c r="C54" s="22"/>
      <c r="D54" s="22"/>
      <c r="E54" s="20"/>
      <c r="F54" s="19"/>
      <c r="G54" s="21"/>
      <c r="H54" s="19"/>
    </row>
    <row r="55" spans="3:8" x14ac:dyDescent="0.3">
      <c r="C55" s="22"/>
      <c r="D55" s="22"/>
      <c r="E55" s="20"/>
      <c r="F55" s="19"/>
      <c r="G55" s="21"/>
      <c r="H55" s="19"/>
    </row>
    <row r="56" spans="3:8" x14ac:dyDescent="0.3">
      <c r="C56" s="22"/>
      <c r="D56" s="22"/>
      <c r="E56" s="20"/>
      <c r="F56" s="19"/>
      <c r="G56" s="21"/>
      <c r="H56" s="19"/>
    </row>
    <row r="57" spans="3:8" x14ac:dyDescent="0.3">
      <c r="C57" s="22"/>
      <c r="D57" s="22"/>
      <c r="E57" s="20"/>
      <c r="F57" s="19"/>
      <c r="G57" s="21"/>
      <c r="H57" s="19"/>
    </row>
    <row r="58" spans="3:8" x14ac:dyDescent="0.3">
      <c r="C58" s="22"/>
      <c r="D58" s="22"/>
      <c r="E58" s="20"/>
      <c r="F58" s="19"/>
      <c r="G58" s="21"/>
      <c r="H58" s="19"/>
    </row>
    <row r="59" spans="3:8" x14ac:dyDescent="0.3">
      <c r="C59" s="23"/>
      <c r="D59" s="24"/>
      <c r="E59" s="23"/>
      <c r="F59" s="23"/>
      <c r="G59" s="23"/>
      <c r="H59" s="23"/>
    </row>
  </sheetData>
  <dataValidations count="1">
    <dataValidation type="list" allowBlank="1" showInputMessage="1" showErrorMessage="1" sqref="F11">
      <formula1>"Chèque,Espèce,Virement"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N31"/>
  <sheetViews>
    <sheetView zoomScale="70" zoomScaleNormal="70" workbookViewId="0">
      <pane ySplit="7" topLeftCell="A8" activePane="bottomLeft" state="frozen"/>
      <selection pane="bottomLeft" activeCell="K8" sqref="K8"/>
    </sheetView>
  </sheetViews>
  <sheetFormatPr baseColWidth="10" defaultRowHeight="18.75" x14ac:dyDescent="0.3"/>
  <cols>
    <col min="1" max="1" width="3.5703125" style="15" customWidth="1"/>
    <col min="2" max="2" width="5.7109375" style="15" customWidth="1"/>
    <col min="3" max="3" width="28.5703125" style="2" customWidth="1"/>
    <col min="4" max="4" width="20.28515625" style="3" customWidth="1"/>
    <col min="5" max="5" width="22.140625" style="2" customWidth="1"/>
    <col min="6" max="6" width="36" style="2" customWidth="1"/>
    <col min="7" max="7" width="17.42578125" style="2" customWidth="1"/>
    <col min="8" max="8" width="9.140625" style="15" customWidth="1"/>
    <col min="9" max="9" width="11.42578125" style="15"/>
    <col min="10" max="10" width="16.140625" style="15" customWidth="1"/>
    <col min="11" max="11" width="21.5703125" style="15" customWidth="1"/>
    <col min="12" max="12" width="18.28515625" style="15" customWidth="1"/>
    <col min="13" max="13" width="22.7109375" style="15" bestFit="1" customWidth="1"/>
    <col min="14" max="16384" width="11.42578125" style="15"/>
  </cols>
  <sheetData>
    <row r="1" spans="1:14" s="2" customFormat="1" ht="31.5" customHeight="1" x14ac:dyDescent="0.3">
      <c r="A1" s="1"/>
      <c r="D1" s="3"/>
    </row>
    <row r="2" spans="1:14" s="2" customFormat="1" ht="15.75" customHeight="1" x14ac:dyDescent="0.3">
      <c r="D2" s="3"/>
    </row>
    <row r="3" spans="1:14" ht="13.5" customHeight="1" x14ac:dyDescent="0.3">
      <c r="A3" s="41"/>
      <c r="B3" s="41"/>
      <c r="C3" s="41"/>
      <c r="D3" s="42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4" ht="13.5" customHeight="1" x14ac:dyDescent="0.3">
      <c r="A4" s="41"/>
      <c r="B4" s="41"/>
      <c r="C4" s="4"/>
      <c r="D4" s="5"/>
      <c r="E4" s="4"/>
      <c r="F4" s="4"/>
      <c r="G4" s="4"/>
      <c r="H4" s="41"/>
      <c r="I4" s="4"/>
      <c r="J4" s="5"/>
      <c r="K4" s="4"/>
      <c r="L4" s="4"/>
      <c r="M4" s="4"/>
      <c r="N4" s="41"/>
    </row>
    <row r="5" spans="1:14" x14ac:dyDescent="0.3">
      <c r="A5" s="41"/>
      <c r="B5" s="41"/>
      <c r="C5" s="6" t="s">
        <v>23</v>
      </c>
      <c r="D5" s="5"/>
      <c r="E5" s="4"/>
      <c r="F5" s="4"/>
      <c r="G5" s="4"/>
      <c r="H5" s="41"/>
      <c r="I5" s="6" t="s">
        <v>130</v>
      </c>
      <c r="J5" s="5"/>
      <c r="K5" s="4"/>
      <c r="L5" s="4"/>
      <c r="M5" s="4"/>
      <c r="N5" s="41"/>
    </row>
    <row r="6" spans="1:14" x14ac:dyDescent="0.3">
      <c r="A6" s="41"/>
      <c r="B6" s="41"/>
      <c r="C6" s="4" t="s">
        <v>22</v>
      </c>
      <c r="D6" s="5"/>
      <c r="E6" s="4"/>
      <c r="F6" s="4"/>
      <c r="G6" s="4"/>
      <c r="H6" s="41"/>
      <c r="I6" s="4" t="s">
        <v>131</v>
      </c>
      <c r="J6" s="5"/>
      <c r="K6" s="4"/>
      <c r="L6" s="4"/>
      <c r="M6" s="4"/>
      <c r="N6" s="41"/>
    </row>
    <row r="7" spans="1:14" ht="19.5" thickBot="1" x14ac:dyDescent="0.35">
      <c r="A7" s="41"/>
      <c r="B7" s="41"/>
      <c r="C7" s="49" t="s">
        <v>11</v>
      </c>
      <c r="D7" s="50" t="s">
        <v>0</v>
      </c>
      <c r="E7" s="49" t="s">
        <v>13</v>
      </c>
      <c r="F7" s="49" t="s">
        <v>20</v>
      </c>
      <c r="G7" s="4"/>
      <c r="H7" s="41"/>
      <c r="I7" s="2"/>
      <c r="J7" s="6"/>
      <c r="K7" s="4"/>
      <c r="L7" s="4"/>
      <c r="M7" s="4"/>
      <c r="N7" s="41"/>
    </row>
    <row r="8" spans="1:14" ht="19.5" thickBot="1" x14ac:dyDescent="0.35">
      <c r="A8" s="41"/>
      <c r="B8" s="41"/>
      <c r="C8" s="55" t="s">
        <v>95</v>
      </c>
      <c r="D8" s="56">
        <v>76451234</v>
      </c>
      <c r="E8" s="57" t="s">
        <v>14</v>
      </c>
      <c r="F8" s="57" t="s">
        <v>21</v>
      </c>
      <c r="G8" s="4"/>
      <c r="H8" s="41"/>
      <c r="I8" s="6" t="s">
        <v>128</v>
      </c>
      <c r="J8" s="6"/>
      <c r="K8" s="71">
        <v>46081</v>
      </c>
      <c r="L8" s="72">
        <f>K8-DAY(K8)+1</f>
        <v>46054</v>
      </c>
      <c r="M8" s="4"/>
      <c r="N8" s="41"/>
    </row>
    <row r="9" spans="1:14" ht="19.5" thickBot="1" x14ac:dyDescent="0.35">
      <c r="A9" s="41"/>
      <c r="B9" s="41"/>
      <c r="C9" s="55" t="s">
        <v>57</v>
      </c>
      <c r="D9" s="56">
        <v>70124589</v>
      </c>
      <c r="E9" s="57" t="s">
        <v>14</v>
      </c>
      <c r="F9" s="57" t="s">
        <v>76</v>
      </c>
      <c r="G9" s="4"/>
      <c r="H9" s="41"/>
      <c r="I9" s="6" t="s">
        <v>129</v>
      </c>
      <c r="J9" s="4"/>
      <c r="K9" s="69"/>
      <c r="L9" s="70"/>
      <c r="M9" s="4"/>
      <c r="N9" s="41"/>
    </row>
    <row r="10" spans="1:14" x14ac:dyDescent="0.3">
      <c r="A10" s="41"/>
      <c r="B10" s="41"/>
      <c r="C10" s="55" t="s">
        <v>58</v>
      </c>
      <c r="D10" s="56">
        <v>66321478</v>
      </c>
      <c r="E10" s="57" t="s">
        <v>14</v>
      </c>
      <c r="F10" s="57" t="s">
        <v>77</v>
      </c>
      <c r="G10" s="4"/>
      <c r="H10" s="41"/>
      <c r="I10" s="4"/>
      <c r="J10" s="4"/>
      <c r="K10" s="4"/>
      <c r="L10" s="4"/>
      <c r="M10" s="4"/>
      <c r="N10" s="41"/>
    </row>
    <row r="11" spans="1:14" x14ac:dyDescent="0.3">
      <c r="A11" s="41"/>
      <c r="B11" s="41"/>
      <c r="C11" s="55" t="s">
        <v>59</v>
      </c>
      <c r="D11" s="56">
        <v>78965412</v>
      </c>
      <c r="E11" s="57" t="s">
        <v>15</v>
      </c>
      <c r="F11" s="57" t="s">
        <v>78</v>
      </c>
      <c r="G11" s="4"/>
      <c r="H11" s="41"/>
      <c r="I11" s="4"/>
      <c r="J11" s="4"/>
      <c r="K11" s="4"/>
      <c r="L11" s="4"/>
      <c r="M11" s="4"/>
      <c r="N11" s="41"/>
    </row>
    <row r="12" spans="1:14" x14ac:dyDescent="0.3">
      <c r="A12" s="41"/>
      <c r="B12" s="41"/>
      <c r="C12" s="55" t="s">
        <v>60</v>
      </c>
      <c r="D12" s="56">
        <v>61239874</v>
      </c>
      <c r="E12" s="57" t="s">
        <v>16</v>
      </c>
      <c r="F12" s="57" t="s">
        <v>79</v>
      </c>
      <c r="G12" s="4"/>
      <c r="H12" s="41"/>
      <c r="I12" s="4"/>
      <c r="J12" s="4"/>
      <c r="K12" s="4"/>
      <c r="L12" s="4"/>
      <c r="M12" s="4"/>
      <c r="N12" s="41"/>
    </row>
    <row r="13" spans="1:14" x14ac:dyDescent="0.3">
      <c r="A13" s="41"/>
      <c r="B13" s="41"/>
      <c r="C13" s="55" t="s">
        <v>61</v>
      </c>
      <c r="D13" s="56">
        <v>73456981</v>
      </c>
      <c r="E13" s="57" t="s">
        <v>16</v>
      </c>
      <c r="F13" s="57" t="s">
        <v>80</v>
      </c>
      <c r="G13" s="4"/>
      <c r="H13" s="41"/>
      <c r="I13" s="4"/>
      <c r="J13" s="4"/>
      <c r="K13" s="4"/>
      <c r="L13" s="4"/>
      <c r="M13" s="4"/>
      <c r="N13" s="41"/>
    </row>
    <row r="14" spans="1:14" x14ac:dyDescent="0.3">
      <c r="A14" s="41"/>
      <c r="B14" s="41"/>
      <c r="C14" s="55" t="s">
        <v>62</v>
      </c>
      <c r="D14" s="56">
        <v>65548712</v>
      </c>
      <c r="E14" s="57" t="s">
        <v>16</v>
      </c>
      <c r="F14" s="57" t="s">
        <v>81</v>
      </c>
      <c r="G14" s="4"/>
      <c r="H14" s="41"/>
      <c r="I14" s="41"/>
      <c r="J14" s="41"/>
      <c r="K14" s="41"/>
      <c r="L14" s="41"/>
      <c r="M14" s="41"/>
      <c r="N14" s="41"/>
    </row>
    <row r="15" spans="1:14" x14ac:dyDescent="0.3">
      <c r="A15" s="41"/>
      <c r="B15" s="41"/>
      <c r="C15" s="55" t="s">
        <v>63</v>
      </c>
      <c r="D15" s="56">
        <v>77894563</v>
      </c>
      <c r="E15" s="57" t="s">
        <v>16</v>
      </c>
      <c r="F15" s="57" t="s">
        <v>82</v>
      </c>
      <c r="G15" s="4"/>
      <c r="H15" s="41"/>
      <c r="I15" s="41"/>
      <c r="J15" s="41"/>
      <c r="K15" s="41"/>
      <c r="L15" s="41"/>
      <c r="M15" s="41"/>
      <c r="N15" s="41"/>
    </row>
    <row r="16" spans="1:14" x14ac:dyDescent="0.3">
      <c r="A16" s="41"/>
      <c r="B16" s="41"/>
      <c r="C16" s="55" t="s">
        <v>64</v>
      </c>
      <c r="D16" s="56">
        <v>70112233</v>
      </c>
      <c r="E16" s="57" t="s">
        <v>17</v>
      </c>
      <c r="F16" s="57" t="s">
        <v>83</v>
      </c>
      <c r="G16" s="4"/>
      <c r="H16" s="41"/>
      <c r="I16" s="41"/>
      <c r="J16" s="41"/>
      <c r="K16" s="41"/>
      <c r="L16" s="41"/>
      <c r="M16" s="41"/>
      <c r="N16" s="41"/>
    </row>
    <row r="17" spans="1:14" x14ac:dyDescent="0.3">
      <c r="A17" s="41"/>
      <c r="B17" s="41"/>
      <c r="C17" s="55" t="s">
        <v>65</v>
      </c>
      <c r="D17" s="56">
        <v>76334455</v>
      </c>
      <c r="E17" s="57" t="s">
        <v>17</v>
      </c>
      <c r="F17" s="57" t="s">
        <v>84</v>
      </c>
      <c r="G17" s="4"/>
      <c r="H17" s="41"/>
      <c r="I17" s="41"/>
      <c r="J17" s="41"/>
      <c r="K17" s="41"/>
      <c r="L17" s="41"/>
      <c r="M17" s="41"/>
      <c r="N17" s="41"/>
    </row>
    <row r="18" spans="1:14" x14ac:dyDescent="0.3">
      <c r="C18" s="55" t="s">
        <v>66</v>
      </c>
      <c r="D18" s="56">
        <v>66998877</v>
      </c>
      <c r="E18" s="57" t="s">
        <v>17</v>
      </c>
      <c r="F18" s="55" t="s">
        <v>85</v>
      </c>
      <c r="G18" s="19"/>
      <c r="H18" s="16"/>
      <c r="I18" s="16"/>
      <c r="J18" s="17"/>
      <c r="K18" s="26"/>
    </row>
    <row r="19" spans="1:14" x14ac:dyDescent="0.3">
      <c r="C19" s="55" t="s">
        <v>67</v>
      </c>
      <c r="D19" s="56">
        <v>73445566</v>
      </c>
      <c r="E19" s="57" t="s">
        <v>17</v>
      </c>
      <c r="F19" s="55" t="s">
        <v>86</v>
      </c>
      <c r="G19" s="19"/>
      <c r="H19" s="16"/>
      <c r="I19" s="16"/>
      <c r="J19" s="17"/>
      <c r="K19" s="26"/>
    </row>
    <row r="20" spans="1:14" x14ac:dyDescent="0.3">
      <c r="C20" s="55" t="s">
        <v>68</v>
      </c>
      <c r="D20" s="56">
        <v>78889900</v>
      </c>
      <c r="E20" s="55" t="s">
        <v>18</v>
      </c>
      <c r="F20" s="55" t="s">
        <v>87</v>
      </c>
      <c r="G20" s="19"/>
      <c r="H20" s="16"/>
      <c r="I20" s="16"/>
      <c r="J20" s="17"/>
      <c r="K20" s="26"/>
    </row>
    <row r="21" spans="1:14" x14ac:dyDescent="0.3">
      <c r="C21" s="55" t="s">
        <v>69</v>
      </c>
      <c r="D21" s="56">
        <v>90045642</v>
      </c>
      <c r="E21" s="55" t="s">
        <v>18</v>
      </c>
      <c r="F21" s="55" t="s">
        <v>88</v>
      </c>
      <c r="G21" s="19"/>
      <c r="H21" s="16"/>
      <c r="I21" s="16"/>
      <c r="J21" s="17"/>
      <c r="K21" s="26"/>
    </row>
    <row r="22" spans="1:14" x14ac:dyDescent="0.3">
      <c r="C22" s="55" t="s">
        <v>70</v>
      </c>
      <c r="D22" s="56">
        <v>75334573</v>
      </c>
      <c r="E22" s="55" t="s">
        <v>18</v>
      </c>
      <c r="F22" s="55" t="s">
        <v>89</v>
      </c>
      <c r="G22" s="19"/>
      <c r="H22" s="16"/>
      <c r="I22" s="16"/>
      <c r="J22" s="17"/>
      <c r="K22" s="26"/>
    </row>
    <row r="23" spans="1:14" x14ac:dyDescent="0.3">
      <c r="C23" s="55" t="s">
        <v>71</v>
      </c>
      <c r="D23" s="56">
        <v>66380912</v>
      </c>
      <c r="E23" s="55" t="s">
        <v>18</v>
      </c>
      <c r="F23" s="55" t="s">
        <v>90</v>
      </c>
      <c r="G23" s="19"/>
      <c r="H23" s="16"/>
      <c r="I23" s="16"/>
      <c r="J23" s="17"/>
      <c r="K23" s="26"/>
    </row>
    <row r="24" spans="1:14" x14ac:dyDescent="0.3">
      <c r="C24" s="55" t="s">
        <v>72</v>
      </c>
      <c r="D24" s="56">
        <v>61245673</v>
      </c>
      <c r="E24" s="55" t="s">
        <v>19</v>
      </c>
      <c r="F24" s="55" t="s">
        <v>91</v>
      </c>
      <c r="G24" s="19"/>
      <c r="H24" s="16"/>
      <c r="I24" s="16"/>
      <c r="J24" s="17"/>
      <c r="K24" s="26"/>
    </row>
    <row r="25" spans="1:14" x14ac:dyDescent="0.3">
      <c r="C25" s="55" t="s">
        <v>73</v>
      </c>
      <c r="D25" s="56">
        <v>79813052</v>
      </c>
      <c r="E25" s="55" t="s">
        <v>19</v>
      </c>
      <c r="F25" s="55" t="s">
        <v>92</v>
      </c>
      <c r="G25" s="19"/>
      <c r="H25" s="16"/>
      <c r="I25" s="16"/>
      <c r="J25" s="17"/>
      <c r="K25" s="26"/>
    </row>
    <row r="26" spans="1:14" x14ac:dyDescent="0.3">
      <c r="C26" s="55" t="s">
        <v>74</v>
      </c>
      <c r="D26" s="56">
        <v>90781452</v>
      </c>
      <c r="E26" s="55" t="s">
        <v>19</v>
      </c>
      <c r="F26" s="55" t="s">
        <v>93</v>
      </c>
      <c r="G26" s="19"/>
      <c r="H26" s="16"/>
      <c r="I26" s="16"/>
      <c r="J26" s="17"/>
      <c r="K26" s="26"/>
    </row>
    <row r="27" spans="1:14" x14ac:dyDescent="0.3">
      <c r="C27" s="55" t="s">
        <v>75</v>
      </c>
      <c r="D27" s="56">
        <v>53195347</v>
      </c>
      <c r="E27" s="55" t="s">
        <v>19</v>
      </c>
      <c r="F27" s="55" t="s">
        <v>94</v>
      </c>
      <c r="G27" s="19"/>
      <c r="H27" s="16"/>
      <c r="I27" s="16"/>
      <c r="J27" s="17"/>
      <c r="K27" s="26"/>
    </row>
    <row r="28" spans="1:14" x14ac:dyDescent="0.3">
      <c r="D28" s="7"/>
      <c r="G28" s="19"/>
      <c r="H28" s="16"/>
      <c r="I28" s="16"/>
      <c r="J28" s="17"/>
      <c r="K28" s="26"/>
    </row>
    <row r="29" spans="1:14" x14ac:dyDescent="0.3">
      <c r="G29" s="19"/>
      <c r="H29" s="16"/>
      <c r="I29" s="16"/>
      <c r="J29" s="17"/>
      <c r="K29" s="26"/>
    </row>
    <row r="30" spans="1:14" x14ac:dyDescent="0.3">
      <c r="G30" s="19"/>
      <c r="H30" s="16"/>
      <c r="I30" s="16"/>
      <c r="J30" s="17"/>
      <c r="K30" s="26"/>
    </row>
    <row r="31" spans="1:14" x14ac:dyDescent="0.3">
      <c r="G31" s="19"/>
      <c r="H31" s="16"/>
      <c r="I31" s="16"/>
      <c r="J31" s="17"/>
      <c r="K31" s="26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1:L8"/>
  <sheetViews>
    <sheetView zoomScale="70" zoomScaleNormal="70" workbookViewId="0">
      <pane ySplit="7" topLeftCell="A8" activePane="bottomLeft" state="frozen"/>
      <selection activeCell="B1" sqref="B1"/>
      <selection pane="bottomLeft" activeCell="C46" sqref="C46"/>
    </sheetView>
  </sheetViews>
  <sheetFormatPr baseColWidth="10" defaultRowHeight="18.75" x14ac:dyDescent="0.3"/>
  <cols>
    <col min="1" max="1" width="3.7109375" style="15" customWidth="1"/>
    <col min="2" max="2" width="4.28515625" style="15" customWidth="1"/>
    <col min="3" max="3" width="18.28515625" style="2" customWidth="1"/>
    <col min="4" max="4" width="32.85546875" style="2" customWidth="1"/>
    <col min="5" max="5" width="25.28515625" style="2" customWidth="1"/>
    <col min="6" max="6" width="27.42578125" style="2" customWidth="1"/>
    <col min="7" max="7" width="20.7109375" style="2" customWidth="1"/>
    <col min="8" max="8" width="25.5703125" style="2" customWidth="1"/>
    <col min="9" max="9" width="23.42578125" style="2" customWidth="1"/>
    <col min="10" max="10" width="29.7109375" style="2" customWidth="1"/>
    <col min="11" max="11" width="43" style="2" customWidth="1"/>
    <col min="12" max="12" width="5.28515625" style="2" customWidth="1"/>
    <col min="13" max="16384" width="11.42578125" style="15"/>
  </cols>
  <sheetData>
    <row r="1" spans="3:12" s="2" customFormat="1" ht="30.75" customHeight="1" x14ac:dyDescent="0.3"/>
    <row r="2" spans="3:12" s="2" customFormat="1" ht="16.5" customHeight="1" x14ac:dyDescent="0.3"/>
    <row r="3" spans="3:12" x14ac:dyDescent="0.3">
      <c r="C3" s="15"/>
      <c r="D3" s="15"/>
      <c r="E3" s="15"/>
      <c r="F3" s="15"/>
      <c r="G3" s="15"/>
      <c r="H3" s="15"/>
      <c r="I3" s="15"/>
      <c r="J3" s="15"/>
      <c r="K3" s="15"/>
      <c r="L3" s="15"/>
    </row>
    <row r="6" spans="3:12" ht="30.75" customHeight="1" x14ac:dyDescent="0.3">
      <c r="C6" s="54" t="s">
        <v>52</v>
      </c>
    </row>
    <row r="7" spans="3:12" x14ac:dyDescent="0.3">
      <c r="C7" s="51" t="s">
        <v>53</v>
      </c>
      <c r="D7" s="52" t="s">
        <v>30</v>
      </c>
      <c r="E7" s="52" t="s">
        <v>10</v>
      </c>
      <c r="F7" s="52" t="s">
        <v>6</v>
      </c>
      <c r="G7" s="52" t="s">
        <v>37</v>
      </c>
      <c r="H7" s="52" t="s">
        <v>5</v>
      </c>
      <c r="I7" s="52" t="s">
        <v>54</v>
      </c>
      <c r="J7" s="52" t="s">
        <v>55</v>
      </c>
      <c r="K7" s="53" t="s">
        <v>20</v>
      </c>
    </row>
    <row r="8" spans="3:12" x14ac:dyDescent="0.3">
      <c r="C8" s="104"/>
      <c r="D8" s="105"/>
      <c r="E8" s="108"/>
      <c r="F8" s="108"/>
      <c r="G8" s="105"/>
      <c r="H8" s="106"/>
      <c r="I8" s="106"/>
      <c r="J8" s="106"/>
      <c r="K8" s="10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BU23"/>
  <sheetViews>
    <sheetView topLeftCell="Z1" zoomScale="85" zoomScaleNormal="85" workbookViewId="0">
      <selection activeCell="AL4" sqref="AL4"/>
    </sheetView>
  </sheetViews>
  <sheetFormatPr baseColWidth="10" defaultRowHeight="15" x14ac:dyDescent="0.25"/>
  <cols>
    <col min="1" max="1" width="18.140625" bestFit="1" customWidth="1"/>
    <col min="3" max="3" width="13.7109375" customWidth="1"/>
    <col min="4" max="5" width="18.42578125" bestFit="1" customWidth="1"/>
    <col min="6" max="6" width="17.7109375" customWidth="1"/>
    <col min="7" max="7" width="17" customWidth="1"/>
    <col min="9" max="9" width="14" bestFit="1" customWidth="1"/>
    <col min="12" max="12" width="25.5703125" customWidth="1"/>
    <col min="13" max="13" width="20.7109375" customWidth="1"/>
    <col min="16" max="16" width="27" customWidth="1"/>
    <col min="18" max="18" width="20.7109375" bestFit="1" customWidth="1"/>
    <col min="19" max="19" width="23.140625" bestFit="1" customWidth="1"/>
    <col min="21" max="21" width="15.85546875" bestFit="1" customWidth="1"/>
    <col min="22" max="22" width="13.5703125" customWidth="1"/>
    <col min="24" max="24" width="20.7109375" bestFit="1" customWidth="1"/>
    <col min="25" max="25" width="13.5703125" customWidth="1"/>
    <col min="26" max="26" width="10.42578125" customWidth="1"/>
    <col min="27" max="27" width="15.85546875" bestFit="1" customWidth="1"/>
    <col min="28" max="28" width="9.28515625" customWidth="1"/>
    <col min="30" max="30" width="20.7109375" bestFit="1" customWidth="1"/>
    <col min="31" max="31" width="23.140625" customWidth="1"/>
    <col min="33" max="33" width="25.5703125" bestFit="1" customWidth="1"/>
    <col min="34" max="34" width="27" bestFit="1" customWidth="1"/>
    <col min="37" max="37" width="21" bestFit="1" customWidth="1"/>
    <col min="38" max="38" width="15.85546875" bestFit="1" customWidth="1"/>
    <col min="40" max="40" width="21" bestFit="1" customWidth="1"/>
    <col min="41" max="41" width="16.85546875" bestFit="1" customWidth="1"/>
    <col min="43" max="43" width="9.7109375" customWidth="1"/>
    <col min="44" max="44" width="19" bestFit="1" customWidth="1"/>
    <col min="45" max="45" width="13.5703125" customWidth="1"/>
    <col min="48" max="48" width="21" bestFit="1" customWidth="1"/>
    <col min="49" max="49" width="15.85546875" bestFit="1" customWidth="1"/>
    <col min="51" max="51" width="23" bestFit="1" customWidth="1"/>
    <col min="52" max="52" width="26.140625" bestFit="1" customWidth="1"/>
    <col min="54" max="54" width="11.85546875" bestFit="1" customWidth="1"/>
    <col min="57" max="57" width="23" bestFit="1" customWidth="1"/>
    <col min="58" max="58" width="23.140625" customWidth="1"/>
    <col min="63" max="63" width="23" bestFit="1" customWidth="1"/>
    <col min="64" max="64" width="20.7109375" customWidth="1"/>
    <col min="69" max="69" width="23" bestFit="1" customWidth="1"/>
    <col min="70" max="70" width="20.7109375" customWidth="1"/>
  </cols>
  <sheetData>
    <row r="1" spans="2:73" ht="15.75" thickBot="1" x14ac:dyDescent="0.3">
      <c r="B1" s="101" t="s">
        <v>149</v>
      </c>
      <c r="C1" s="101"/>
      <c r="D1" s="101"/>
      <c r="E1" s="101"/>
      <c r="F1" s="101"/>
      <c r="G1" s="101"/>
      <c r="H1" s="101"/>
      <c r="I1" s="101"/>
    </row>
    <row r="2" spans="2:73" ht="16.5" thickBot="1" x14ac:dyDescent="0.3">
      <c r="C2" s="66" t="s">
        <v>122</v>
      </c>
      <c r="D2" s="66" t="s">
        <v>123</v>
      </c>
      <c r="E2" s="65" t="s">
        <v>4</v>
      </c>
      <c r="F2" s="65" t="s">
        <v>126</v>
      </c>
      <c r="G2" s="66" t="s">
        <v>127</v>
      </c>
      <c r="H2" s="67" t="s">
        <v>124</v>
      </c>
      <c r="I2" s="68" t="s">
        <v>125</v>
      </c>
      <c r="J2" t="s">
        <v>124</v>
      </c>
      <c r="L2" s="95" t="s">
        <v>152</v>
      </c>
      <c r="M2" s="96"/>
      <c r="N2" s="97"/>
      <c r="P2" s="98" t="s">
        <v>4</v>
      </c>
      <c r="R2" s="98" t="s">
        <v>151</v>
      </c>
      <c r="S2" s="98"/>
      <c r="U2" s="98" t="s">
        <v>140</v>
      </c>
      <c r="V2" s="98"/>
      <c r="X2" s="98" t="s">
        <v>141</v>
      </c>
      <c r="Y2" s="98"/>
      <c r="AA2" s="98" t="s">
        <v>153</v>
      </c>
      <c r="AB2" s="98"/>
      <c r="AD2" s="98" t="s">
        <v>154</v>
      </c>
      <c r="AE2" s="98"/>
      <c r="AG2" s="98" t="s">
        <v>120</v>
      </c>
      <c r="AH2" s="98"/>
      <c r="AI2" s="98"/>
      <c r="AK2" s="98" t="s">
        <v>142</v>
      </c>
      <c r="AL2" s="98"/>
      <c r="AN2" s="98" t="s">
        <v>143</v>
      </c>
      <c r="AO2" s="98"/>
      <c r="AQ2" s="98" t="s">
        <v>143</v>
      </c>
      <c r="AR2" s="98"/>
      <c r="AS2" s="98"/>
      <c r="AT2" s="98"/>
      <c r="AV2" s="98" t="s">
        <v>155</v>
      </c>
      <c r="AW2" s="98"/>
      <c r="AY2" s="98" t="s">
        <v>144</v>
      </c>
      <c r="AZ2" s="98"/>
      <c r="BE2" s="98" t="s">
        <v>146</v>
      </c>
      <c r="BF2" s="98"/>
      <c r="BK2" s="98" t="s">
        <v>145</v>
      </c>
      <c r="BL2" s="98"/>
      <c r="BQ2" s="98" t="s">
        <v>147</v>
      </c>
      <c r="BR2" s="98"/>
    </row>
    <row r="3" spans="2:73" x14ac:dyDescent="0.25">
      <c r="B3" s="73">
        <f>EDATE(dateRef,-5)</f>
        <v>45901</v>
      </c>
      <c r="C3" s="76">
        <f>SUMIFS(listeCreances[Montant facturé],listeCreances[Date d''émission],"&gt;="&amp;B3,listeCreances[Date d''émission],"&lt;="&amp;B3+I3-1)</f>
        <v>255000</v>
      </c>
      <c r="D3" s="76">
        <f>C3</f>
        <v>255000</v>
      </c>
      <c r="E3" s="77">
        <f>SUMIFS(historiqueReglements[[Montant encaissé ]],historiqueReglements[Date d''encaissement],"&gt;="&amp;B3,historiqueReglements[Date d''encaissement],"&lt;="&amp;B3+I3-1)</f>
        <v>0</v>
      </c>
      <c r="F3" s="77">
        <f>E3</f>
        <v>0</v>
      </c>
      <c r="G3" s="78">
        <f>D3-F3</f>
        <v>255000</v>
      </c>
      <c r="H3" s="75">
        <f>IFERROR(G3/C3*I3,0)</f>
        <v>30</v>
      </c>
      <c r="I3" s="64">
        <f>DAY(EOMONTH(B3,0))</f>
        <v>30</v>
      </c>
      <c r="J3" s="81">
        <f>H3</f>
        <v>30</v>
      </c>
      <c r="L3" t="s">
        <v>117</v>
      </c>
      <c r="M3" t="s">
        <v>116</v>
      </c>
      <c r="P3" t="s">
        <v>118</v>
      </c>
      <c r="R3" s="60" t="s">
        <v>1</v>
      </c>
      <c r="S3" t="s">
        <v>137</v>
      </c>
      <c r="U3" s="60" t="s">
        <v>1</v>
      </c>
      <c r="V3" t="s">
        <v>163</v>
      </c>
      <c r="X3" s="60" t="s">
        <v>1</v>
      </c>
      <c r="Y3" t="s">
        <v>163</v>
      </c>
      <c r="AA3" s="60" t="s">
        <v>1</v>
      </c>
      <c r="AB3" t="s">
        <v>121</v>
      </c>
      <c r="AD3" s="60" t="s">
        <v>1</v>
      </c>
      <c r="AE3" t="s">
        <v>137</v>
      </c>
      <c r="AG3" t="s">
        <v>117</v>
      </c>
      <c r="AH3" t="s">
        <v>118</v>
      </c>
      <c r="AK3" s="60" t="s">
        <v>115</v>
      </c>
      <c r="AL3" t="s">
        <v>119</v>
      </c>
      <c r="AN3" s="60" t="s">
        <v>115</v>
      </c>
      <c r="AO3" t="s">
        <v>136</v>
      </c>
      <c r="AV3" s="60" t="s">
        <v>115</v>
      </c>
      <c r="AW3" t="s">
        <v>119</v>
      </c>
      <c r="AY3" s="60" t="s">
        <v>8</v>
      </c>
      <c r="AZ3" t="s">
        <v>137</v>
      </c>
      <c r="BE3" s="60" t="s">
        <v>8</v>
      </c>
      <c r="BF3" t="s">
        <v>137</v>
      </c>
      <c r="BK3" s="60" t="s">
        <v>8</v>
      </c>
      <c r="BL3" t="s">
        <v>28</v>
      </c>
      <c r="BQ3" s="60" t="s">
        <v>8</v>
      </c>
      <c r="BR3" t="s">
        <v>29</v>
      </c>
    </row>
    <row r="4" spans="2:73" x14ac:dyDescent="0.25">
      <c r="B4" s="73">
        <f>EDATE(dateRef,-4)</f>
        <v>45931</v>
      </c>
      <c r="C4" s="76">
        <f>SUMIFS(listeCreances[Montant facturé],listeCreances[Date d''émission],"&gt;="&amp;B4,listeCreances[Date d''émission],"&lt;="&amp;B4+I4-1)</f>
        <v>810000</v>
      </c>
      <c r="D4" s="76">
        <f>C4+D3</f>
        <v>1065000</v>
      </c>
      <c r="E4" s="77">
        <f>SUMIFS(historiqueReglements[[Montant encaissé ]],historiqueReglements[Date d''encaissement],"&gt;="&amp;B4,historiqueReglements[Date d''encaissement],"&lt;="&amp;B4+I4-1)</f>
        <v>375000</v>
      </c>
      <c r="F4" s="77">
        <f>E4+F3</f>
        <v>375000</v>
      </c>
      <c r="G4" s="78">
        <f t="shared" ref="G4:G8" si="0">D4-F4</f>
        <v>690000</v>
      </c>
      <c r="H4" s="75">
        <f t="shared" ref="H4:H7" si="1">IFERROR(G4/C4*I4,0)</f>
        <v>26.407407407407408</v>
      </c>
      <c r="I4" s="64">
        <f t="shared" ref="I4:I8" si="2">DAY(EOMONTH(B4,0))</f>
        <v>31</v>
      </c>
      <c r="J4" s="81">
        <f t="shared" ref="J4:J8" si="3">H4</f>
        <v>26.407407407407408</v>
      </c>
      <c r="L4" s="83">
        <v>2027000</v>
      </c>
      <c r="M4" s="59">
        <v>24</v>
      </c>
      <c r="N4" t="str">
        <f>GETPIVOTDATA("Nombre de N° Facture",$L$3)&amp;" Fac. "</f>
        <v xml:space="preserve">24 Fac. </v>
      </c>
      <c r="P4" s="83">
        <v>1445000</v>
      </c>
      <c r="AG4" s="83">
        <v>2027000</v>
      </c>
      <c r="AH4" s="83">
        <v>1445000</v>
      </c>
      <c r="AI4" s="62">
        <f>GETPIVOTDATA("Somme de Montant encaissé",$AG$3)/GETPIVOTDATA("Somme de Montant facturé",$AG$3)</f>
        <v>0.71287617168228912</v>
      </c>
      <c r="AK4" s="61" t="s">
        <v>121</v>
      </c>
      <c r="AL4" s="83">
        <v>312000</v>
      </c>
      <c r="AN4" s="61" t="s">
        <v>98</v>
      </c>
      <c r="AO4" s="59">
        <v>97</v>
      </c>
      <c r="AQ4" s="99" t="str">
        <f>AN4</f>
        <v>F-025</v>
      </c>
      <c r="AR4" s="99" t="str">
        <f>VLOOKUP(Traitement!AQ4,listeCreances[],3,FALSE)</f>
        <v>Boubacar Sangaré</v>
      </c>
      <c r="AS4" s="100">
        <f>VLOOKUP(Traitement!AQ4,listeCreances[],7,FALSE)</f>
        <v>25000</v>
      </c>
      <c r="AT4" s="99">
        <f ca="1">VLOOKUP(Traitement!AQ4,listeCreances[],9,FALSE)</f>
        <v>262</v>
      </c>
      <c r="AV4" s="61" t="s">
        <v>65</v>
      </c>
      <c r="AW4" s="83">
        <v>65000</v>
      </c>
    </row>
    <row r="5" spans="2:73" x14ac:dyDescent="0.25">
      <c r="B5" s="73">
        <f>EDATE(dateRef,-3)</f>
        <v>45962</v>
      </c>
      <c r="C5" s="76">
        <f>SUMIFS(listeCreances[Montant facturé],listeCreances[Date d''émission],"&gt;="&amp;B5,listeCreances[Date d''émission],"&lt;="&amp;B5+I5-1)</f>
        <v>255000</v>
      </c>
      <c r="D5" s="76">
        <f>C5+D4</f>
        <v>1320000</v>
      </c>
      <c r="E5" s="77">
        <f>SUMIFS(historiqueReglements[[Montant encaissé ]],historiqueReglements[Date d''encaissement],"&gt;="&amp;B5,historiqueReglements[Date d''encaissement],"&lt;="&amp;B5+I5-1)</f>
        <v>271000</v>
      </c>
      <c r="F5" s="77">
        <f t="shared" ref="F5:F8" si="4">E5+F4</f>
        <v>646000</v>
      </c>
      <c r="G5" s="78">
        <f t="shared" si="0"/>
        <v>674000</v>
      </c>
      <c r="H5" s="75">
        <f t="shared" si="1"/>
        <v>79.294117647058826</v>
      </c>
      <c r="I5" s="64">
        <f t="shared" si="2"/>
        <v>30</v>
      </c>
      <c r="J5" s="81">
        <f t="shared" si="3"/>
        <v>79.294117647058826</v>
      </c>
      <c r="R5" t="s">
        <v>116</v>
      </c>
      <c r="U5" t="s">
        <v>119</v>
      </c>
      <c r="X5" t="s">
        <v>116</v>
      </c>
      <c r="AA5" t="s">
        <v>119</v>
      </c>
      <c r="AD5" t="s">
        <v>116</v>
      </c>
      <c r="AK5" s="61" t="s">
        <v>163</v>
      </c>
      <c r="AL5" s="83">
        <v>270000</v>
      </c>
      <c r="AN5" s="61" t="s">
        <v>100</v>
      </c>
      <c r="AO5" s="59">
        <v>79</v>
      </c>
      <c r="AQ5" s="99" t="str">
        <f t="shared" ref="AQ5:AQ8" si="5">AN5</f>
        <v>F-027</v>
      </c>
      <c r="AR5" s="99" t="str">
        <f>VLOOKUP(Traitement!AQ5,listeCreances[],3,FALSE)</f>
        <v>Mariam Keita</v>
      </c>
      <c r="AS5" s="100">
        <f>VLOOKUP(Traitement!AQ5,listeCreances[],7,FALSE)</f>
        <v>90000</v>
      </c>
      <c r="AT5" s="99">
        <f ca="1">VLOOKUP(Traitement!AQ5,listeCreances[],9,FALSE)</f>
        <v>244</v>
      </c>
      <c r="AV5" s="61" t="s">
        <v>62</v>
      </c>
      <c r="AW5" s="83">
        <v>75000</v>
      </c>
      <c r="AY5" t="s">
        <v>119</v>
      </c>
      <c r="AZ5" t="s">
        <v>138</v>
      </c>
      <c r="BE5" t="s">
        <v>119</v>
      </c>
      <c r="BF5" t="s">
        <v>116</v>
      </c>
      <c r="BH5" s="83" t="str">
        <f>IF(GETPIVOTDATA("Somme de Solde",$BE$5)=0,"",GETPIVOTDATA("Somme de Solde",$BE$5))</f>
        <v/>
      </c>
      <c r="BI5" s="82" t="str">
        <f>IF(GETPIVOTDATA("Nombre de N° Facture",$BE$5)="","(0 facture)",GETPIVOTDATA("Nombre de N° Facture",$BE$5)&amp;" facture")</f>
        <v>(0 facture)</v>
      </c>
      <c r="BK5" t="s">
        <v>119</v>
      </c>
      <c r="BL5" t="s">
        <v>116</v>
      </c>
      <c r="BQ5" t="s">
        <v>119</v>
      </c>
      <c r="BR5" t="s">
        <v>116</v>
      </c>
    </row>
    <row r="6" spans="2:73" x14ac:dyDescent="0.25">
      <c r="B6" s="73">
        <f>EDATE(dateRef,-2)</f>
        <v>45992</v>
      </c>
      <c r="C6" s="76">
        <f>SUMIFS(listeCreances[Montant facturé],listeCreances[Date d''émission],"&gt;="&amp;B6,listeCreances[Date d''émission],"&lt;="&amp;B6+I6-1)</f>
        <v>150000</v>
      </c>
      <c r="D6" s="76">
        <f t="shared" ref="D6:D7" si="6">C6+D5</f>
        <v>1470000</v>
      </c>
      <c r="E6" s="77">
        <f>SUMIFS(historiqueReglements[[Montant encaissé ]],historiqueReglements[Date d''encaissement],"&gt;="&amp;B6,historiqueReglements[Date d''encaissement],"&lt;="&amp;B6+I6-1)</f>
        <v>85000</v>
      </c>
      <c r="F6" s="77">
        <f t="shared" si="4"/>
        <v>731000</v>
      </c>
      <c r="G6" s="78">
        <f t="shared" si="0"/>
        <v>739000</v>
      </c>
      <c r="H6" s="75">
        <f t="shared" si="1"/>
        <v>152.72666666666666</v>
      </c>
      <c r="I6" s="64">
        <f t="shared" si="2"/>
        <v>31</v>
      </c>
      <c r="J6" s="81">
        <f t="shared" si="3"/>
        <v>152.72666666666666</v>
      </c>
      <c r="R6" s="59">
        <v>15</v>
      </c>
      <c r="S6" t="str">
        <f>GETPIVOTDATA("N° Facture",$R$5)&amp;" Fac. "</f>
        <v xml:space="preserve">15 Fac. </v>
      </c>
      <c r="U6" s="83">
        <v>270000</v>
      </c>
      <c r="X6" s="59">
        <v>4</v>
      </c>
      <c r="Y6" t="str">
        <f>GETPIVOTDATA("N° Facture",$X$5)&amp;" Fac. "</f>
        <v xml:space="preserve">4 Fac. </v>
      </c>
      <c r="AA6" s="83">
        <v>312000</v>
      </c>
      <c r="AD6" s="59">
        <v>5</v>
      </c>
      <c r="AE6" t="str">
        <f>GETPIVOTDATA("N° Facture",$AD$5)&amp;" Fac. "</f>
        <v xml:space="preserve">5 Fac. </v>
      </c>
      <c r="AK6" s="61" t="s">
        <v>114</v>
      </c>
      <c r="AL6" s="83">
        <v>582000</v>
      </c>
      <c r="AN6" s="61" t="s">
        <v>103</v>
      </c>
      <c r="AO6" s="59">
        <v>53</v>
      </c>
      <c r="AQ6" s="99" t="str">
        <f t="shared" si="5"/>
        <v>F-034</v>
      </c>
      <c r="AR6" s="99" t="str">
        <f>VLOOKUP(Traitement!AQ6,listeCreances[],3,FALSE)</f>
        <v>Sekou Diallo</v>
      </c>
      <c r="AS6" s="100">
        <f>VLOOKUP(Traitement!AQ6,listeCreances[],7,FALSE)</f>
        <v>75000</v>
      </c>
      <c r="AT6" s="99">
        <f ca="1">VLOOKUP(Traitement!AQ6,listeCreances[],9,FALSE)</f>
        <v>218</v>
      </c>
      <c r="AV6" s="61" t="s">
        <v>72</v>
      </c>
      <c r="AW6" s="83">
        <v>90000</v>
      </c>
      <c r="AY6" s="83">
        <v>197000</v>
      </c>
      <c r="AZ6" s="59">
        <v>3</v>
      </c>
      <c r="BB6" s="83">
        <f>IF(GETPIVOTDATA("Somme de Solde",$AY$5)="",0,GETPIVOTDATA("Somme de Solde",$AY$5))</f>
        <v>197000</v>
      </c>
      <c r="BC6" s="82" t="str">
        <f>IF(GETPIVOTDATA("Nombre de Montant facturé",$AY$5)="","(0 facture)",GETPIVOTDATA("Nombre de Montant facturé",$AY$5)&amp;" facture")</f>
        <v>3 facture</v>
      </c>
      <c r="BE6" s="83"/>
      <c r="BF6" s="59"/>
      <c r="BK6" s="83">
        <v>122000</v>
      </c>
      <c r="BL6" s="59">
        <v>2</v>
      </c>
      <c r="BN6" s="83">
        <f>IF(GETPIVOTDATA("Somme de Solde",$BK$5)="",0,GETPIVOTDATA("Somme de Solde",$BK$5))</f>
        <v>122000</v>
      </c>
      <c r="BO6" s="82" t="str">
        <f>IF(GETPIVOTDATA("Nombre de N° Facture",$BK$5)="","(0 facture)",GETPIVOTDATA("Nombre de N° Facture",$BK$5)&amp;" facture")</f>
        <v>2 facture</v>
      </c>
      <c r="BQ6" s="83">
        <v>75000</v>
      </c>
      <c r="BR6" s="59">
        <v>1</v>
      </c>
      <c r="BT6" s="83">
        <f>IF(GETPIVOTDATA("Somme de Solde",$BQ$5)="",0,GETPIVOTDATA("Somme de Solde",$BQ$5))</f>
        <v>75000</v>
      </c>
      <c r="BU6" s="82" t="str">
        <f>IF(GETPIVOTDATA("Nombre de N° Facture",$BQ$5)="","(0 facture)",GETPIVOTDATA("Nombre de N° Facture",$BQ$5)&amp;" facture")</f>
        <v>1 facture</v>
      </c>
    </row>
    <row r="7" spans="2:73" x14ac:dyDescent="0.25">
      <c r="B7" s="73">
        <f>EDATE(dateRef,-1)</f>
        <v>46023</v>
      </c>
      <c r="C7" s="76">
        <f>SUMIFS(listeCreances[Montant facturé],listeCreances[Date d''émission],"&gt;="&amp;B7,listeCreances[Date d''émission],"&lt;="&amp;B7+I7-1)</f>
        <v>162000</v>
      </c>
      <c r="D7" s="76">
        <f t="shared" si="6"/>
        <v>1632000</v>
      </c>
      <c r="E7" s="77">
        <f>SUMIFS(historiqueReglements[[Montant encaissé ]],historiqueReglements[Date d''encaissement],"&gt;="&amp;B7,historiqueReglements[Date d''encaissement],"&lt;="&amp;B7+I7-1)</f>
        <v>204000</v>
      </c>
      <c r="F7" s="77">
        <f t="shared" si="4"/>
        <v>935000</v>
      </c>
      <c r="G7" s="78">
        <f t="shared" si="0"/>
        <v>697000</v>
      </c>
      <c r="H7" s="75">
        <f t="shared" si="1"/>
        <v>133.37654320987653</v>
      </c>
      <c r="I7" s="64">
        <f t="shared" si="2"/>
        <v>31</v>
      </c>
      <c r="J7" s="81">
        <f t="shared" si="3"/>
        <v>133.37654320987653</v>
      </c>
      <c r="AN7" s="61" t="s">
        <v>101</v>
      </c>
      <c r="AO7" s="59">
        <v>43</v>
      </c>
      <c r="AQ7" s="99" t="str">
        <f t="shared" si="5"/>
        <v>F-036</v>
      </c>
      <c r="AR7" s="99" t="str">
        <f>VLOOKUP(Traitement!AQ7,listeCreances[],3,FALSE)</f>
        <v>Oumar Keita</v>
      </c>
      <c r="AS7" s="100">
        <f>VLOOKUP(Traitement!AQ7,listeCreances[],7,FALSE)</f>
        <v>25000</v>
      </c>
      <c r="AT7" s="99">
        <f ca="1">VLOOKUP(Traitement!AQ7,listeCreances[],9,FALSE)</f>
        <v>208</v>
      </c>
      <c r="AV7" s="61" t="s">
        <v>71</v>
      </c>
      <c r="AW7" s="83">
        <v>97000</v>
      </c>
    </row>
    <row r="8" spans="2:73" x14ac:dyDescent="0.25">
      <c r="B8" s="73">
        <f>EDATE(dateRef,0)</f>
        <v>46054</v>
      </c>
      <c r="C8" s="76">
        <f>SUMIFS(listeCreances[Montant facturé],listeCreances[Date d''émission],"&gt;="&amp;B8,listeCreances[Date d''émission],"&lt;="&amp;B8+I8-1)</f>
        <v>245000</v>
      </c>
      <c r="D8" s="76">
        <f>C8+D7</f>
        <v>1877000</v>
      </c>
      <c r="E8" s="77">
        <f>SUMIFS(historiqueReglements[[Montant encaissé ]],historiqueReglements[Date d''encaissement],"&gt;="&amp;B8,historiqueReglements[Date d''encaissement],"&lt;="&amp;B8+I8-1)</f>
        <v>258000</v>
      </c>
      <c r="F8" s="77">
        <f t="shared" si="4"/>
        <v>1193000</v>
      </c>
      <c r="G8" s="78">
        <f t="shared" si="0"/>
        <v>684000</v>
      </c>
      <c r="H8" s="75">
        <f>IFERROR(G8/C8*I8,0)</f>
        <v>78.171428571428578</v>
      </c>
      <c r="I8" s="64">
        <f t="shared" si="2"/>
        <v>28</v>
      </c>
      <c r="J8" s="81">
        <f t="shared" si="3"/>
        <v>78.171428571428578</v>
      </c>
      <c r="AN8" s="61" t="s">
        <v>102</v>
      </c>
      <c r="AO8" s="59">
        <v>36</v>
      </c>
      <c r="AQ8" s="99" t="str">
        <f t="shared" si="5"/>
        <v>F-041</v>
      </c>
      <c r="AR8" s="99" t="str">
        <f>VLOOKUP(Traitement!AQ8,listeCreances[],3,FALSE)</f>
        <v>Aïssata Traoré</v>
      </c>
      <c r="AS8" s="100">
        <f>VLOOKUP(Traitement!AQ8,listeCreances[],7,FALSE)</f>
        <v>97000</v>
      </c>
      <c r="AT8" s="99">
        <f ca="1">VLOOKUP(Traitement!AQ8,listeCreances[],9,FALSE)</f>
        <v>201</v>
      </c>
      <c r="AV8" s="61" t="s">
        <v>61</v>
      </c>
      <c r="AW8" s="83">
        <v>120000</v>
      </c>
    </row>
    <row r="10" spans="2:73" x14ac:dyDescent="0.25">
      <c r="E10" s="101" t="s">
        <v>148</v>
      </c>
      <c r="F10" s="102"/>
      <c r="G10" s="102"/>
      <c r="H10" s="103"/>
    </row>
    <row r="11" spans="2:73" x14ac:dyDescent="0.25">
      <c r="E11" s="109" t="s">
        <v>132</v>
      </c>
      <c r="F11" s="109"/>
      <c r="G11" s="109"/>
      <c r="H11" s="63">
        <f>SUM(I3:I8)</f>
        <v>181</v>
      </c>
    </row>
    <row r="12" spans="2:73" x14ac:dyDescent="0.25">
      <c r="E12" s="110" t="s">
        <v>133</v>
      </c>
      <c r="F12" s="110"/>
      <c r="G12" s="110"/>
      <c r="H12" s="74">
        <f>G8/D8*H11</f>
        <v>65.958444326052216</v>
      </c>
    </row>
    <row r="16" spans="2:73" x14ac:dyDescent="0.25">
      <c r="B16" s="101" t="s">
        <v>150</v>
      </c>
      <c r="C16" s="101"/>
      <c r="D16" s="101"/>
      <c r="E16" s="101"/>
      <c r="F16" s="101"/>
    </row>
    <row r="17" spans="2:6" ht="15.75" x14ac:dyDescent="0.25">
      <c r="C17" s="66" t="s">
        <v>122</v>
      </c>
      <c r="D17" s="65" t="s">
        <v>134</v>
      </c>
      <c r="E17" s="79" t="s">
        <v>135</v>
      </c>
      <c r="F17" s="68" t="s">
        <v>125</v>
      </c>
    </row>
    <row r="18" spans="2:6" x14ac:dyDescent="0.25">
      <c r="B18" s="73">
        <f>EDATE(dateRef,-1)</f>
        <v>46023</v>
      </c>
      <c r="C18" s="76">
        <f>SUMIFS(listeCreances[Montant facturé],listeCreances[Date d''émission],"&gt;="&amp;B18,listeCreances[Date d''émission],"&lt;="&amp;B18+F18-1)</f>
        <v>162000</v>
      </c>
      <c r="D18" s="77">
        <f>SUMIFS(historiqueReglements[[Montant encaissé ]],historiqueReglements[Date d''encaissement],"&gt;="&amp;B18,historiqueReglements[Date d''encaissement],"&lt;="&amp;B18+F18-1)</f>
        <v>204000</v>
      </c>
      <c r="E18" s="80"/>
      <c r="F18" s="64">
        <f>DAY(EOMONTH(B18,0))</f>
        <v>31</v>
      </c>
    </row>
    <row r="19" spans="2:6" x14ac:dyDescent="0.25">
      <c r="B19" s="73">
        <f>EDATE(dateRef,0)</f>
        <v>46054</v>
      </c>
      <c r="C19" s="76">
        <f>SUMIFS(listeCreances[Montant facturé],listeCreances[Date d''émission],"&gt;="&amp;B19,listeCreances[Date d''émission],"&lt;="&amp;B19+F19-1)</f>
        <v>245000</v>
      </c>
      <c r="D19" s="77">
        <f>SUMIFS(historiqueReglements[[Montant encaissé ]],historiqueReglements[Date d''encaissement],"&gt;="&amp;B19,historiqueReglements[Date d''encaissement],"&lt;="&amp;B19+F19-1)</f>
        <v>258000</v>
      </c>
      <c r="E19" s="80"/>
      <c r="F19" s="64">
        <f t="shared" ref="F19:F23" si="7">DAY(EOMONTH(B19,0))</f>
        <v>28</v>
      </c>
    </row>
    <row r="20" spans="2:6" x14ac:dyDescent="0.25">
      <c r="B20" s="73">
        <f>EDATE(dateRef,1)</f>
        <v>46082</v>
      </c>
      <c r="C20" s="76">
        <f>SUMIFS(listeCreances[Montant facturé],listeCreances[Date d''émission],"&gt;="&amp;B20,listeCreances[Date d''émission],"&lt;="&amp;B20+F20-1)</f>
        <v>150000</v>
      </c>
      <c r="D20" s="77">
        <f>SUMIFS(historiqueReglements[[Montant encaissé ]],historiqueReglements[Date d''encaissement],"&gt;="&amp;B20,historiqueReglements[Date d''encaissement],"&lt;="&amp;B20+F20-1)</f>
        <v>252000</v>
      </c>
      <c r="E20" s="80"/>
      <c r="F20" s="64">
        <f t="shared" si="7"/>
        <v>31</v>
      </c>
    </row>
    <row r="21" spans="2:6" x14ac:dyDescent="0.25">
      <c r="B21" s="73">
        <f>EDATE(dateRef,2)</f>
        <v>46113</v>
      </c>
      <c r="C21" s="76">
        <f>SUMIFS(listeCreances[Montant facturé],listeCreances[Date d''émission],"&gt;="&amp;B21,listeCreances[Date d''émission],"&lt;="&amp;B21+F21-1)</f>
        <v>0</v>
      </c>
      <c r="D21" s="77">
        <f>SUMIFS(historiqueReglements[[Montant encaissé ]],historiqueReglements[Date d''encaissement],"&gt;="&amp;B21,historiqueReglements[Date d''encaissement],"&lt;="&amp;B21+F21-1)</f>
        <v>0</v>
      </c>
      <c r="E21" s="80">
        <f>SUMIFS(listeCreances[Solde],listeCreances[Échéance],"&gt;="&amp;B20,listeCreances[Échéance],"&lt;="&amp;B20+F20-1)</f>
        <v>120000</v>
      </c>
      <c r="F21" s="64">
        <f t="shared" si="7"/>
        <v>30</v>
      </c>
    </row>
    <row r="22" spans="2:6" x14ac:dyDescent="0.25">
      <c r="B22" s="73">
        <f>EDATE(dateRef,3)</f>
        <v>46143</v>
      </c>
      <c r="C22" s="76">
        <f>SUMIFS(listeCreances[Montant facturé],listeCreances[Date d''émission],"&gt;="&amp;B22,listeCreances[Date d''émission],"&lt;="&amp;B22+F22-1)</f>
        <v>0</v>
      </c>
      <c r="D22" s="77">
        <f>SUMIFS(historiqueReglements[[Montant encaissé ]],historiqueReglements[Date d''encaissement],"&gt;="&amp;B22,historiqueReglements[Date d''encaissement],"&lt;="&amp;B22+F22-1)</f>
        <v>0</v>
      </c>
      <c r="E22" s="80">
        <f>SUMIFS(listeCreances[Solde],listeCreances[Échéance],"&gt;="&amp;B21,listeCreances[Échéance],"&lt;="&amp;B21+F21-1)</f>
        <v>60000</v>
      </c>
      <c r="F22" s="64">
        <f t="shared" si="7"/>
        <v>31</v>
      </c>
    </row>
    <row r="23" spans="2:6" x14ac:dyDescent="0.25">
      <c r="B23" s="73">
        <f>EDATE(dateRef,4)</f>
        <v>46174</v>
      </c>
      <c r="C23" s="76">
        <f>SUMIFS(listeCreances[Montant facturé],listeCreances[Date d''émission],"&gt;="&amp;B23,listeCreances[Date d''émission],"&lt;="&amp;B23+F23-1)</f>
        <v>0</v>
      </c>
      <c r="D23" s="77">
        <f>SUMIFS(historiqueReglements[[Montant encaissé ]],historiqueReglements[Date d''encaissement],"&gt;="&amp;B23,historiqueReglements[Date d''encaissement],"&lt;="&amp;B23+F23-1)</f>
        <v>0</v>
      </c>
      <c r="E23" s="80">
        <f>SUMIFS(listeCreances[Solde],listeCreances[Échéance],"&gt;="&amp;B22,listeCreances[Échéance],"&lt;="&amp;B22+F22-1)</f>
        <v>50000</v>
      </c>
      <c r="F23" s="64">
        <f t="shared" si="7"/>
        <v>30</v>
      </c>
    </row>
  </sheetData>
  <mergeCells count="2">
    <mergeCell ref="E11:G11"/>
    <mergeCell ref="E12:G12"/>
  </mergeCells>
  <pageMargins left="0.7" right="0.7" top="0.75" bottom="0.75" header="0.3" footer="0.3"/>
  <pageSetup paperSize="9" orientation="portrait" r:id="rId16"/>
  <ignoredErrors>
    <ignoredError sqref="E4:E8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Dashboard</vt:lpstr>
      <vt:lpstr>Créances</vt:lpstr>
      <vt:lpstr>Règlements</vt:lpstr>
      <vt:lpstr>Paramètres</vt:lpstr>
      <vt:lpstr>Relances</vt:lpstr>
      <vt:lpstr>Traitement</vt:lpstr>
      <vt:lpstr>dateRef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CISSE GSM</dc:creator>
  <cp:lastModifiedBy>CISSE GSM</cp:lastModifiedBy>
  <dcterms:created xsi:type="dcterms:W3CDTF">2025-12-22T15:24:45Z</dcterms:created>
  <dcterms:modified xsi:type="dcterms:W3CDTF">2026-08-20T14:42:37Z</dcterms:modified>
</cp:coreProperties>
</file>