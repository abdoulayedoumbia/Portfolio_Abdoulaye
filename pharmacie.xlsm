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wdp" ContentType="image/vnd.ms-phot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imelineCaches/timelineCache1.xml" ContentType="application/vnd.ms-excel.timelineCache+xml"/>
  <Override PartName="/xl/timelineCaches/timelineCache2.xml" ContentType="application/vnd.ms-excel.timelineCache+xml"/>
  <Override PartName="/xl/timelineCaches/timelineCache3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drawings/drawing6.xml" ContentType="application/vnd.openxmlformats-officedocument.drawing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7.xml" ContentType="application/vnd.openxmlformats-officedocument.drawing+xml"/>
  <Override PartName="/xl/timelines/timeline2.xml" ContentType="application/vnd.ms-excel.timelin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53222"/>
  <mc:AlternateContent xmlns:mc="http://schemas.openxmlformats.org/markup-compatibility/2006">
    <mc:Choice Requires="x15">
      <x15ac:absPath xmlns:x15ac="http://schemas.microsoft.com/office/spreadsheetml/2010/11/ac" url="C:\Users\CISSE GSM\Desktop\Gestion des données pharmaceutique\"/>
    </mc:Choice>
  </mc:AlternateContent>
  <bookViews>
    <workbookView xWindow="0" yWindow="0" windowWidth="20430" windowHeight="7530"/>
  </bookViews>
  <sheets>
    <sheet name="Dashboard" sheetId="7" r:id="rId1"/>
    <sheet name="Produits" sheetId="1" r:id="rId2"/>
    <sheet name="Entrées_stock" sheetId="2" r:id="rId3"/>
    <sheet name="ventes" sheetId="3" r:id="rId4"/>
    <sheet name="sorties" sheetId="4" r:id="rId5"/>
    <sheet name="Mouvements" sheetId="5" r:id="rId6"/>
    <sheet name="Data_Dashboard" sheetId="8" r:id="rId7"/>
    <sheet name="Marge" sheetId="9" r:id="rId8"/>
  </sheets>
  <definedNames>
    <definedName name="ChronologieNative_Dates">#N/A</definedName>
    <definedName name="ChronologieNative_Dates1">#N/A</definedName>
    <definedName name="ChronologieNative_Dates2">#N/A</definedName>
  </definedNames>
  <calcPr calcId="152511"/>
  <pivotCaches>
    <pivotCache cacheId="0" r:id="rId9"/>
    <pivotCache cacheId="1" r:id="rId10"/>
    <pivotCache cacheId="2" r:id="rId11"/>
    <pivotCache cacheId="3" r:id="rId12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3"/>
        <x15:timelineCacheRef r:id="rId14"/>
        <x15:timelineCacheRef r:id="rId15"/>
      </x15:timelineCacheRefs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5" i="3" l="1"/>
  <c r="L15" i="3" s="1"/>
  <c r="K16" i="3"/>
  <c r="L16" i="3" s="1"/>
  <c r="Y4" i="8"/>
  <c r="Y5" i="8"/>
  <c r="Y6" i="8"/>
  <c r="Y7" i="8"/>
  <c r="Y8" i="8"/>
  <c r="Y9" i="8"/>
  <c r="Y10" i="8"/>
  <c r="Y11" i="8"/>
  <c r="Y12" i="8"/>
  <c r="Y13" i="8"/>
  <c r="Y14" i="8"/>
  <c r="Y15" i="8"/>
  <c r="Y16" i="8"/>
  <c r="Y17" i="8"/>
  <c r="Y18" i="8"/>
  <c r="Y19" i="8"/>
  <c r="Y20" i="8"/>
  <c r="Y21" i="8"/>
  <c r="Y22" i="8"/>
  <c r="Y23" i="8"/>
  <c r="Y24" i="8"/>
  <c r="Y25" i="8"/>
  <c r="Y26" i="8"/>
  <c r="Y27" i="8"/>
  <c r="Y28" i="8"/>
  <c r="Y29" i="8"/>
  <c r="Y30" i="8"/>
  <c r="Y31" i="8"/>
  <c r="Y32" i="8"/>
  <c r="Y33" i="8"/>
  <c r="Y34" i="8"/>
  <c r="Y35" i="8"/>
  <c r="Y36" i="8"/>
  <c r="Y37" i="8"/>
  <c r="Y38" i="8"/>
  <c r="Y39" i="8"/>
  <c r="Y40" i="8"/>
  <c r="Y41" i="8"/>
  <c r="Y42" i="8"/>
  <c r="Y43" i="8"/>
  <c r="Y44" i="8"/>
  <c r="Y45" i="8"/>
  <c r="Y46" i="8"/>
  <c r="Y47" i="8"/>
  <c r="Y48" i="8"/>
  <c r="Y49" i="8"/>
  <c r="Y50" i="8"/>
  <c r="Y51" i="8"/>
  <c r="Y52" i="8"/>
  <c r="Y53" i="8"/>
  <c r="Y54" i="8"/>
  <c r="Y55" i="8"/>
  <c r="Y56" i="8"/>
  <c r="Y57" i="8"/>
  <c r="Y58" i="8"/>
  <c r="Y59" i="8"/>
  <c r="Y60" i="8"/>
  <c r="Y61" i="8"/>
  <c r="Y62" i="8"/>
  <c r="Y63" i="8"/>
  <c r="Y64" i="8"/>
  <c r="Y65" i="8"/>
  <c r="Y66" i="8"/>
  <c r="Y67" i="8"/>
  <c r="Y68" i="8"/>
  <c r="Y69" i="8"/>
  <c r="Y70" i="8"/>
  <c r="Y71" i="8"/>
  <c r="Y72" i="8"/>
  <c r="Y73" i="8"/>
  <c r="Y74" i="8"/>
  <c r="Y75" i="8"/>
  <c r="Y76" i="8"/>
  <c r="Y77" i="8"/>
  <c r="Y78" i="8"/>
  <c r="Y79" i="8"/>
  <c r="Y80" i="8"/>
  <c r="Y81" i="8"/>
  <c r="Y82" i="8"/>
  <c r="Y83" i="8"/>
  <c r="Y84" i="8"/>
  <c r="Y85" i="8"/>
  <c r="Y86" i="8"/>
  <c r="Y87" i="8"/>
  <c r="Y88" i="8"/>
  <c r="Y89" i="8"/>
  <c r="Y90" i="8"/>
  <c r="Y91" i="8"/>
  <c r="Y92" i="8"/>
  <c r="Y93" i="8"/>
  <c r="Y94" i="8"/>
  <c r="Y95" i="8"/>
  <c r="Y96" i="8"/>
  <c r="Y97" i="8"/>
  <c r="Y98" i="8"/>
  <c r="Y99" i="8"/>
  <c r="Y100" i="8"/>
  <c r="Y101" i="8"/>
  <c r="Y102" i="8"/>
  <c r="Y103" i="8"/>
  <c r="Y104" i="8"/>
  <c r="Y105" i="8"/>
  <c r="Y106" i="8"/>
  <c r="Y107" i="8"/>
  <c r="Y108" i="8"/>
  <c r="Y109" i="8"/>
  <c r="Y110" i="8"/>
  <c r="Y111" i="8"/>
  <c r="Y112" i="8"/>
  <c r="Y113" i="8"/>
  <c r="Y114" i="8"/>
  <c r="Y115" i="8"/>
  <c r="Y116" i="8"/>
  <c r="Y117" i="8"/>
  <c r="Y118" i="8"/>
  <c r="Y119" i="8"/>
  <c r="Y120" i="8"/>
  <c r="Y121" i="8"/>
  <c r="Y122" i="8"/>
  <c r="Y123" i="8"/>
  <c r="Y124" i="8"/>
  <c r="Y125" i="8"/>
  <c r="Y126" i="8"/>
  <c r="Y127" i="8"/>
  <c r="Y128" i="8"/>
  <c r="Y129" i="8"/>
  <c r="Y130" i="8"/>
  <c r="Y131" i="8"/>
  <c r="Y132" i="8"/>
  <c r="Y133" i="8"/>
  <c r="Y134" i="8"/>
  <c r="Y135" i="8"/>
  <c r="Y136" i="8"/>
  <c r="Y137" i="8"/>
  <c r="Y138" i="8"/>
  <c r="Y139" i="8"/>
  <c r="Y140" i="8"/>
  <c r="Y141" i="8"/>
  <c r="Y142" i="8"/>
  <c r="Y143" i="8"/>
  <c r="Y144" i="8"/>
  <c r="Y145" i="8"/>
  <c r="Y146" i="8"/>
  <c r="Y147" i="8"/>
  <c r="Y148" i="8"/>
  <c r="Y149" i="8"/>
  <c r="Y150" i="8"/>
  <c r="Y151" i="8"/>
  <c r="Y152" i="8"/>
  <c r="Y153" i="8"/>
  <c r="Y154" i="8"/>
  <c r="Y155" i="8"/>
  <c r="Y156" i="8"/>
  <c r="Y157" i="8"/>
  <c r="Y158" i="8"/>
  <c r="Y159" i="8"/>
  <c r="Y160" i="8"/>
  <c r="Y161" i="8"/>
  <c r="Y162" i="8"/>
  <c r="Y163" i="8"/>
  <c r="Y164" i="8"/>
  <c r="Y165" i="8"/>
  <c r="Y166" i="8"/>
  <c r="Y167" i="8"/>
  <c r="Y168" i="8"/>
  <c r="Y169" i="8"/>
  <c r="Y170" i="8"/>
  <c r="Y171" i="8"/>
  <c r="Y172" i="8"/>
  <c r="Y173" i="8"/>
  <c r="Y174" i="8"/>
  <c r="Y175" i="8"/>
  <c r="Y176" i="8"/>
  <c r="Y177" i="8"/>
  <c r="Y178" i="8"/>
  <c r="Y179" i="8"/>
  <c r="Y180" i="8"/>
  <c r="Y181" i="8"/>
  <c r="Y182" i="8"/>
  <c r="Y183" i="8"/>
  <c r="Y184" i="8"/>
  <c r="Y185" i="8"/>
  <c r="Y186" i="8"/>
  <c r="Y187" i="8"/>
  <c r="Y188" i="8"/>
  <c r="Y189" i="8"/>
  <c r="Y190" i="8"/>
  <c r="Y191" i="8"/>
  <c r="Y192" i="8"/>
  <c r="Y193" i="8"/>
  <c r="Y194" i="8"/>
  <c r="Y195" i="8"/>
  <c r="Y196" i="8"/>
  <c r="Y197" i="8"/>
  <c r="Y198" i="8"/>
  <c r="Y199" i="8"/>
  <c r="X4" i="8"/>
  <c r="X5" i="8"/>
  <c r="X6" i="8"/>
  <c r="X7" i="8"/>
  <c r="X8" i="8"/>
  <c r="X9" i="8"/>
  <c r="X10" i="8"/>
  <c r="X11" i="8"/>
  <c r="X12" i="8"/>
  <c r="X13" i="8"/>
  <c r="X14" i="8"/>
  <c r="X15" i="8"/>
  <c r="X16" i="8"/>
  <c r="X17" i="8"/>
  <c r="X18" i="8"/>
  <c r="X19" i="8"/>
  <c r="X20" i="8"/>
  <c r="X21" i="8"/>
  <c r="X22" i="8"/>
  <c r="X23" i="8"/>
  <c r="X24" i="8"/>
  <c r="X25" i="8"/>
  <c r="X26" i="8"/>
  <c r="X27" i="8"/>
  <c r="X28" i="8"/>
  <c r="X29" i="8"/>
  <c r="X30" i="8"/>
  <c r="X31" i="8"/>
  <c r="X32" i="8"/>
  <c r="X33" i="8"/>
  <c r="X34" i="8"/>
  <c r="X35" i="8"/>
  <c r="X36" i="8"/>
  <c r="X37" i="8"/>
  <c r="X38" i="8"/>
  <c r="X39" i="8"/>
  <c r="X40" i="8"/>
  <c r="X41" i="8"/>
  <c r="X42" i="8"/>
  <c r="X43" i="8"/>
  <c r="X44" i="8"/>
  <c r="X45" i="8"/>
  <c r="X46" i="8"/>
  <c r="X47" i="8"/>
  <c r="X48" i="8"/>
  <c r="X49" i="8"/>
  <c r="X50" i="8"/>
  <c r="AA50" i="8" s="1"/>
  <c r="X51" i="8"/>
  <c r="X52" i="8"/>
  <c r="X53" i="8"/>
  <c r="X54" i="8"/>
  <c r="X55" i="8"/>
  <c r="X56" i="8"/>
  <c r="X57" i="8"/>
  <c r="X58" i="8"/>
  <c r="X59" i="8"/>
  <c r="X60" i="8"/>
  <c r="X61" i="8"/>
  <c r="X62" i="8"/>
  <c r="X63" i="8"/>
  <c r="X64" i="8"/>
  <c r="X65" i="8"/>
  <c r="X66" i="8"/>
  <c r="X67" i="8"/>
  <c r="X68" i="8"/>
  <c r="X69" i="8"/>
  <c r="X70" i="8"/>
  <c r="X71" i="8"/>
  <c r="X72" i="8"/>
  <c r="X73" i="8"/>
  <c r="X74" i="8"/>
  <c r="X75" i="8"/>
  <c r="X76" i="8"/>
  <c r="X77" i="8"/>
  <c r="X78" i="8"/>
  <c r="X79" i="8"/>
  <c r="X80" i="8"/>
  <c r="X81" i="8"/>
  <c r="X82" i="8"/>
  <c r="X83" i="8"/>
  <c r="X84" i="8"/>
  <c r="X85" i="8"/>
  <c r="X86" i="8"/>
  <c r="X87" i="8"/>
  <c r="X88" i="8"/>
  <c r="X89" i="8"/>
  <c r="X90" i="8"/>
  <c r="X91" i="8"/>
  <c r="X92" i="8"/>
  <c r="X93" i="8"/>
  <c r="X94" i="8"/>
  <c r="X95" i="8"/>
  <c r="X96" i="8"/>
  <c r="X97" i="8"/>
  <c r="X98" i="8"/>
  <c r="X99" i="8"/>
  <c r="X100" i="8"/>
  <c r="X101" i="8"/>
  <c r="X102" i="8"/>
  <c r="X103" i="8"/>
  <c r="X104" i="8"/>
  <c r="X105" i="8"/>
  <c r="X106" i="8"/>
  <c r="X107" i="8"/>
  <c r="X108" i="8"/>
  <c r="X109" i="8"/>
  <c r="X110" i="8"/>
  <c r="X111" i="8"/>
  <c r="X112" i="8"/>
  <c r="X113" i="8"/>
  <c r="X114" i="8"/>
  <c r="X115" i="8"/>
  <c r="X116" i="8"/>
  <c r="X117" i="8"/>
  <c r="X118" i="8"/>
  <c r="X119" i="8"/>
  <c r="X120" i="8"/>
  <c r="X121" i="8"/>
  <c r="X122" i="8"/>
  <c r="X123" i="8"/>
  <c r="X124" i="8"/>
  <c r="X125" i="8"/>
  <c r="X126" i="8"/>
  <c r="X127" i="8"/>
  <c r="X128" i="8"/>
  <c r="X129" i="8"/>
  <c r="X130" i="8"/>
  <c r="X131" i="8"/>
  <c r="X132" i="8"/>
  <c r="X133" i="8"/>
  <c r="X134" i="8"/>
  <c r="X135" i="8"/>
  <c r="X136" i="8"/>
  <c r="X137" i="8"/>
  <c r="X138" i="8"/>
  <c r="X139" i="8"/>
  <c r="X140" i="8"/>
  <c r="X141" i="8"/>
  <c r="X142" i="8"/>
  <c r="X143" i="8"/>
  <c r="X144" i="8"/>
  <c r="X145" i="8"/>
  <c r="X146" i="8"/>
  <c r="X147" i="8"/>
  <c r="X148" i="8"/>
  <c r="X149" i="8"/>
  <c r="X150" i="8"/>
  <c r="X151" i="8"/>
  <c r="X152" i="8"/>
  <c r="X153" i="8"/>
  <c r="X154" i="8"/>
  <c r="X155" i="8"/>
  <c r="X156" i="8"/>
  <c r="X157" i="8"/>
  <c r="X158" i="8"/>
  <c r="X159" i="8"/>
  <c r="X160" i="8"/>
  <c r="X161" i="8"/>
  <c r="X162" i="8"/>
  <c r="X163" i="8"/>
  <c r="X164" i="8"/>
  <c r="X165" i="8"/>
  <c r="X166" i="8"/>
  <c r="X167" i="8"/>
  <c r="X168" i="8"/>
  <c r="X169" i="8"/>
  <c r="X170" i="8"/>
  <c r="X171" i="8"/>
  <c r="X172" i="8"/>
  <c r="X173" i="8"/>
  <c r="X174" i="8"/>
  <c r="X175" i="8"/>
  <c r="X176" i="8"/>
  <c r="X177" i="8"/>
  <c r="X178" i="8"/>
  <c r="X179" i="8"/>
  <c r="X180" i="8"/>
  <c r="X181" i="8"/>
  <c r="X182" i="8"/>
  <c r="X183" i="8"/>
  <c r="X184" i="8"/>
  <c r="X185" i="8"/>
  <c r="X186" i="8"/>
  <c r="X187" i="8"/>
  <c r="X188" i="8"/>
  <c r="X189" i="8"/>
  <c r="X190" i="8"/>
  <c r="X191" i="8"/>
  <c r="X192" i="8"/>
  <c r="X193" i="8"/>
  <c r="X194" i="8"/>
  <c r="X195" i="8"/>
  <c r="X196" i="8"/>
  <c r="X197" i="8"/>
  <c r="X198" i="8"/>
  <c r="X199" i="8"/>
  <c r="Z4" i="8"/>
  <c r="W4" i="8"/>
  <c r="W5" i="8"/>
  <c r="W6" i="8"/>
  <c r="W7" i="8"/>
  <c r="W8" i="8"/>
  <c r="W9" i="8"/>
  <c r="W10" i="8"/>
  <c r="W11" i="8"/>
  <c r="W12" i="8"/>
  <c r="W13" i="8"/>
  <c r="W14" i="8"/>
  <c r="W15" i="8"/>
  <c r="W16" i="8"/>
  <c r="W17" i="8"/>
  <c r="W18" i="8"/>
  <c r="W19" i="8"/>
  <c r="W20" i="8"/>
  <c r="W21" i="8"/>
  <c r="W22" i="8"/>
  <c r="W23" i="8"/>
  <c r="W24" i="8"/>
  <c r="W25" i="8"/>
  <c r="W26" i="8"/>
  <c r="W27" i="8"/>
  <c r="W28" i="8"/>
  <c r="W29" i="8"/>
  <c r="W30" i="8"/>
  <c r="W31" i="8"/>
  <c r="W32" i="8"/>
  <c r="W33" i="8"/>
  <c r="W34" i="8"/>
  <c r="W35" i="8"/>
  <c r="W36" i="8"/>
  <c r="W37" i="8"/>
  <c r="W38" i="8"/>
  <c r="W39" i="8"/>
  <c r="W40" i="8"/>
  <c r="W41" i="8"/>
  <c r="W42" i="8"/>
  <c r="W43" i="8"/>
  <c r="W44" i="8"/>
  <c r="W45" i="8"/>
  <c r="W46" i="8"/>
  <c r="W47" i="8"/>
  <c r="W48" i="8"/>
  <c r="W49" i="8"/>
  <c r="W50" i="8"/>
  <c r="W51" i="8"/>
  <c r="W52" i="8"/>
  <c r="W53" i="8"/>
  <c r="W54" i="8"/>
  <c r="W55" i="8"/>
  <c r="W56" i="8"/>
  <c r="W57" i="8"/>
  <c r="W58" i="8"/>
  <c r="W59" i="8"/>
  <c r="W60" i="8"/>
  <c r="W61" i="8"/>
  <c r="W62" i="8"/>
  <c r="W63" i="8"/>
  <c r="W64" i="8"/>
  <c r="W65" i="8"/>
  <c r="W66" i="8"/>
  <c r="W67" i="8"/>
  <c r="W68" i="8"/>
  <c r="W69" i="8"/>
  <c r="W70" i="8"/>
  <c r="W71" i="8"/>
  <c r="W72" i="8"/>
  <c r="W73" i="8"/>
  <c r="W74" i="8"/>
  <c r="W75" i="8"/>
  <c r="W76" i="8"/>
  <c r="W77" i="8"/>
  <c r="W78" i="8"/>
  <c r="W79" i="8"/>
  <c r="W80" i="8"/>
  <c r="W81" i="8"/>
  <c r="W82" i="8"/>
  <c r="W83" i="8"/>
  <c r="W84" i="8"/>
  <c r="W85" i="8"/>
  <c r="W86" i="8"/>
  <c r="W87" i="8"/>
  <c r="W88" i="8"/>
  <c r="W89" i="8"/>
  <c r="W90" i="8"/>
  <c r="W91" i="8"/>
  <c r="W92" i="8"/>
  <c r="W93" i="8"/>
  <c r="W94" i="8"/>
  <c r="W95" i="8"/>
  <c r="W96" i="8"/>
  <c r="W97" i="8"/>
  <c r="W98" i="8"/>
  <c r="W99" i="8"/>
  <c r="W100" i="8"/>
  <c r="W101" i="8"/>
  <c r="W102" i="8"/>
  <c r="W103" i="8"/>
  <c r="W104" i="8"/>
  <c r="W105" i="8"/>
  <c r="W106" i="8"/>
  <c r="W107" i="8"/>
  <c r="W108" i="8"/>
  <c r="W109" i="8"/>
  <c r="W110" i="8"/>
  <c r="W111" i="8"/>
  <c r="W112" i="8"/>
  <c r="W113" i="8"/>
  <c r="W114" i="8"/>
  <c r="W115" i="8"/>
  <c r="W116" i="8"/>
  <c r="W117" i="8"/>
  <c r="W118" i="8"/>
  <c r="W119" i="8"/>
  <c r="W120" i="8"/>
  <c r="W121" i="8"/>
  <c r="W122" i="8"/>
  <c r="W123" i="8"/>
  <c r="W124" i="8"/>
  <c r="W125" i="8"/>
  <c r="W126" i="8"/>
  <c r="W127" i="8"/>
  <c r="W128" i="8"/>
  <c r="W129" i="8"/>
  <c r="W130" i="8"/>
  <c r="W131" i="8"/>
  <c r="W132" i="8"/>
  <c r="W133" i="8"/>
  <c r="W134" i="8"/>
  <c r="W135" i="8"/>
  <c r="W136" i="8"/>
  <c r="W137" i="8"/>
  <c r="W138" i="8"/>
  <c r="W139" i="8"/>
  <c r="W140" i="8"/>
  <c r="W141" i="8"/>
  <c r="W142" i="8"/>
  <c r="W143" i="8"/>
  <c r="W144" i="8"/>
  <c r="W145" i="8"/>
  <c r="W146" i="8"/>
  <c r="W147" i="8"/>
  <c r="W148" i="8"/>
  <c r="W149" i="8"/>
  <c r="W150" i="8"/>
  <c r="W151" i="8"/>
  <c r="W152" i="8"/>
  <c r="W153" i="8"/>
  <c r="W154" i="8"/>
  <c r="W155" i="8"/>
  <c r="W156" i="8"/>
  <c r="W157" i="8"/>
  <c r="W158" i="8"/>
  <c r="W159" i="8"/>
  <c r="W160" i="8"/>
  <c r="W161" i="8"/>
  <c r="W162" i="8"/>
  <c r="W163" i="8"/>
  <c r="W164" i="8"/>
  <c r="W165" i="8"/>
  <c r="W166" i="8"/>
  <c r="W167" i="8"/>
  <c r="W168" i="8"/>
  <c r="W169" i="8"/>
  <c r="W170" i="8"/>
  <c r="W171" i="8"/>
  <c r="W172" i="8"/>
  <c r="W173" i="8"/>
  <c r="W174" i="8"/>
  <c r="W175" i="8"/>
  <c r="W176" i="8"/>
  <c r="W177" i="8"/>
  <c r="W178" i="8"/>
  <c r="W179" i="8"/>
  <c r="W180" i="8"/>
  <c r="W181" i="8"/>
  <c r="W182" i="8"/>
  <c r="W183" i="8"/>
  <c r="W184" i="8"/>
  <c r="W185" i="8"/>
  <c r="W186" i="8"/>
  <c r="W187" i="8"/>
  <c r="W188" i="8"/>
  <c r="W189" i="8"/>
  <c r="W190" i="8"/>
  <c r="W191" i="8"/>
  <c r="W192" i="8"/>
  <c r="W193" i="8"/>
  <c r="W194" i="8"/>
  <c r="W195" i="8"/>
  <c r="W196" i="8"/>
  <c r="W197" i="8"/>
  <c r="W198" i="8"/>
  <c r="W199" i="8"/>
  <c r="V4" i="8"/>
  <c r="V5" i="8"/>
  <c r="V6" i="8"/>
  <c r="V7" i="8"/>
  <c r="V8" i="8"/>
  <c r="V9" i="8"/>
  <c r="V10" i="8"/>
  <c r="V11" i="8"/>
  <c r="V12" i="8"/>
  <c r="V13" i="8"/>
  <c r="V14" i="8"/>
  <c r="V15" i="8"/>
  <c r="V16" i="8"/>
  <c r="V17" i="8"/>
  <c r="V18" i="8"/>
  <c r="V19" i="8"/>
  <c r="V20" i="8"/>
  <c r="V21" i="8"/>
  <c r="V22" i="8"/>
  <c r="V23" i="8"/>
  <c r="V24" i="8"/>
  <c r="V25" i="8"/>
  <c r="V26" i="8"/>
  <c r="V27" i="8"/>
  <c r="V28" i="8"/>
  <c r="V29" i="8"/>
  <c r="V30" i="8"/>
  <c r="V31" i="8"/>
  <c r="V32" i="8"/>
  <c r="V33" i="8"/>
  <c r="V34" i="8"/>
  <c r="V35" i="8"/>
  <c r="V36" i="8"/>
  <c r="V37" i="8"/>
  <c r="V38" i="8"/>
  <c r="V39" i="8"/>
  <c r="V40" i="8"/>
  <c r="V41" i="8"/>
  <c r="V42" i="8"/>
  <c r="V43" i="8"/>
  <c r="V44" i="8"/>
  <c r="V45" i="8"/>
  <c r="V46" i="8"/>
  <c r="V47" i="8"/>
  <c r="V48" i="8"/>
  <c r="V49" i="8"/>
  <c r="V50" i="8"/>
  <c r="V51" i="8"/>
  <c r="V52" i="8"/>
  <c r="V53" i="8"/>
  <c r="V54" i="8"/>
  <c r="V55" i="8"/>
  <c r="V56" i="8"/>
  <c r="V57" i="8"/>
  <c r="V58" i="8"/>
  <c r="V59" i="8"/>
  <c r="V60" i="8"/>
  <c r="V61" i="8"/>
  <c r="V62" i="8"/>
  <c r="V63" i="8"/>
  <c r="V64" i="8"/>
  <c r="V65" i="8"/>
  <c r="V66" i="8"/>
  <c r="V67" i="8"/>
  <c r="V68" i="8"/>
  <c r="V69" i="8"/>
  <c r="V70" i="8"/>
  <c r="V71" i="8"/>
  <c r="V72" i="8"/>
  <c r="V73" i="8"/>
  <c r="V74" i="8"/>
  <c r="V75" i="8"/>
  <c r="V76" i="8"/>
  <c r="V77" i="8"/>
  <c r="V78" i="8"/>
  <c r="V79" i="8"/>
  <c r="V80" i="8"/>
  <c r="V81" i="8"/>
  <c r="V82" i="8"/>
  <c r="V83" i="8"/>
  <c r="V84" i="8"/>
  <c r="V85" i="8"/>
  <c r="V86" i="8"/>
  <c r="V87" i="8"/>
  <c r="V88" i="8"/>
  <c r="V89" i="8"/>
  <c r="V90" i="8"/>
  <c r="V91" i="8"/>
  <c r="V92" i="8"/>
  <c r="V93" i="8"/>
  <c r="V94" i="8"/>
  <c r="V95" i="8"/>
  <c r="V96" i="8"/>
  <c r="V97" i="8"/>
  <c r="V98" i="8"/>
  <c r="V99" i="8"/>
  <c r="V100" i="8"/>
  <c r="V101" i="8"/>
  <c r="V102" i="8"/>
  <c r="V103" i="8"/>
  <c r="V104" i="8"/>
  <c r="V105" i="8"/>
  <c r="V106" i="8"/>
  <c r="V107" i="8"/>
  <c r="V108" i="8"/>
  <c r="V109" i="8"/>
  <c r="V110" i="8"/>
  <c r="V111" i="8"/>
  <c r="V112" i="8"/>
  <c r="V113" i="8"/>
  <c r="V114" i="8"/>
  <c r="V115" i="8"/>
  <c r="V116" i="8"/>
  <c r="V117" i="8"/>
  <c r="V118" i="8"/>
  <c r="V119" i="8"/>
  <c r="V120" i="8"/>
  <c r="V121" i="8"/>
  <c r="V122" i="8"/>
  <c r="V123" i="8"/>
  <c r="V124" i="8"/>
  <c r="V125" i="8"/>
  <c r="V126" i="8"/>
  <c r="V127" i="8"/>
  <c r="V128" i="8"/>
  <c r="V129" i="8"/>
  <c r="V130" i="8"/>
  <c r="V131" i="8"/>
  <c r="V132" i="8"/>
  <c r="V133" i="8"/>
  <c r="V134" i="8"/>
  <c r="V135" i="8"/>
  <c r="V136" i="8"/>
  <c r="V137" i="8"/>
  <c r="V138" i="8"/>
  <c r="V139" i="8"/>
  <c r="V140" i="8"/>
  <c r="V141" i="8"/>
  <c r="V142" i="8"/>
  <c r="V143" i="8"/>
  <c r="V144" i="8"/>
  <c r="V145" i="8"/>
  <c r="V146" i="8"/>
  <c r="V147" i="8"/>
  <c r="V148" i="8"/>
  <c r="V149" i="8"/>
  <c r="V150" i="8"/>
  <c r="V151" i="8"/>
  <c r="V152" i="8"/>
  <c r="V153" i="8"/>
  <c r="V154" i="8"/>
  <c r="V155" i="8"/>
  <c r="V156" i="8"/>
  <c r="V157" i="8"/>
  <c r="V158" i="8"/>
  <c r="V159" i="8"/>
  <c r="V160" i="8"/>
  <c r="V161" i="8"/>
  <c r="V162" i="8"/>
  <c r="V163" i="8"/>
  <c r="V164" i="8"/>
  <c r="V165" i="8"/>
  <c r="V166" i="8"/>
  <c r="V167" i="8"/>
  <c r="V168" i="8"/>
  <c r="V169" i="8"/>
  <c r="V170" i="8"/>
  <c r="V171" i="8"/>
  <c r="V172" i="8"/>
  <c r="V173" i="8"/>
  <c r="V174" i="8"/>
  <c r="V175" i="8"/>
  <c r="V176" i="8"/>
  <c r="V177" i="8"/>
  <c r="V178" i="8"/>
  <c r="V179" i="8"/>
  <c r="V180" i="8"/>
  <c r="V181" i="8"/>
  <c r="V182" i="8"/>
  <c r="V183" i="8"/>
  <c r="V184" i="8"/>
  <c r="V185" i="8"/>
  <c r="V186" i="8"/>
  <c r="V187" i="8"/>
  <c r="V188" i="8"/>
  <c r="V189" i="8"/>
  <c r="V190" i="8"/>
  <c r="V191" i="8"/>
  <c r="V192" i="8"/>
  <c r="V193" i="8"/>
  <c r="V194" i="8"/>
  <c r="V195" i="8"/>
  <c r="V196" i="8"/>
  <c r="V197" i="8"/>
  <c r="V198" i="8"/>
  <c r="V199" i="8"/>
  <c r="G10" i="8" l="1"/>
  <c r="BI2" i="8"/>
  <c r="BL2" i="8"/>
  <c r="K17" i="3" l="1"/>
  <c r="L17" i="3" s="1"/>
  <c r="K18" i="3"/>
  <c r="L18" i="3" s="1"/>
  <c r="K19" i="3"/>
  <c r="L19" i="3" s="1"/>
  <c r="K20" i="3"/>
  <c r="L20" i="3" s="1"/>
  <c r="K21" i="3"/>
  <c r="L21" i="3" s="1"/>
  <c r="K22" i="3"/>
  <c r="L22" i="3" s="1"/>
  <c r="K23" i="3"/>
  <c r="L23" i="3" s="1"/>
  <c r="K24" i="3"/>
  <c r="L24" i="3" s="1"/>
  <c r="K25" i="3"/>
  <c r="L25" i="3" s="1"/>
  <c r="K26" i="3"/>
  <c r="L26" i="3" s="1"/>
  <c r="K27" i="3"/>
  <c r="L27" i="3" s="1"/>
  <c r="K28" i="3"/>
  <c r="L28" i="3" s="1"/>
  <c r="K29" i="3"/>
  <c r="L29" i="3" s="1"/>
  <c r="K30" i="3"/>
  <c r="L30" i="3" s="1"/>
  <c r="K31" i="3"/>
  <c r="L31" i="3" s="1"/>
  <c r="K32" i="3"/>
  <c r="L32" i="3" s="1"/>
  <c r="K33" i="3"/>
  <c r="L33" i="3" s="1"/>
  <c r="K34" i="3"/>
  <c r="L34" i="3" s="1"/>
  <c r="K35" i="3"/>
  <c r="L35" i="3" s="1"/>
  <c r="K36" i="3"/>
  <c r="L36" i="3" s="1"/>
  <c r="K37" i="3"/>
  <c r="L37" i="3" s="1"/>
  <c r="K38" i="3"/>
  <c r="L38" i="3" s="1"/>
  <c r="K39" i="3"/>
  <c r="L39" i="3" s="1"/>
  <c r="K40" i="3"/>
  <c r="L40" i="3" s="1"/>
  <c r="K41" i="3"/>
  <c r="L41" i="3" s="1"/>
  <c r="K42" i="3"/>
  <c r="L42" i="3" s="1"/>
  <c r="K43" i="3"/>
  <c r="L43" i="3" s="1"/>
  <c r="K44" i="3"/>
  <c r="L44" i="3" s="1"/>
  <c r="K45" i="3"/>
  <c r="L45" i="3" s="1"/>
  <c r="K46" i="3"/>
  <c r="L46" i="3" s="1"/>
  <c r="K47" i="3"/>
  <c r="L47" i="3" s="1"/>
  <c r="K48" i="3"/>
  <c r="L48" i="3" s="1"/>
  <c r="K49" i="3"/>
  <c r="L49" i="3" s="1"/>
  <c r="K50" i="3"/>
  <c r="L50" i="3" s="1"/>
  <c r="K51" i="3"/>
  <c r="L51" i="3" s="1"/>
  <c r="K52" i="3"/>
  <c r="L52" i="3" s="1"/>
  <c r="K53" i="3"/>
  <c r="L53" i="3" s="1"/>
  <c r="K54" i="3"/>
  <c r="L54" i="3" s="1"/>
  <c r="K55" i="3"/>
  <c r="L55" i="3" s="1"/>
  <c r="K56" i="3"/>
  <c r="L56" i="3" s="1"/>
  <c r="K57" i="3"/>
  <c r="L57" i="3" s="1"/>
  <c r="K58" i="3"/>
  <c r="L58" i="3" s="1"/>
  <c r="K59" i="3"/>
  <c r="L59" i="3" s="1"/>
  <c r="K60" i="3"/>
  <c r="L60" i="3" s="1"/>
  <c r="K61" i="3"/>
  <c r="L61" i="3" s="1"/>
  <c r="K62" i="3"/>
  <c r="L62" i="3" s="1"/>
  <c r="K63" i="3"/>
  <c r="L63" i="3" s="1"/>
  <c r="K64" i="3"/>
  <c r="L64" i="3" s="1"/>
  <c r="K65" i="3"/>
  <c r="L65" i="3" s="1"/>
  <c r="K66" i="3"/>
  <c r="L66" i="3" s="1"/>
  <c r="K67" i="3"/>
  <c r="L67" i="3" s="1"/>
  <c r="K68" i="3"/>
  <c r="L68" i="3" s="1"/>
  <c r="K69" i="3"/>
  <c r="L69" i="3" s="1"/>
  <c r="K70" i="3"/>
  <c r="L70" i="3" s="1"/>
  <c r="K71" i="3"/>
  <c r="L71" i="3" s="1"/>
  <c r="K72" i="3"/>
  <c r="L72" i="3" s="1"/>
  <c r="K73" i="3"/>
  <c r="L73" i="3" s="1"/>
  <c r="K74" i="3"/>
  <c r="L74" i="3" s="1"/>
  <c r="K75" i="3"/>
  <c r="L75" i="3" s="1"/>
  <c r="K76" i="3"/>
  <c r="L76" i="3" s="1"/>
  <c r="K77" i="3"/>
  <c r="L77" i="3" s="1"/>
  <c r="K78" i="3"/>
  <c r="L78" i="3" s="1"/>
  <c r="K79" i="3"/>
  <c r="L79" i="3" s="1"/>
  <c r="K80" i="3"/>
  <c r="L80" i="3" s="1"/>
  <c r="K81" i="3"/>
  <c r="L81" i="3" s="1"/>
  <c r="K82" i="3"/>
  <c r="L82" i="3" s="1"/>
  <c r="K83" i="3"/>
  <c r="L83" i="3" s="1"/>
  <c r="K84" i="3"/>
  <c r="L84" i="3" s="1"/>
  <c r="K85" i="3"/>
  <c r="L85" i="3" s="1"/>
  <c r="K86" i="3"/>
  <c r="L86" i="3" s="1"/>
  <c r="K87" i="3"/>
  <c r="L87" i="3" s="1"/>
  <c r="K88" i="3"/>
  <c r="L88" i="3" s="1"/>
  <c r="K89" i="3"/>
  <c r="L89" i="3" s="1"/>
  <c r="K90" i="3"/>
  <c r="L90" i="3" s="1"/>
  <c r="K91" i="3"/>
  <c r="L91" i="3" s="1"/>
  <c r="K92" i="3"/>
  <c r="L92" i="3" s="1"/>
  <c r="K93" i="3"/>
  <c r="L93" i="3" s="1"/>
  <c r="K94" i="3"/>
  <c r="L94" i="3" s="1"/>
  <c r="K95" i="3"/>
  <c r="L95" i="3" s="1"/>
  <c r="K96" i="3"/>
  <c r="L96" i="3" s="1"/>
  <c r="K97" i="3"/>
  <c r="L97" i="3" s="1"/>
  <c r="K98" i="3"/>
  <c r="L98" i="3" s="1"/>
  <c r="K99" i="3"/>
  <c r="L99" i="3" s="1"/>
  <c r="K100" i="3"/>
  <c r="L100" i="3" s="1"/>
  <c r="K101" i="3"/>
  <c r="L101" i="3" s="1"/>
  <c r="K102" i="3"/>
  <c r="L102" i="3" s="1"/>
  <c r="K103" i="3"/>
  <c r="L103" i="3" s="1"/>
  <c r="K104" i="3"/>
  <c r="L104" i="3" s="1"/>
  <c r="K105" i="3"/>
  <c r="L105" i="3" s="1"/>
  <c r="K106" i="3"/>
  <c r="L106" i="3" s="1"/>
  <c r="K107" i="3"/>
  <c r="L107" i="3" s="1"/>
  <c r="K108" i="3"/>
  <c r="L108" i="3" s="1"/>
  <c r="K109" i="3"/>
  <c r="L109" i="3" s="1"/>
  <c r="K110" i="3"/>
  <c r="L110" i="3" s="1"/>
  <c r="K111" i="3"/>
  <c r="L111" i="3" s="1"/>
  <c r="K112" i="3"/>
  <c r="L112" i="3" s="1"/>
  <c r="K113" i="3"/>
  <c r="L113" i="3" s="1"/>
  <c r="K114" i="3"/>
  <c r="L114" i="3" s="1"/>
  <c r="K115" i="3"/>
  <c r="L115" i="3" s="1"/>
  <c r="K116" i="3"/>
  <c r="L116" i="3" s="1"/>
  <c r="K117" i="3"/>
  <c r="L117" i="3" s="1"/>
  <c r="K118" i="3"/>
  <c r="L118" i="3" s="1"/>
  <c r="K119" i="3"/>
  <c r="L119" i="3" s="1"/>
  <c r="K120" i="3"/>
  <c r="L120" i="3" s="1"/>
  <c r="K121" i="3"/>
  <c r="L121" i="3" s="1"/>
  <c r="K122" i="3"/>
  <c r="L122" i="3" s="1"/>
  <c r="K123" i="3"/>
  <c r="L123" i="3" s="1"/>
  <c r="K124" i="3"/>
  <c r="L124" i="3" s="1"/>
  <c r="K125" i="3"/>
  <c r="L125" i="3" s="1"/>
  <c r="K126" i="3"/>
  <c r="L126" i="3" s="1"/>
  <c r="K127" i="3"/>
  <c r="L127" i="3" s="1"/>
  <c r="K128" i="3"/>
  <c r="L128" i="3" s="1"/>
  <c r="K129" i="3"/>
  <c r="L129" i="3" s="1"/>
  <c r="K130" i="3"/>
  <c r="L130" i="3" s="1"/>
  <c r="K131" i="3"/>
  <c r="L131" i="3" s="1"/>
  <c r="K132" i="3"/>
  <c r="L132" i="3" s="1"/>
  <c r="K133" i="3"/>
  <c r="L133" i="3" s="1"/>
  <c r="K134" i="3"/>
  <c r="L134" i="3" s="1"/>
  <c r="K135" i="3"/>
  <c r="L135" i="3" s="1"/>
  <c r="K136" i="3"/>
  <c r="L136" i="3" s="1"/>
  <c r="K137" i="3"/>
  <c r="L137" i="3" s="1"/>
  <c r="K138" i="3"/>
  <c r="L138" i="3" s="1"/>
  <c r="K139" i="3"/>
  <c r="L139" i="3" s="1"/>
  <c r="K140" i="3"/>
  <c r="L140" i="3" s="1"/>
  <c r="K141" i="3"/>
  <c r="L141" i="3" s="1"/>
  <c r="K142" i="3"/>
  <c r="L142" i="3" s="1"/>
  <c r="K143" i="3"/>
  <c r="L143" i="3" s="1"/>
  <c r="K144" i="3"/>
  <c r="L144" i="3" s="1"/>
  <c r="K145" i="3"/>
  <c r="L145" i="3" s="1"/>
  <c r="K146" i="3"/>
  <c r="L146" i="3" s="1"/>
  <c r="K147" i="3"/>
  <c r="L147" i="3" s="1"/>
  <c r="K148" i="3"/>
  <c r="L148" i="3" s="1"/>
  <c r="K149" i="3"/>
  <c r="L149" i="3" s="1"/>
  <c r="K150" i="3"/>
  <c r="L150" i="3" s="1"/>
  <c r="BF199" i="8" l="1"/>
  <c r="BG199" i="8" s="1"/>
  <c r="BE199" i="8"/>
  <c r="BD199" i="8"/>
  <c r="BF198" i="8"/>
  <c r="BG198" i="8" s="1"/>
  <c r="BE198" i="8"/>
  <c r="BD198" i="8"/>
  <c r="BF197" i="8"/>
  <c r="BG197" i="8" s="1"/>
  <c r="BE197" i="8"/>
  <c r="BD197" i="8"/>
  <c r="BF196" i="8"/>
  <c r="BG196" i="8" s="1"/>
  <c r="BE196" i="8"/>
  <c r="BD196" i="8"/>
  <c r="BF195" i="8"/>
  <c r="BG195" i="8" s="1"/>
  <c r="BE195" i="8"/>
  <c r="BD195" i="8"/>
  <c r="BF194" i="8"/>
  <c r="BG194" i="8" s="1"/>
  <c r="BE194" i="8"/>
  <c r="BD194" i="8"/>
  <c r="BF193" i="8"/>
  <c r="BG193" i="8" s="1"/>
  <c r="BE193" i="8"/>
  <c r="BD193" i="8"/>
  <c r="BF192" i="8"/>
  <c r="BG192" i="8" s="1"/>
  <c r="BE192" i="8"/>
  <c r="BD192" i="8"/>
  <c r="BF191" i="8"/>
  <c r="BG191" i="8" s="1"/>
  <c r="BE191" i="8"/>
  <c r="BD191" i="8"/>
  <c r="BF190" i="8"/>
  <c r="BG190" i="8" s="1"/>
  <c r="BE190" i="8"/>
  <c r="BD190" i="8"/>
  <c r="BF189" i="8"/>
  <c r="BG189" i="8" s="1"/>
  <c r="BE189" i="8"/>
  <c r="BD189" i="8"/>
  <c r="BF188" i="8"/>
  <c r="BG188" i="8" s="1"/>
  <c r="BE188" i="8"/>
  <c r="BD188" i="8"/>
  <c r="BF187" i="8"/>
  <c r="BG187" i="8" s="1"/>
  <c r="BE187" i="8"/>
  <c r="BD187" i="8"/>
  <c r="BF186" i="8"/>
  <c r="BG186" i="8" s="1"/>
  <c r="BE186" i="8"/>
  <c r="BD186" i="8"/>
  <c r="BF185" i="8"/>
  <c r="BG185" i="8" s="1"/>
  <c r="BE185" i="8"/>
  <c r="BD185" i="8"/>
  <c r="BF184" i="8"/>
  <c r="BG184" i="8" s="1"/>
  <c r="BE184" i="8"/>
  <c r="BD184" i="8"/>
  <c r="BF183" i="8"/>
  <c r="BG183" i="8" s="1"/>
  <c r="BE183" i="8"/>
  <c r="BD183" i="8"/>
  <c r="BF182" i="8"/>
  <c r="BG182" i="8" s="1"/>
  <c r="BE182" i="8"/>
  <c r="BD182" i="8"/>
  <c r="BF181" i="8"/>
  <c r="BG181" i="8" s="1"/>
  <c r="BE181" i="8"/>
  <c r="BD181" i="8"/>
  <c r="BF180" i="8"/>
  <c r="BG180" i="8" s="1"/>
  <c r="BE180" i="8"/>
  <c r="BD180" i="8"/>
  <c r="BF179" i="8"/>
  <c r="BG179" i="8" s="1"/>
  <c r="BE179" i="8"/>
  <c r="BD179" i="8"/>
  <c r="BF178" i="8"/>
  <c r="BG178" i="8" s="1"/>
  <c r="BE178" i="8"/>
  <c r="BD178" i="8"/>
  <c r="BF177" i="8"/>
  <c r="BG177" i="8" s="1"/>
  <c r="BE177" i="8"/>
  <c r="BD177" i="8"/>
  <c r="BF176" i="8"/>
  <c r="BG176" i="8" s="1"/>
  <c r="BE176" i="8"/>
  <c r="BD176" i="8"/>
  <c r="BF175" i="8"/>
  <c r="BG175" i="8" s="1"/>
  <c r="BE175" i="8"/>
  <c r="BD175" i="8"/>
  <c r="BF174" i="8"/>
  <c r="BG174" i="8" s="1"/>
  <c r="BE174" i="8"/>
  <c r="BD174" i="8"/>
  <c r="BF173" i="8"/>
  <c r="BG173" i="8" s="1"/>
  <c r="BE173" i="8"/>
  <c r="BD173" i="8"/>
  <c r="BF172" i="8"/>
  <c r="BG172" i="8" s="1"/>
  <c r="BE172" i="8"/>
  <c r="BD172" i="8"/>
  <c r="BF171" i="8"/>
  <c r="BG171" i="8" s="1"/>
  <c r="BE171" i="8"/>
  <c r="BD171" i="8"/>
  <c r="BF170" i="8"/>
  <c r="BG170" i="8" s="1"/>
  <c r="BE170" i="8"/>
  <c r="BD170" i="8"/>
  <c r="BF169" i="8"/>
  <c r="BG169" i="8" s="1"/>
  <c r="BE169" i="8"/>
  <c r="BD169" i="8"/>
  <c r="BF168" i="8"/>
  <c r="BG168" i="8" s="1"/>
  <c r="BE168" i="8"/>
  <c r="BD168" i="8"/>
  <c r="BF167" i="8"/>
  <c r="BG167" i="8" s="1"/>
  <c r="BE167" i="8"/>
  <c r="BD167" i="8"/>
  <c r="BF166" i="8"/>
  <c r="BG166" i="8" s="1"/>
  <c r="BE166" i="8"/>
  <c r="BD166" i="8"/>
  <c r="BF165" i="8"/>
  <c r="BG165" i="8" s="1"/>
  <c r="BE165" i="8"/>
  <c r="BD165" i="8"/>
  <c r="BF164" i="8"/>
  <c r="BG164" i="8" s="1"/>
  <c r="BE164" i="8"/>
  <c r="BD164" i="8"/>
  <c r="BF163" i="8"/>
  <c r="BG163" i="8" s="1"/>
  <c r="BE163" i="8"/>
  <c r="BD163" i="8"/>
  <c r="BF162" i="8"/>
  <c r="BG162" i="8" s="1"/>
  <c r="BE162" i="8"/>
  <c r="BD162" i="8"/>
  <c r="BF161" i="8"/>
  <c r="BG161" i="8" s="1"/>
  <c r="BE161" i="8"/>
  <c r="BD161" i="8"/>
  <c r="BF160" i="8"/>
  <c r="BG160" i="8" s="1"/>
  <c r="BE160" i="8"/>
  <c r="BD160" i="8"/>
  <c r="BF159" i="8"/>
  <c r="BG159" i="8" s="1"/>
  <c r="BE159" i="8"/>
  <c r="BD159" i="8"/>
  <c r="BF158" i="8"/>
  <c r="BG158" i="8" s="1"/>
  <c r="BE158" i="8"/>
  <c r="BD158" i="8"/>
  <c r="BF157" i="8"/>
  <c r="BG157" i="8" s="1"/>
  <c r="BE157" i="8"/>
  <c r="BD157" i="8"/>
  <c r="BF156" i="8"/>
  <c r="BG156" i="8" s="1"/>
  <c r="BE156" i="8"/>
  <c r="BD156" i="8"/>
  <c r="BF155" i="8"/>
  <c r="BG155" i="8" s="1"/>
  <c r="BE155" i="8"/>
  <c r="BD155" i="8"/>
  <c r="BF154" i="8"/>
  <c r="BG154" i="8" s="1"/>
  <c r="BE154" i="8"/>
  <c r="BD154" i="8"/>
  <c r="BF153" i="8"/>
  <c r="BG153" i="8" s="1"/>
  <c r="BE153" i="8"/>
  <c r="BD153" i="8"/>
  <c r="BF152" i="8"/>
  <c r="BG152" i="8" s="1"/>
  <c r="BE152" i="8"/>
  <c r="BD152" i="8"/>
  <c r="BF151" i="8"/>
  <c r="BG151" i="8" s="1"/>
  <c r="BE151" i="8"/>
  <c r="BD151" i="8"/>
  <c r="BF150" i="8"/>
  <c r="BG150" i="8" s="1"/>
  <c r="BE150" i="8"/>
  <c r="BD150" i="8"/>
  <c r="BF149" i="8"/>
  <c r="BG149" i="8" s="1"/>
  <c r="BE149" i="8"/>
  <c r="BD149" i="8"/>
  <c r="BF148" i="8"/>
  <c r="BG148" i="8" s="1"/>
  <c r="BE148" i="8"/>
  <c r="BD148" i="8"/>
  <c r="BF147" i="8"/>
  <c r="BG147" i="8" s="1"/>
  <c r="BE147" i="8"/>
  <c r="BD147" i="8"/>
  <c r="BF146" i="8"/>
  <c r="BG146" i="8" s="1"/>
  <c r="BE146" i="8"/>
  <c r="BD146" i="8"/>
  <c r="BF145" i="8"/>
  <c r="BG145" i="8" s="1"/>
  <c r="BE145" i="8"/>
  <c r="BD145" i="8"/>
  <c r="BF144" i="8"/>
  <c r="BG144" i="8" s="1"/>
  <c r="BE144" i="8"/>
  <c r="BD144" i="8"/>
  <c r="BF143" i="8"/>
  <c r="BG143" i="8" s="1"/>
  <c r="BE143" i="8"/>
  <c r="BD143" i="8"/>
  <c r="BF142" i="8"/>
  <c r="BG142" i="8" s="1"/>
  <c r="BE142" i="8"/>
  <c r="BD142" i="8"/>
  <c r="BF141" i="8"/>
  <c r="BG141" i="8" s="1"/>
  <c r="BE141" i="8"/>
  <c r="BD141" i="8"/>
  <c r="BF140" i="8"/>
  <c r="BG140" i="8" s="1"/>
  <c r="BE140" i="8"/>
  <c r="BD140" i="8"/>
  <c r="BF139" i="8"/>
  <c r="BG139" i="8" s="1"/>
  <c r="BE139" i="8"/>
  <c r="BD139" i="8"/>
  <c r="BF138" i="8"/>
  <c r="BG138" i="8" s="1"/>
  <c r="BE138" i="8"/>
  <c r="BD138" i="8"/>
  <c r="BF137" i="8"/>
  <c r="BG137" i="8" s="1"/>
  <c r="BE137" i="8"/>
  <c r="BD137" i="8"/>
  <c r="BF136" i="8"/>
  <c r="BG136" i="8" s="1"/>
  <c r="BE136" i="8"/>
  <c r="BD136" i="8"/>
  <c r="BF135" i="8"/>
  <c r="BG135" i="8" s="1"/>
  <c r="BE135" i="8"/>
  <c r="BD135" i="8"/>
  <c r="BF134" i="8"/>
  <c r="BG134" i="8" s="1"/>
  <c r="BE134" i="8"/>
  <c r="BD134" i="8"/>
  <c r="BF133" i="8"/>
  <c r="BG133" i="8" s="1"/>
  <c r="BE133" i="8"/>
  <c r="BD133" i="8"/>
  <c r="BF132" i="8"/>
  <c r="BG132" i="8" s="1"/>
  <c r="BE132" i="8"/>
  <c r="BD132" i="8"/>
  <c r="BF131" i="8"/>
  <c r="BG131" i="8" s="1"/>
  <c r="BE131" i="8"/>
  <c r="BD131" i="8"/>
  <c r="BF130" i="8"/>
  <c r="BG130" i="8" s="1"/>
  <c r="BE130" i="8"/>
  <c r="BD130" i="8"/>
  <c r="BF129" i="8"/>
  <c r="BG129" i="8" s="1"/>
  <c r="BE129" i="8"/>
  <c r="BD129" i="8"/>
  <c r="BF128" i="8"/>
  <c r="BG128" i="8" s="1"/>
  <c r="BE128" i="8"/>
  <c r="BD128" i="8"/>
  <c r="BF127" i="8"/>
  <c r="BG127" i="8" s="1"/>
  <c r="BE127" i="8"/>
  <c r="BD127" i="8"/>
  <c r="BF126" i="8"/>
  <c r="BG126" i="8" s="1"/>
  <c r="BE126" i="8"/>
  <c r="BD126" i="8"/>
  <c r="BF125" i="8"/>
  <c r="BG125" i="8" s="1"/>
  <c r="BE125" i="8"/>
  <c r="BD125" i="8"/>
  <c r="BF124" i="8"/>
  <c r="BG124" i="8" s="1"/>
  <c r="BE124" i="8"/>
  <c r="BD124" i="8"/>
  <c r="BF123" i="8"/>
  <c r="BG123" i="8" s="1"/>
  <c r="BE123" i="8"/>
  <c r="BD123" i="8"/>
  <c r="BF122" i="8"/>
  <c r="BG122" i="8" s="1"/>
  <c r="BE122" i="8"/>
  <c r="BD122" i="8"/>
  <c r="BF121" i="8"/>
  <c r="BG121" i="8" s="1"/>
  <c r="BE121" i="8"/>
  <c r="BD121" i="8"/>
  <c r="BF120" i="8"/>
  <c r="BG120" i="8" s="1"/>
  <c r="BE120" i="8"/>
  <c r="BD120" i="8"/>
  <c r="BF119" i="8"/>
  <c r="BG119" i="8" s="1"/>
  <c r="BE119" i="8"/>
  <c r="BD119" i="8"/>
  <c r="BF118" i="8"/>
  <c r="BG118" i="8" s="1"/>
  <c r="BE118" i="8"/>
  <c r="BD118" i="8"/>
  <c r="BF117" i="8"/>
  <c r="BG117" i="8" s="1"/>
  <c r="BE117" i="8"/>
  <c r="BD117" i="8"/>
  <c r="BF116" i="8"/>
  <c r="BG116" i="8" s="1"/>
  <c r="BE116" i="8"/>
  <c r="BD116" i="8"/>
  <c r="BF115" i="8"/>
  <c r="BG115" i="8" s="1"/>
  <c r="BE115" i="8"/>
  <c r="BD115" i="8"/>
  <c r="BF114" i="8"/>
  <c r="BG114" i="8" s="1"/>
  <c r="BE114" i="8"/>
  <c r="BD114" i="8"/>
  <c r="BF113" i="8"/>
  <c r="BG113" i="8" s="1"/>
  <c r="BE113" i="8"/>
  <c r="BD113" i="8"/>
  <c r="BF112" i="8"/>
  <c r="BG112" i="8" s="1"/>
  <c r="BE112" i="8"/>
  <c r="BD112" i="8"/>
  <c r="BF111" i="8"/>
  <c r="BG111" i="8" s="1"/>
  <c r="BE111" i="8"/>
  <c r="BD111" i="8"/>
  <c r="BF110" i="8"/>
  <c r="BG110" i="8" s="1"/>
  <c r="BE110" i="8"/>
  <c r="BD110" i="8"/>
  <c r="BF109" i="8"/>
  <c r="BG109" i="8" s="1"/>
  <c r="BE109" i="8"/>
  <c r="BD109" i="8"/>
  <c r="BF108" i="8"/>
  <c r="BG108" i="8" s="1"/>
  <c r="BE108" i="8"/>
  <c r="BD108" i="8"/>
  <c r="BF107" i="8"/>
  <c r="BG107" i="8" s="1"/>
  <c r="BE107" i="8"/>
  <c r="BD107" i="8"/>
  <c r="BF106" i="8"/>
  <c r="BG106" i="8" s="1"/>
  <c r="BE106" i="8"/>
  <c r="BD106" i="8"/>
  <c r="BF105" i="8"/>
  <c r="BG105" i="8" s="1"/>
  <c r="BE105" i="8"/>
  <c r="BD105" i="8"/>
  <c r="BF104" i="8"/>
  <c r="BG104" i="8" s="1"/>
  <c r="BE104" i="8"/>
  <c r="BD104" i="8"/>
  <c r="BF103" i="8"/>
  <c r="BG103" i="8" s="1"/>
  <c r="BE103" i="8"/>
  <c r="BD103" i="8"/>
  <c r="BF102" i="8"/>
  <c r="BG102" i="8" s="1"/>
  <c r="BE102" i="8"/>
  <c r="BD102" i="8"/>
  <c r="BF101" i="8"/>
  <c r="BG101" i="8" s="1"/>
  <c r="BE101" i="8"/>
  <c r="BD101" i="8"/>
  <c r="BF100" i="8"/>
  <c r="BG100" i="8" s="1"/>
  <c r="BE100" i="8"/>
  <c r="BD100" i="8"/>
  <c r="BF99" i="8"/>
  <c r="BG99" i="8" s="1"/>
  <c r="BE99" i="8"/>
  <c r="BD99" i="8"/>
  <c r="BF98" i="8"/>
  <c r="BG98" i="8" s="1"/>
  <c r="BE98" i="8"/>
  <c r="BD98" i="8"/>
  <c r="BF97" i="8"/>
  <c r="BG97" i="8" s="1"/>
  <c r="BE97" i="8"/>
  <c r="BD97" i="8"/>
  <c r="BF96" i="8"/>
  <c r="BG96" i="8" s="1"/>
  <c r="BE96" i="8"/>
  <c r="BD96" i="8"/>
  <c r="BF95" i="8"/>
  <c r="BG95" i="8" s="1"/>
  <c r="BE95" i="8"/>
  <c r="BD95" i="8"/>
  <c r="BF94" i="8"/>
  <c r="BG94" i="8" s="1"/>
  <c r="BE94" i="8"/>
  <c r="BD94" i="8"/>
  <c r="BF93" i="8"/>
  <c r="BG93" i="8" s="1"/>
  <c r="BE93" i="8"/>
  <c r="BD93" i="8"/>
  <c r="BF92" i="8"/>
  <c r="BG92" i="8" s="1"/>
  <c r="BE92" i="8"/>
  <c r="BD92" i="8"/>
  <c r="BF91" i="8"/>
  <c r="BG91" i="8" s="1"/>
  <c r="BE91" i="8"/>
  <c r="BD91" i="8"/>
  <c r="BF90" i="8"/>
  <c r="BG90" i="8" s="1"/>
  <c r="BE90" i="8"/>
  <c r="BD90" i="8"/>
  <c r="BF89" i="8"/>
  <c r="BG89" i="8" s="1"/>
  <c r="BE89" i="8"/>
  <c r="BD89" i="8"/>
  <c r="BF88" i="8"/>
  <c r="BG88" i="8" s="1"/>
  <c r="BE88" i="8"/>
  <c r="BD88" i="8"/>
  <c r="BF87" i="8"/>
  <c r="BG87" i="8" s="1"/>
  <c r="BE87" i="8"/>
  <c r="BD87" i="8"/>
  <c r="BF86" i="8"/>
  <c r="BG86" i="8" s="1"/>
  <c r="BE86" i="8"/>
  <c r="BD86" i="8"/>
  <c r="BF85" i="8"/>
  <c r="BG85" i="8" s="1"/>
  <c r="BE85" i="8"/>
  <c r="BD85" i="8"/>
  <c r="BF84" i="8"/>
  <c r="BG84" i="8" s="1"/>
  <c r="BE84" i="8"/>
  <c r="BD84" i="8"/>
  <c r="BF83" i="8"/>
  <c r="BG83" i="8" s="1"/>
  <c r="BE83" i="8"/>
  <c r="BD83" i="8"/>
  <c r="BF82" i="8"/>
  <c r="BG82" i="8" s="1"/>
  <c r="BE82" i="8"/>
  <c r="BD82" i="8"/>
  <c r="BF81" i="8"/>
  <c r="BG81" i="8" s="1"/>
  <c r="BE81" i="8"/>
  <c r="BD81" i="8"/>
  <c r="BF80" i="8"/>
  <c r="BG80" i="8" s="1"/>
  <c r="BE80" i="8"/>
  <c r="BD80" i="8"/>
  <c r="BF79" i="8"/>
  <c r="BG79" i="8" s="1"/>
  <c r="BE79" i="8"/>
  <c r="BD79" i="8"/>
  <c r="BF78" i="8"/>
  <c r="BG78" i="8" s="1"/>
  <c r="BE78" i="8"/>
  <c r="BD78" i="8"/>
  <c r="BF77" i="8"/>
  <c r="BG77" i="8" s="1"/>
  <c r="BE77" i="8"/>
  <c r="BD77" i="8"/>
  <c r="BF76" i="8"/>
  <c r="BG76" i="8" s="1"/>
  <c r="BE76" i="8"/>
  <c r="BD76" i="8"/>
  <c r="BF75" i="8"/>
  <c r="BG75" i="8" s="1"/>
  <c r="BE75" i="8"/>
  <c r="BD75" i="8"/>
  <c r="BF74" i="8"/>
  <c r="BG74" i="8" s="1"/>
  <c r="BE74" i="8"/>
  <c r="BD74" i="8"/>
  <c r="BF73" i="8"/>
  <c r="BG73" i="8" s="1"/>
  <c r="BE73" i="8"/>
  <c r="BD73" i="8"/>
  <c r="BF72" i="8"/>
  <c r="BG72" i="8" s="1"/>
  <c r="BE72" i="8"/>
  <c r="BD72" i="8"/>
  <c r="BF71" i="8"/>
  <c r="BG71" i="8" s="1"/>
  <c r="BE71" i="8"/>
  <c r="BD71" i="8"/>
  <c r="BF70" i="8"/>
  <c r="BG70" i="8" s="1"/>
  <c r="BE70" i="8"/>
  <c r="BD70" i="8"/>
  <c r="BF69" i="8"/>
  <c r="BG69" i="8" s="1"/>
  <c r="BE69" i="8"/>
  <c r="BD69" i="8"/>
  <c r="BF68" i="8"/>
  <c r="BG68" i="8" s="1"/>
  <c r="BE68" i="8"/>
  <c r="BD68" i="8"/>
  <c r="BF67" i="8"/>
  <c r="BG67" i="8" s="1"/>
  <c r="BE67" i="8"/>
  <c r="BD67" i="8"/>
  <c r="BF66" i="8"/>
  <c r="BG66" i="8" s="1"/>
  <c r="BE66" i="8"/>
  <c r="BD66" i="8"/>
  <c r="BF65" i="8"/>
  <c r="BG65" i="8" s="1"/>
  <c r="BE65" i="8"/>
  <c r="BD65" i="8"/>
  <c r="BF64" i="8"/>
  <c r="BG64" i="8" s="1"/>
  <c r="BE64" i="8"/>
  <c r="BD64" i="8"/>
  <c r="BF63" i="8"/>
  <c r="BG63" i="8" s="1"/>
  <c r="BE63" i="8"/>
  <c r="BD63" i="8"/>
  <c r="BF62" i="8"/>
  <c r="BG62" i="8" s="1"/>
  <c r="BE62" i="8"/>
  <c r="BD62" i="8"/>
  <c r="BF61" i="8"/>
  <c r="BG61" i="8" s="1"/>
  <c r="BE61" i="8"/>
  <c r="BD61" i="8"/>
  <c r="BF60" i="8"/>
  <c r="BG60" i="8" s="1"/>
  <c r="BE60" i="8"/>
  <c r="BD60" i="8"/>
  <c r="BF59" i="8"/>
  <c r="BG59" i="8" s="1"/>
  <c r="BE59" i="8"/>
  <c r="BD59" i="8"/>
  <c r="BF58" i="8"/>
  <c r="BG58" i="8" s="1"/>
  <c r="BE58" i="8"/>
  <c r="BD58" i="8"/>
  <c r="BF57" i="8"/>
  <c r="BG57" i="8" s="1"/>
  <c r="BE57" i="8"/>
  <c r="BD57" i="8"/>
  <c r="BF56" i="8"/>
  <c r="BG56" i="8" s="1"/>
  <c r="BE56" i="8"/>
  <c r="BD56" i="8"/>
  <c r="BF55" i="8"/>
  <c r="BG55" i="8" s="1"/>
  <c r="BE55" i="8"/>
  <c r="BD55" i="8"/>
  <c r="BF54" i="8"/>
  <c r="BG54" i="8" s="1"/>
  <c r="BE54" i="8"/>
  <c r="BD54" i="8"/>
  <c r="BF53" i="8"/>
  <c r="BG53" i="8" s="1"/>
  <c r="BE53" i="8"/>
  <c r="BD53" i="8"/>
  <c r="BF52" i="8"/>
  <c r="BG52" i="8" s="1"/>
  <c r="BE52" i="8"/>
  <c r="BD52" i="8"/>
  <c r="BF51" i="8"/>
  <c r="BG51" i="8" s="1"/>
  <c r="BE51" i="8"/>
  <c r="BD51" i="8"/>
  <c r="BF50" i="8"/>
  <c r="BG50" i="8" s="1"/>
  <c r="BE50" i="8"/>
  <c r="BD50" i="8"/>
  <c r="BF49" i="8"/>
  <c r="BG49" i="8" s="1"/>
  <c r="BE49" i="8"/>
  <c r="BD49" i="8"/>
  <c r="BF48" i="8"/>
  <c r="BG48" i="8" s="1"/>
  <c r="BE48" i="8"/>
  <c r="BD48" i="8"/>
  <c r="BF47" i="8"/>
  <c r="BG47" i="8" s="1"/>
  <c r="BE47" i="8"/>
  <c r="BD47" i="8"/>
  <c r="BF46" i="8"/>
  <c r="BG46" i="8" s="1"/>
  <c r="BE46" i="8"/>
  <c r="BD46" i="8"/>
  <c r="BF45" i="8"/>
  <c r="BG45" i="8" s="1"/>
  <c r="BE45" i="8"/>
  <c r="BD45" i="8"/>
  <c r="BF44" i="8"/>
  <c r="BG44" i="8" s="1"/>
  <c r="BE44" i="8"/>
  <c r="BD44" i="8"/>
  <c r="BF43" i="8"/>
  <c r="BG43" i="8" s="1"/>
  <c r="BE43" i="8"/>
  <c r="BD43" i="8"/>
  <c r="BF42" i="8"/>
  <c r="BG42" i="8" s="1"/>
  <c r="BE42" i="8"/>
  <c r="BD42" i="8"/>
  <c r="BF41" i="8"/>
  <c r="BG41" i="8" s="1"/>
  <c r="BE41" i="8"/>
  <c r="BD41" i="8"/>
  <c r="BF40" i="8"/>
  <c r="BG40" i="8" s="1"/>
  <c r="BE40" i="8"/>
  <c r="BD40" i="8"/>
  <c r="BF39" i="8"/>
  <c r="BG39" i="8" s="1"/>
  <c r="BE39" i="8"/>
  <c r="BD39" i="8"/>
  <c r="BF38" i="8"/>
  <c r="BG38" i="8" s="1"/>
  <c r="BE38" i="8"/>
  <c r="BD38" i="8"/>
  <c r="BF37" i="8"/>
  <c r="BG37" i="8" s="1"/>
  <c r="BE37" i="8"/>
  <c r="BD37" i="8"/>
  <c r="BF36" i="8"/>
  <c r="BG36" i="8" s="1"/>
  <c r="BE36" i="8"/>
  <c r="BD36" i="8"/>
  <c r="BF35" i="8"/>
  <c r="BG35" i="8" s="1"/>
  <c r="BE35" i="8"/>
  <c r="BD35" i="8"/>
  <c r="BF34" i="8"/>
  <c r="BG34" i="8" s="1"/>
  <c r="BE34" i="8"/>
  <c r="BD34" i="8"/>
  <c r="BF33" i="8"/>
  <c r="BG33" i="8" s="1"/>
  <c r="BE33" i="8"/>
  <c r="BD33" i="8"/>
  <c r="BF32" i="8"/>
  <c r="BG32" i="8" s="1"/>
  <c r="BE32" i="8"/>
  <c r="BD32" i="8"/>
  <c r="BF31" i="8"/>
  <c r="BG31" i="8" s="1"/>
  <c r="BE31" i="8"/>
  <c r="BD31" i="8"/>
  <c r="BF30" i="8"/>
  <c r="BG30" i="8" s="1"/>
  <c r="BE30" i="8"/>
  <c r="BD30" i="8"/>
  <c r="BF29" i="8"/>
  <c r="BE29" i="8"/>
  <c r="BD29" i="8"/>
  <c r="BF28" i="8"/>
  <c r="BE28" i="8"/>
  <c r="BD28" i="8"/>
  <c r="BF27" i="8"/>
  <c r="BE27" i="8"/>
  <c r="BD27" i="8"/>
  <c r="BF26" i="8"/>
  <c r="BE26" i="8"/>
  <c r="BD26" i="8"/>
  <c r="BF25" i="8"/>
  <c r="BE25" i="8"/>
  <c r="BD25" i="8"/>
  <c r="BF24" i="8"/>
  <c r="BE24" i="8"/>
  <c r="BD24" i="8"/>
  <c r="BF23" i="8"/>
  <c r="BE23" i="8"/>
  <c r="BD23" i="8"/>
  <c r="BF22" i="8"/>
  <c r="BE22" i="8"/>
  <c r="BD22" i="8"/>
  <c r="BF21" i="8"/>
  <c r="BE21" i="8"/>
  <c r="BD21" i="8"/>
  <c r="BF20" i="8"/>
  <c r="BE20" i="8"/>
  <c r="BD20" i="8"/>
  <c r="BF19" i="8"/>
  <c r="BE19" i="8"/>
  <c r="BD19" i="8"/>
  <c r="BF18" i="8"/>
  <c r="BE18" i="8"/>
  <c r="BD18" i="8"/>
  <c r="BF17" i="8"/>
  <c r="BE17" i="8"/>
  <c r="BD17" i="8"/>
  <c r="BF16" i="8"/>
  <c r="BE16" i="8"/>
  <c r="BD16" i="8"/>
  <c r="BF15" i="8"/>
  <c r="BE15" i="8"/>
  <c r="BD15" i="8"/>
  <c r="BF14" i="8"/>
  <c r="BE14" i="8"/>
  <c r="BD14" i="8"/>
  <c r="BF13" i="8"/>
  <c r="BE13" i="8"/>
  <c r="BD13" i="8"/>
  <c r="BF12" i="8"/>
  <c r="BE12" i="8"/>
  <c r="BD12" i="8"/>
  <c r="BF11" i="8"/>
  <c r="BE11" i="8"/>
  <c r="BD11" i="8"/>
  <c r="BF10" i="8"/>
  <c r="BE10" i="8"/>
  <c r="BD10" i="8"/>
  <c r="BF9" i="8"/>
  <c r="BE9" i="8"/>
  <c r="BD9" i="8"/>
  <c r="BF8" i="8"/>
  <c r="BE8" i="8"/>
  <c r="BD8" i="8"/>
  <c r="BF7" i="8"/>
  <c r="BE7" i="8"/>
  <c r="BD7" i="8"/>
  <c r="BF6" i="8"/>
  <c r="BE6" i="8"/>
  <c r="BD6" i="8"/>
  <c r="BF5" i="8"/>
  <c r="BE5" i="8"/>
  <c r="BD5" i="8"/>
  <c r="BF4" i="8"/>
  <c r="BE4" i="8"/>
  <c r="BD4" i="8"/>
  <c r="BG29" i="8" l="1"/>
  <c r="BG8" i="8"/>
  <c r="BG12" i="8"/>
  <c r="BG16" i="8"/>
  <c r="BG20" i="8"/>
  <c r="BG24" i="8"/>
  <c r="BG4" i="8"/>
  <c r="BG28" i="8"/>
  <c r="BG7" i="8"/>
  <c r="BG11" i="8"/>
  <c r="BG15" i="8"/>
  <c r="BG19" i="8"/>
  <c r="BG23" i="8"/>
  <c r="BG6" i="8"/>
  <c r="BG5" i="8"/>
  <c r="BG9" i="8"/>
  <c r="BG13" i="8"/>
  <c r="BG17" i="8"/>
  <c r="BG21" i="8"/>
  <c r="BG25" i="8"/>
  <c r="BG27" i="8"/>
  <c r="BG10" i="8"/>
  <c r="BG14" i="8"/>
  <c r="BG18" i="8"/>
  <c r="BG22" i="8"/>
  <c r="BG26" i="8"/>
  <c r="AI5" i="8"/>
  <c r="AJ5" i="8"/>
  <c r="AK5" i="8"/>
  <c r="AL5" i="8"/>
  <c r="AI6" i="8"/>
  <c r="AJ6" i="8"/>
  <c r="AK6" i="8"/>
  <c r="AL6" i="8"/>
  <c r="AI7" i="8"/>
  <c r="AJ7" i="8"/>
  <c r="AK7" i="8"/>
  <c r="AL7" i="8"/>
  <c r="AI8" i="8"/>
  <c r="AJ8" i="8"/>
  <c r="AK8" i="8"/>
  <c r="AL8" i="8"/>
  <c r="AI9" i="8"/>
  <c r="AJ9" i="8"/>
  <c r="AK9" i="8"/>
  <c r="AL9" i="8"/>
  <c r="AI10" i="8"/>
  <c r="AJ10" i="8"/>
  <c r="AK10" i="8"/>
  <c r="AL10" i="8"/>
  <c r="AI11" i="8"/>
  <c r="AJ11" i="8"/>
  <c r="AK11" i="8"/>
  <c r="AL11" i="8"/>
  <c r="AI12" i="8"/>
  <c r="AJ12" i="8"/>
  <c r="AK12" i="8"/>
  <c r="AL12" i="8"/>
  <c r="AI13" i="8"/>
  <c r="AJ13" i="8"/>
  <c r="AK13" i="8"/>
  <c r="AL13" i="8"/>
  <c r="AJ4" i="8"/>
  <c r="AK4" i="8"/>
  <c r="AL4" i="8"/>
  <c r="AI4" i="8"/>
  <c r="D36" i="8" l="1"/>
  <c r="D4" i="8"/>
  <c r="K4" i="8" s="1"/>
  <c r="D5" i="8"/>
  <c r="D6" i="8"/>
  <c r="D7" i="8"/>
  <c r="D8" i="8"/>
  <c r="D9" i="8"/>
  <c r="D10" i="8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24" i="8"/>
  <c r="D25" i="8"/>
  <c r="D26" i="8"/>
  <c r="D27" i="8"/>
  <c r="D28" i="8"/>
  <c r="D29" i="8"/>
  <c r="D30" i="8"/>
  <c r="D31" i="8"/>
  <c r="D32" i="8"/>
  <c r="D33" i="8"/>
  <c r="D34" i="8"/>
  <c r="D35" i="8"/>
  <c r="D37" i="8"/>
  <c r="D38" i="8"/>
  <c r="D39" i="8"/>
  <c r="D40" i="8"/>
  <c r="D41" i="8"/>
  <c r="D42" i="8"/>
  <c r="D43" i="8"/>
  <c r="D44" i="8"/>
  <c r="D45" i="8"/>
  <c r="D46" i="8"/>
  <c r="D47" i="8"/>
  <c r="D48" i="8"/>
  <c r="D49" i="8"/>
  <c r="D50" i="8"/>
  <c r="D51" i="8"/>
  <c r="D52" i="8"/>
  <c r="D53" i="8"/>
  <c r="J53" i="8" s="1"/>
  <c r="N27" i="8"/>
  <c r="H53" i="8"/>
  <c r="I53" i="8" s="1"/>
  <c r="Z76" i="8" l="1"/>
  <c r="AB76" i="8" s="1"/>
  <c r="Z124" i="8"/>
  <c r="AB124" i="8" s="1"/>
  <c r="Z132" i="8"/>
  <c r="AB132" i="8" s="1"/>
  <c r="Z140" i="8"/>
  <c r="AB140" i="8" s="1"/>
  <c r="Z60" i="8"/>
  <c r="AB60" i="8" s="1"/>
  <c r="Z96" i="8"/>
  <c r="AB96" i="8" s="1"/>
  <c r="Z100" i="8"/>
  <c r="AB100" i="8" s="1"/>
  <c r="Z108" i="8"/>
  <c r="AB108" i="8" s="1"/>
  <c r="Z156" i="8"/>
  <c r="AB156" i="8" s="1"/>
  <c r="Z54" i="8"/>
  <c r="AB54" i="8" s="1"/>
  <c r="Z68" i="8"/>
  <c r="AB68" i="8" s="1"/>
  <c r="Z84" i="8"/>
  <c r="AA84" i="8" s="1"/>
  <c r="Z92" i="8"/>
  <c r="AB92" i="8" s="1"/>
  <c r="Z116" i="8"/>
  <c r="AB116" i="8" s="1"/>
  <c r="Z148" i="8"/>
  <c r="AB148" i="8" s="1"/>
  <c r="Z160" i="8"/>
  <c r="AB160" i="8" s="1"/>
  <c r="Z164" i="8"/>
  <c r="AB164" i="8" s="1"/>
  <c r="Z172" i="8"/>
  <c r="AB172" i="8" s="1"/>
  <c r="Z180" i="8"/>
  <c r="AB180" i="8" s="1"/>
  <c r="Z188" i="8"/>
  <c r="AB188" i="8" s="1"/>
  <c r="Z196" i="8"/>
  <c r="AB196" i="8" s="1"/>
  <c r="L4" i="8"/>
  <c r="G4" i="8"/>
  <c r="Z66" i="8"/>
  <c r="AA66" i="8" s="1"/>
  <c r="Z144" i="8"/>
  <c r="AA144" i="8" s="1"/>
  <c r="Z194" i="8"/>
  <c r="AA194" i="8" s="1"/>
  <c r="Z80" i="8"/>
  <c r="AA80" i="8" s="1"/>
  <c r="Z24" i="8"/>
  <c r="AA24" i="8" s="1"/>
  <c r="Z130" i="8"/>
  <c r="AA130" i="8" s="1"/>
  <c r="Z98" i="8"/>
  <c r="AA98" i="8" s="1"/>
  <c r="Z162" i="8"/>
  <c r="AA162" i="8" s="1"/>
  <c r="Z112" i="8"/>
  <c r="AA112" i="8" s="1"/>
  <c r="Z176" i="8"/>
  <c r="AA176" i="8" s="1"/>
  <c r="Z82" i="8"/>
  <c r="AA82" i="8" s="1"/>
  <c r="Z114" i="8"/>
  <c r="AA114" i="8" s="1"/>
  <c r="Z146" i="8"/>
  <c r="AA146" i="8" s="1"/>
  <c r="Z178" i="8"/>
  <c r="AA178" i="8" s="1"/>
  <c r="Z64" i="8"/>
  <c r="AA64" i="8" s="1"/>
  <c r="Z128" i="8"/>
  <c r="AA128" i="8" s="1"/>
  <c r="Z192" i="8"/>
  <c r="AA192" i="8" s="1"/>
  <c r="Z72" i="8"/>
  <c r="AA72" i="8" s="1"/>
  <c r="Z88" i="8"/>
  <c r="AA88" i="8" s="1"/>
  <c r="Z104" i="8"/>
  <c r="AA104" i="8" s="1"/>
  <c r="Z120" i="8"/>
  <c r="AA120" i="8" s="1"/>
  <c r="Z136" i="8"/>
  <c r="AA136" i="8" s="1"/>
  <c r="Z152" i="8"/>
  <c r="AA152" i="8" s="1"/>
  <c r="Z168" i="8"/>
  <c r="AA168" i="8" s="1"/>
  <c r="Z184" i="8"/>
  <c r="AA184" i="8" s="1"/>
  <c r="Z26" i="8"/>
  <c r="AA26" i="8" s="1"/>
  <c r="Z74" i="8"/>
  <c r="AA74" i="8" s="1"/>
  <c r="Z90" i="8"/>
  <c r="AA90" i="8" s="1"/>
  <c r="Z106" i="8"/>
  <c r="AA106" i="8" s="1"/>
  <c r="Z122" i="8"/>
  <c r="AA122" i="8" s="1"/>
  <c r="Z138" i="8"/>
  <c r="AA138" i="8" s="1"/>
  <c r="Z154" i="8"/>
  <c r="AA154" i="8" s="1"/>
  <c r="Z170" i="8"/>
  <c r="AA170" i="8" s="1"/>
  <c r="Z186" i="8"/>
  <c r="AA186" i="8" s="1"/>
  <c r="Z6" i="8"/>
  <c r="AA6" i="8" s="1"/>
  <c r="Z8" i="8"/>
  <c r="AA8" i="8" s="1"/>
  <c r="Z10" i="8"/>
  <c r="AA10" i="8" s="1"/>
  <c r="Z18" i="8"/>
  <c r="AA18" i="8" s="1"/>
  <c r="Z62" i="8"/>
  <c r="AA62" i="8" s="1"/>
  <c r="Z70" i="8"/>
  <c r="AA70" i="8" s="1"/>
  <c r="Z78" i="8"/>
  <c r="AA78" i="8" s="1"/>
  <c r="Z86" i="8"/>
  <c r="AA86" i="8" s="1"/>
  <c r="Z94" i="8"/>
  <c r="AA94" i="8" s="1"/>
  <c r="Z102" i="8"/>
  <c r="AA102" i="8" s="1"/>
  <c r="Z110" i="8"/>
  <c r="AA110" i="8" s="1"/>
  <c r="Z118" i="8"/>
  <c r="AA118" i="8" s="1"/>
  <c r="Z126" i="8"/>
  <c r="AA126" i="8" s="1"/>
  <c r="Z134" i="8"/>
  <c r="AA134" i="8" s="1"/>
  <c r="Z142" i="8"/>
  <c r="AA142" i="8" s="1"/>
  <c r="Z150" i="8"/>
  <c r="AA150" i="8" s="1"/>
  <c r="Z158" i="8"/>
  <c r="AA158" i="8" s="1"/>
  <c r="Z166" i="8"/>
  <c r="AA166" i="8" s="1"/>
  <c r="Z174" i="8"/>
  <c r="AA174" i="8" s="1"/>
  <c r="Z182" i="8"/>
  <c r="AA182" i="8" s="1"/>
  <c r="Z190" i="8"/>
  <c r="AA190" i="8" s="1"/>
  <c r="Z198" i="8"/>
  <c r="AA198" i="8" s="1"/>
  <c r="Z31" i="8"/>
  <c r="AA31" i="8" s="1"/>
  <c r="Z56" i="8"/>
  <c r="AA56" i="8" s="1"/>
  <c r="Z12" i="8"/>
  <c r="AA12" i="8" s="1"/>
  <c r="Z34" i="8"/>
  <c r="AA34" i="8" s="1"/>
  <c r="Z36" i="8"/>
  <c r="AA36" i="8" s="1"/>
  <c r="Z37" i="8"/>
  <c r="AA37" i="8" s="1"/>
  <c r="Z40" i="8"/>
  <c r="AA40" i="8" s="1"/>
  <c r="Z48" i="8"/>
  <c r="AA48" i="8" s="1"/>
  <c r="Z50" i="8"/>
  <c r="Z52" i="8"/>
  <c r="AA52" i="8" s="1"/>
  <c r="Z20" i="8"/>
  <c r="AA20" i="8" s="1"/>
  <c r="Z28" i="8"/>
  <c r="AA28" i="8" s="1"/>
  <c r="Z30" i="8"/>
  <c r="AA30" i="8" s="1"/>
  <c r="Z58" i="8"/>
  <c r="AA58" i="8" s="1"/>
  <c r="AA4" i="8"/>
  <c r="Z14" i="8"/>
  <c r="AA14" i="8" s="1"/>
  <c r="Z16" i="8"/>
  <c r="AA16" i="8" s="1"/>
  <c r="Z33" i="8"/>
  <c r="AA33" i="8" s="1"/>
  <c r="Z39" i="8"/>
  <c r="AA39" i="8" s="1"/>
  <c r="Z42" i="8"/>
  <c r="AA42" i="8" s="1"/>
  <c r="Z44" i="8"/>
  <c r="AA44" i="8" s="1"/>
  <c r="Z46" i="8"/>
  <c r="AA46" i="8" s="1"/>
  <c r="Z38" i="8"/>
  <c r="AA38" i="8" s="1"/>
  <c r="Z22" i="8"/>
  <c r="AA22" i="8" s="1"/>
  <c r="Z51" i="8"/>
  <c r="AA51" i="8" s="1"/>
  <c r="Z67" i="8"/>
  <c r="AA67" i="8" s="1"/>
  <c r="Z83" i="8"/>
  <c r="AA83" i="8" s="1"/>
  <c r="Z107" i="8"/>
  <c r="AA107" i="8" s="1"/>
  <c r="Z115" i="8"/>
  <c r="AA115" i="8" s="1"/>
  <c r="Z163" i="8"/>
  <c r="AA163" i="8" s="1"/>
  <c r="Z171" i="8"/>
  <c r="AA171" i="8" s="1"/>
  <c r="Z187" i="8"/>
  <c r="AA187" i="8" s="1"/>
  <c r="Z5" i="8"/>
  <c r="AA5" i="8" s="1"/>
  <c r="Z7" i="8"/>
  <c r="AA7" i="8" s="1"/>
  <c r="Z9" i="8"/>
  <c r="AA9" i="8" s="1"/>
  <c r="Z11" i="8"/>
  <c r="AA11" i="8" s="1"/>
  <c r="Z13" i="8"/>
  <c r="AA13" i="8" s="1"/>
  <c r="Z15" i="8"/>
  <c r="AA15" i="8" s="1"/>
  <c r="Z17" i="8"/>
  <c r="AA17" i="8" s="1"/>
  <c r="Z19" i="8"/>
  <c r="AA19" i="8" s="1"/>
  <c r="Z21" i="8"/>
  <c r="AA21" i="8" s="1"/>
  <c r="Z23" i="8"/>
  <c r="AA23" i="8" s="1"/>
  <c r="Z25" i="8"/>
  <c r="AA25" i="8" s="1"/>
  <c r="Z27" i="8"/>
  <c r="AA27" i="8" s="1"/>
  <c r="Z29" i="8"/>
  <c r="AA29" i="8" s="1"/>
  <c r="Z45" i="8"/>
  <c r="AA45" i="8" s="1"/>
  <c r="Z53" i="8"/>
  <c r="AA53" i="8" s="1"/>
  <c r="Z61" i="8"/>
  <c r="AA61" i="8" s="1"/>
  <c r="Z69" i="8"/>
  <c r="AA69" i="8" s="1"/>
  <c r="Z77" i="8"/>
  <c r="AA77" i="8" s="1"/>
  <c r="Z85" i="8"/>
  <c r="AA85" i="8" s="1"/>
  <c r="Z93" i="8"/>
  <c r="AA93" i="8" s="1"/>
  <c r="Z101" i="8"/>
  <c r="AA101" i="8" s="1"/>
  <c r="Z109" i="8"/>
  <c r="AA109" i="8" s="1"/>
  <c r="Z117" i="8"/>
  <c r="AA117" i="8" s="1"/>
  <c r="Z125" i="8"/>
  <c r="AA125" i="8" s="1"/>
  <c r="Z133" i="8"/>
  <c r="AA133" i="8" s="1"/>
  <c r="Z141" i="8"/>
  <c r="AA141" i="8" s="1"/>
  <c r="Z149" i="8"/>
  <c r="AA149" i="8" s="1"/>
  <c r="Z157" i="8"/>
  <c r="AA157" i="8" s="1"/>
  <c r="Z165" i="8"/>
  <c r="AA165" i="8" s="1"/>
  <c r="Z173" i="8"/>
  <c r="AA173" i="8" s="1"/>
  <c r="Z181" i="8"/>
  <c r="AA181" i="8" s="1"/>
  <c r="Z189" i="8"/>
  <c r="AA189" i="8" s="1"/>
  <c r="Z197" i="8"/>
  <c r="AA197" i="8" s="1"/>
  <c r="Z59" i="8"/>
  <c r="AA59" i="8" s="1"/>
  <c r="Z75" i="8"/>
  <c r="AA75" i="8" s="1"/>
  <c r="Z91" i="8"/>
  <c r="AA91" i="8" s="1"/>
  <c r="Z99" i="8"/>
  <c r="AA99" i="8" s="1"/>
  <c r="Z123" i="8"/>
  <c r="AA123" i="8" s="1"/>
  <c r="Z131" i="8"/>
  <c r="AA131" i="8" s="1"/>
  <c r="Z139" i="8"/>
  <c r="AA139" i="8" s="1"/>
  <c r="Z147" i="8"/>
  <c r="AA147" i="8" s="1"/>
  <c r="Z155" i="8"/>
  <c r="AA155" i="8" s="1"/>
  <c r="Z179" i="8"/>
  <c r="AA179" i="8" s="1"/>
  <c r="Z195" i="8"/>
  <c r="AA195" i="8" s="1"/>
  <c r="Z32" i="8"/>
  <c r="AA32" i="8" s="1"/>
  <c r="Z35" i="8"/>
  <c r="AA35" i="8" s="1"/>
  <c r="Z47" i="8"/>
  <c r="AA47" i="8" s="1"/>
  <c r="Z55" i="8"/>
  <c r="AA55" i="8" s="1"/>
  <c r="Z63" i="8"/>
  <c r="AA63" i="8" s="1"/>
  <c r="Z71" i="8"/>
  <c r="AA71" i="8" s="1"/>
  <c r="Z79" i="8"/>
  <c r="AA79" i="8" s="1"/>
  <c r="Z87" i="8"/>
  <c r="AA87" i="8" s="1"/>
  <c r="Z95" i="8"/>
  <c r="AA95" i="8" s="1"/>
  <c r="Z103" i="8"/>
  <c r="AA103" i="8" s="1"/>
  <c r="Z111" i="8"/>
  <c r="AA111" i="8" s="1"/>
  <c r="Z119" i="8"/>
  <c r="AA119" i="8" s="1"/>
  <c r="Z127" i="8"/>
  <c r="AA127" i="8" s="1"/>
  <c r="Z135" i="8"/>
  <c r="AA135" i="8" s="1"/>
  <c r="Z143" i="8"/>
  <c r="AA143" i="8" s="1"/>
  <c r="Z151" i="8"/>
  <c r="AA151" i="8" s="1"/>
  <c r="Z159" i="8"/>
  <c r="AA159" i="8" s="1"/>
  <c r="Z167" i="8"/>
  <c r="AA167" i="8" s="1"/>
  <c r="Z175" i="8"/>
  <c r="AA175" i="8" s="1"/>
  <c r="Z183" i="8"/>
  <c r="AA183" i="8" s="1"/>
  <c r="Z191" i="8"/>
  <c r="AA191" i="8" s="1"/>
  <c r="Z199" i="8"/>
  <c r="AA199" i="8" s="1"/>
  <c r="Z43" i="8"/>
  <c r="AA43" i="8" s="1"/>
  <c r="Z41" i="8"/>
  <c r="AA41" i="8" s="1"/>
  <c r="Z49" i="8"/>
  <c r="AA49" i="8" s="1"/>
  <c r="Z57" i="8"/>
  <c r="AA57" i="8" s="1"/>
  <c r="Z65" i="8"/>
  <c r="AA65" i="8" s="1"/>
  <c r="Z73" i="8"/>
  <c r="AA73" i="8" s="1"/>
  <c r="Z81" i="8"/>
  <c r="AA81" i="8" s="1"/>
  <c r="Z89" i="8"/>
  <c r="AA89" i="8" s="1"/>
  <c r="Z97" i="8"/>
  <c r="AA97" i="8" s="1"/>
  <c r="Z105" i="8"/>
  <c r="AA105" i="8" s="1"/>
  <c r="Z113" i="8"/>
  <c r="AA113" i="8" s="1"/>
  <c r="Z121" i="8"/>
  <c r="AA121" i="8" s="1"/>
  <c r="Z129" i="8"/>
  <c r="AA129" i="8" s="1"/>
  <c r="Z137" i="8"/>
  <c r="AA137" i="8" s="1"/>
  <c r="Z145" i="8"/>
  <c r="AA145" i="8" s="1"/>
  <c r="Z153" i="8"/>
  <c r="AA153" i="8" s="1"/>
  <c r="Z161" i="8"/>
  <c r="AA161" i="8" s="1"/>
  <c r="Z169" i="8"/>
  <c r="AA169" i="8" s="1"/>
  <c r="Z177" i="8"/>
  <c r="AA177" i="8" s="1"/>
  <c r="Z185" i="8"/>
  <c r="AA185" i="8" s="1"/>
  <c r="Z193" i="8"/>
  <c r="AA193" i="8" s="1"/>
  <c r="K53" i="8"/>
  <c r="J4" i="8"/>
  <c r="L53" i="8"/>
  <c r="G53" i="8"/>
  <c r="H4" i="8"/>
  <c r="I4" i="8" s="1"/>
  <c r="H5" i="8"/>
  <c r="I5" i="8" s="1"/>
  <c r="H6" i="8"/>
  <c r="I6" i="8" s="1"/>
  <c r="H7" i="8"/>
  <c r="I7" i="8" s="1"/>
  <c r="H8" i="8"/>
  <c r="I8" i="8" s="1"/>
  <c r="H9" i="8"/>
  <c r="I9" i="8" s="1"/>
  <c r="H10" i="8"/>
  <c r="I10" i="8" s="1"/>
  <c r="H11" i="8"/>
  <c r="I11" i="8" s="1"/>
  <c r="H12" i="8"/>
  <c r="I12" i="8" s="1"/>
  <c r="H13" i="8"/>
  <c r="I13" i="8" s="1"/>
  <c r="H14" i="8"/>
  <c r="I14" i="8" s="1"/>
  <c r="H15" i="8"/>
  <c r="I15" i="8" s="1"/>
  <c r="H16" i="8"/>
  <c r="I16" i="8" s="1"/>
  <c r="H17" i="8"/>
  <c r="I17" i="8" s="1"/>
  <c r="H18" i="8"/>
  <c r="I18" i="8" s="1"/>
  <c r="H19" i="8"/>
  <c r="I19" i="8" s="1"/>
  <c r="H20" i="8"/>
  <c r="I20" i="8" s="1"/>
  <c r="H21" i="8"/>
  <c r="I21" i="8" s="1"/>
  <c r="H22" i="8"/>
  <c r="I22" i="8" s="1"/>
  <c r="H23" i="8"/>
  <c r="I23" i="8" s="1"/>
  <c r="H24" i="8"/>
  <c r="I24" i="8" s="1"/>
  <c r="H25" i="8"/>
  <c r="I25" i="8" s="1"/>
  <c r="H26" i="8"/>
  <c r="I26" i="8" s="1"/>
  <c r="H27" i="8"/>
  <c r="I27" i="8" s="1"/>
  <c r="H28" i="8"/>
  <c r="I28" i="8" s="1"/>
  <c r="H29" i="8"/>
  <c r="I29" i="8" s="1"/>
  <c r="H30" i="8"/>
  <c r="I30" i="8" s="1"/>
  <c r="H31" i="8"/>
  <c r="I31" i="8" s="1"/>
  <c r="H32" i="8"/>
  <c r="I32" i="8" s="1"/>
  <c r="H33" i="8"/>
  <c r="I33" i="8" s="1"/>
  <c r="H34" i="8"/>
  <c r="I34" i="8" s="1"/>
  <c r="H35" i="8"/>
  <c r="I35" i="8" s="1"/>
  <c r="H36" i="8"/>
  <c r="I36" i="8" s="1"/>
  <c r="H37" i="8"/>
  <c r="I37" i="8" s="1"/>
  <c r="H38" i="8"/>
  <c r="I38" i="8" s="1"/>
  <c r="H39" i="8"/>
  <c r="I39" i="8" s="1"/>
  <c r="H40" i="8"/>
  <c r="I40" i="8" s="1"/>
  <c r="H41" i="8"/>
  <c r="I41" i="8" s="1"/>
  <c r="H42" i="8"/>
  <c r="I42" i="8" s="1"/>
  <c r="H43" i="8"/>
  <c r="I43" i="8" s="1"/>
  <c r="H44" i="8"/>
  <c r="I44" i="8" s="1"/>
  <c r="H45" i="8"/>
  <c r="I45" i="8" s="1"/>
  <c r="H46" i="8"/>
  <c r="I46" i="8" s="1"/>
  <c r="H47" i="8"/>
  <c r="I47" i="8" s="1"/>
  <c r="H48" i="8"/>
  <c r="I48" i="8" s="1"/>
  <c r="H49" i="8"/>
  <c r="I49" i="8" s="1"/>
  <c r="H50" i="8"/>
  <c r="I50" i="8" s="1"/>
  <c r="H51" i="8"/>
  <c r="I51" i="8" s="1"/>
  <c r="H52" i="8"/>
  <c r="I52" i="8" s="1"/>
  <c r="G5" i="8"/>
  <c r="G6" i="8"/>
  <c r="G7" i="8"/>
  <c r="G8" i="8"/>
  <c r="G9" i="8"/>
  <c r="G11" i="8"/>
  <c r="G12" i="8"/>
  <c r="G13" i="8"/>
  <c r="G14" i="8"/>
  <c r="G15" i="8"/>
  <c r="G16" i="8"/>
  <c r="G17" i="8"/>
  <c r="G18" i="8"/>
  <c r="G19" i="8"/>
  <c r="G20" i="8"/>
  <c r="G21" i="8"/>
  <c r="G22" i="8"/>
  <c r="G23" i="8"/>
  <c r="G24" i="8"/>
  <c r="G25" i="8"/>
  <c r="G26" i="8"/>
  <c r="G27" i="8"/>
  <c r="G28" i="8"/>
  <c r="G29" i="8"/>
  <c r="G30" i="8"/>
  <c r="G31" i="8"/>
  <c r="G32" i="8"/>
  <c r="G33" i="8"/>
  <c r="G34" i="8"/>
  <c r="G35" i="8"/>
  <c r="G36" i="8"/>
  <c r="G37" i="8"/>
  <c r="G38" i="8"/>
  <c r="G39" i="8"/>
  <c r="G40" i="8"/>
  <c r="G41" i="8"/>
  <c r="G42" i="8"/>
  <c r="G43" i="8"/>
  <c r="G44" i="8"/>
  <c r="G45" i="8"/>
  <c r="G46" i="8"/>
  <c r="G47" i="8"/>
  <c r="G48" i="8"/>
  <c r="G49" i="8"/>
  <c r="G50" i="8"/>
  <c r="G51" i="8"/>
  <c r="G52" i="8"/>
  <c r="AA108" i="8" l="1"/>
  <c r="AA140" i="8"/>
  <c r="AA124" i="8"/>
  <c r="AA96" i="8"/>
  <c r="AB84" i="8"/>
  <c r="AA156" i="8"/>
  <c r="AA100" i="8"/>
  <c r="AA60" i="8"/>
  <c r="AA132" i="8"/>
  <c r="AA76" i="8"/>
  <c r="AA188" i="8"/>
  <c r="AA172" i="8"/>
  <c r="AA160" i="8"/>
  <c r="AA116" i="8"/>
  <c r="AA196" i="8"/>
  <c r="AA180" i="8"/>
  <c r="AA164" i="8"/>
  <c r="AA148" i="8"/>
  <c r="AA92" i="8"/>
  <c r="AA68" i="8"/>
  <c r="AA54" i="8"/>
  <c r="AB169" i="8"/>
  <c r="AB105" i="8"/>
  <c r="AB73" i="8"/>
  <c r="AB183" i="8"/>
  <c r="AB119" i="8"/>
  <c r="AB189" i="8"/>
  <c r="AB107" i="8"/>
  <c r="AB198" i="8"/>
  <c r="AB166" i="8"/>
  <c r="AB134" i="8"/>
  <c r="AB102" i="8"/>
  <c r="AB70" i="8"/>
  <c r="AB154" i="8"/>
  <c r="AB168" i="8"/>
  <c r="AB128" i="8"/>
  <c r="AB162" i="8"/>
  <c r="AB193" i="8"/>
  <c r="AB161" i="8"/>
  <c r="AB129" i="8"/>
  <c r="AB97" i="8"/>
  <c r="AB65" i="8"/>
  <c r="AB175" i="8"/>
  <c r="AB143" i="8"/>
  <c r="AB111" i="8"/>
  <c r="AB79" i="8"/>
  <c r="AB179" i="8"/>
  <c r="AB131" i="8"/>
  <c r="AB75" i="8"/>
  <c r="AB181" i="8"/>
  <c r="AB149" i="8"/>
  <c r="AB117" i="8"/>
  <c r="AB85" i="8"/>
  <c r="AB171" i="8"/>
  <c r="AB83" i="8"/>
  <c r="AB190" i="8"/>
  <c r="AB158" i="8"/>
  <c r="AB126" i="8"/>
  <c r="AB94" i="8"/>
  <c r="AB62" i="8"/>
  <c r="AB138" i="8"/>
  <c r="AB74" i="8"/>
  <c r="AB152" i="8"/>
  <c r="AB88" i="8"/>
  <c r="AB64" i="8"/>
  <c r="AB82" i="8"/>
  <c r="AB98" i="8"/>
  <c r="AB194" i="8"/>
  <c r="AB151" i="8"/>
  <c r="AB87" i="8"/>
  <c r="AB195" i="8"/>
  <c r="AB139" i="8"/>
  <c r="AB91" i="8"/>
  <c r="AB157" i="8"/>
  <c r="AB125" i="8"/>
  <c r="AB93" i="8"/>
  <c r="AB61" i="8"/>
  <c r="AB187" i="8"/>
  <c r="AB90" i="8"/>
  <c r="AB104" i="8"/>
  <c r="AB114" i="8"/>
  <c r="AB80" i="8"/>
  <c r="AB185" i="8"/>
  <c r="AB153" i="8"/>
  <c r="AB121" i="8"/>
  <c r="AB89" i="8"/>
  <c r="AB57" i="8"/>
  <c r="AB199" i="8"/>
  <c r="AB167" i="8"/>
  <c r="AB135" i="8"/>
  <c r="AB103" i="8"/>
  <c r="AB71" i="8"/>
  <c r="AB155" i="8"/>
  <c r="AB123" i="8"/>
  <c r="AB173" i="8"/>
  <c r="AB141" i="8"/>
  <c r="AB109" i="8"/>
  <c r="AB77" i="8"/>
  <c r="AB163" i="8"/>
  <c r="AB67" i="8"/>
  <c r="AB182" i="8"/>
  <c r="AB150" i="8"/>
  <c r="AB118" i="8"/>
  <c r="AB86" i="8"/>
  <c r="AB186" i="8"/>
  <c r="AB122" i="8"/>
  <c r="AB136" i="8"/>
  <c r="AB72" i="8"/>
  <c r="AB178" i="8"/>
  <c r="AB176" i="8"/>
  <c r="AB130" i="8"/>
  <c r="AB144" i="8"/>
  <c r="AB137" i="8"/>
  <c r="AB177" i="8"/>
  <c r="AB145" i="8"/>
  <c r="AB113" i="8"/>
  <c r="AB81" i="8"/>
  <c r="AB191" i="8"/>
  <c r="AB159" i="8"/>
  <c r="AB127" i="8"/>
  <c r="AB95" i="8"/>
  <c r="AB63" i="8"/>
  <c r="AB147" i="8"/>
  <c r="AB99" i="8"/>
  <c r="AB197" i="8"/>
  <c r="AB165" i="8"/>
  <c r="AB133" i="8"/>
  <c r="AB101" i="8"/>
  <c r="AB69" i="8"/>
  <c r="AB115" i="8"/>
  <c r="AB174" i="8"/>
  <c r="AB142" i="8"/>
  <c r="AB110" i="8"/>
  <c r="AB78" i="8"/>
  <c r="AB170" i="8"/>
  <c r="AB106" i="8"/>
  <c r="AB184" i="8"/>
  <c r="AB120" i="8"/>
  <c r="AB192" i="8"/>
  <c r="AB146" i="8"/>
  <c r="AB112" i="8"/>
  <c r="AB66" i="8"/>
  <c r="O9" i="8"/>
  <c r="AB35" i="8"/>
  <c r="AB45" i="8"/>
  <c r="AB23" i="8"/>
  <c r="AB7" i="8"/>
  <c r="AB33" i="8"/>
  <c r="AB52" i="8"/>
  <c r="AB37" i="8"/>
  <c r="AB6" i="8"/>
  <c r="AB49" i="8"/>
  <c r="AB32" i="8"/>
  <c r="AB29" i="8"/>
  <c r="AB30" i="8"/>
  <c r="AB41" i="8"/>
  <c r="AB55" i="8"/>
  <c r="AB27" i="8"/>
  <c r="AB19" i="8"/>
  <c r="AB11" i="8"/>
  <c r="AB22" i="8"/>
  <c r="AB42" i="8"/>
  <c r="AB14" i="8"/>
  <c r="AB28" i="8"/>
  <c r="AB48" i="8"/>
  <c r="AB34" i="8"/>
  <c r="AB10" i="8"/>
  <c r="AB59" i="8"/>
  <c r="AB15" i="8"/>
  <c r="AB46" i="8"/>
  <c r="AB58" i="8"/>
  <c r="AB56" i="8"/>
  <c r="AB21" i="8"/>
  <c r="AB13" i="8"/>
  <c r="AB5" i="8"/>
  <c r="AB51" i="8"/>
  <c r="AB44" i="8"/>
  <c r="AB16" i="8"/>
  <c r="AB50" i="8"/>
  <c r="AB36" i="8"/>
  <c r="AB31" i="8"/>
  <c r="AB18" i="8"/>
  <c r="AB26" i="8"/>
  <c r="AB43" i="8"/>
  <c r="AB47" i="8"/>
  <c r="AB53" i="8"/>
  <c r="AB25" i="8"/>
  <c r="AB17" i="8"/>
  <c r="AB9" i="8"/>
  <c r="AB38" i="8"/>
  <c r="AB39" i="8"/>
  <c r="AB4" i="8"/>
  <c r="AB20" i="8"/>
  <c r="AB40" i="8"/>
  <c r="AB12" i="8"/>
  <c r="AB8" i="8"/>
  <c r="AB24" i="8"/>
  <c r="N9" i="8"/>
  <c r="K11" i="8"/>
  <c r="L47" i="8"/>
  <c r="L31" i="8"/>
  <c r="O13" i="8"/>
  <c r="O12" i="8"/>
  <c r="O17" i="8"/>
  <c r="K7" i="8"/>
  <c r="L43" i="8"/>
  <c r="L27" i="8"/>
  <c r="L15" i="8"/>
  <c r="L39" i="8"/>
  <c r="L23" i="8"/>
  <c r="K15" i="8"/>
  <c r="L11" i="8"/>
  <c r="L35" i="8"/>
  <c r="L19" i="8"/>
  <c r="J52" i="8"/>
  <c r="J36" i="8"/>
  <c r="J28" i="8"/>
  <c r="J51" i="8"/>
  <c r="J47" i="8"/>
  <c r="J43" i="8"/>
  <c r="J39" i="8"/>
  <c r="J35" i="8"/>
  <c r="J31" i="8"/>
  <c r="J27" i="8"/>
  <c r="J23" i="8"/>
  <c r="J19" i="8"/>
  <c r="J15" i="8"/>
  <c r="J11" i="8"/>
  <c r="J7" i="8"/>
  <c r="K14" i="8"/>
  <c r="K10" i="8"/>
  <c r="K6" i="8"/>
  <c r="K51" i="8"/>
  <c r="K47" i="8"/>
  <c r="K43" i="8"/>
  <c r="K39" i="8"/>
  <c r="K35" i="8"/>
  <c r="K31" i="8"/>
  <c r="K27" i="8"/>
  <c r="K23" i="8"/>
  <c r="K19" i="8"/>
  <c r="L7" i="8"/>
  <c r="L18" i="8"/>
  <c r="L14" i="8"/>
  <c r="L10" i="8"/>
  <c r="L50" i="8"/>
  <c r="L46" i="8"/>
  <c r="L42" i="8"/>
  <c r="L38" i="8"/>
  <c r="L34" i="8"/>
  <c r="L30" i="8"/>
  <c r="L26" i="8"/>
  <c r="L22" i="8"/>
  <c r="J44" i="8"/>
  <c r="J20" i="8"/>
  <c r="J50" i="8"/>
  <c r="J46" i="8"/>
  <c r="J42" i="8"/>
  <c r="J38" i="8"/>
  <c r="J34" i="8"/>
  <c r="J30" i="8"/>
  <c r="J26" i="8"/>
  <c r="J22" i="8"/>
  <c r="J18" i="8"/>
  <c r="J14" i="8"/>
  <c r="J10" i="8"/>
  <c r="J6" i="8"/>
  <c r="K17" i="8"/>
  <c r="K13" i="8"/>
  <c r="K9" i="8"/>
  <c r="K5" i="8"/>
  <c r="K50" i="8"/>
  <c r="K46" i="8"/>
  <c r="K42" i="8"/>
  <c r="K38" i="8"/>
  <c r="K34" i="8"/>
  <c r="K30" i="8"/>
  <c r="K26" i="8"/>
  <c r="K22" i="8"/>
  <c r="K18" i="8"/>
  <c r="L6" i="8"/>
  <c r="L17" i="8"/>
  <c r="L13" i="8"/>
  <c r="L9" i="8"/>
  <c r="L49" i="8"/>
  <c r="L45" i="8"/>
  <c r="L41" i="8"/>
  <c r="L37" i="8"/>
  <c r="L33" i="8"/>
  <c r="L29" i="8"/>
  <c r="L25" i="8"/>
  <c r="L21" i="8"/>
  <c r="J48" i="8"/>
  <c r="J40" i="8"/>
  <c r="J32" i="8"/>
  <c r="J24" i="8"/>
  <c r="J16" i="8"/>
  <c r="J12" i="8"/>
  <c r="J8" i="8"/>
  <c r="K52" i="8"/>
  <c r="K48" i="8"/>
  <c r="K44" i="8"/>
  <c r="K40" i="8"/>
  <c r="K36" i="8"/>
  <c r="K32" i="8"/>
  <c r="K28" i="8"/>
  <c r="K24" i="8"/>
  <c r="K20" i="8"/>
  <c r="L8" i="8"/>
  <c r="L51" i="8"/>
  <c r="J49" i="8"/>
  <c r="J45" i="8"/>
  <c r="J41" i="8"/>
  <c r="J37" i="8"/>
  <c r="J33" i="8"/>
  <c r="J29" i="8"/>
  <c r="J25" i="8"/>
  <c r="J21" i="8"/>
  <c r="J17" i="8"/>
  <c r="J13" i="8"/>
  <c r="J9" i="8"/>
  <c r="J5" i="8"/>
  <c r="K16" i="8"/>
  <c r="K12" i="8"/>
  <c r="K8" i="8"/>
  <c r="K49" i="8"/>
  <c r="K45" i="8"/>
  <c r="K41" i="8"/>
  <c r="K37" i="8"/>
  <c r="K33" i="8"/>
  <c r="K29" i="8"/>
  <c r="K25" i="8"/>
  <c r="K21" i="8"/>
  <c r="L5" i="8"/>
  <c r="L16" i="8"/>
  <c r="L12" i="8"/>
  <c r="L52" i="8"/>
  <c r="L48" i="8"/>
  <c r="L44" i="8"/>
  <c r="L40" i="8"/>
  <c r="L36" i="8"/>
  <c r="L32" i="8"/>
  <c r="L28" i="8"/>
  <c r="L24" i="8"/>
  <c r="L20" i="8"/>
  <c r="O5" i="8" l="1"/>
  <c r="O21" i="8"/>
  <c r="O22" i="8"/>
  <c r="O23" i="8"/>
  <c r="O20" i="8"/>
  <c r="N5" i="8"/>
  <c r="O16" i="8"/>
  <c r="O24" i="8" l="1"/>
</calcChain>
</file>

<file path=xl/sharedStrings.xml><?xml version="1.0" encoding="utf-8"?>
<sst xmlns="http://schemas.openxmlformats.org/spreadsheetml/2006/main" count="2002" uniqueCount="188">
  <si>
    <t>Code produit</t>
  </si>
  <si>
    <t>Désignation</t>
  </si>
  <si>
    <t>Catégorie</t>
  </si>
  <si>
    <t>Prix achat</t>
  </si>
  <si>
    <t>Lot</t>
  </si>
  <si>
    <t>Date préremption</t>
  </si>
  <si>
    <t>Quantité entrée</t>
  </si>
  <si>
    <t>Montant</t>
  </si>
  <si>
    <t>Quantité</t>
  </si>
  <si>
    <t>PR001</t>
  </si>
  <si>
    <t>Paracétamol 500 mg</t>
  </si>
  <si>
    <t>Antalgique</t>
  </si>
  <si>
    <t>PR002</t>
  </si>
  <si>
    <t>Paracétamol 1000 mg</t>
  </si>
  <si>
    <t>PR003</t>
  </si>
  <si>
    <t>Ibuprofène 400 mg</t>
  </si>
  <si>
    <t>Anti-inflammatoire</t>
  </si>
  <si>
    <t>PR004</t>
  </si>
  <si>
    <t>Aspirine 500 mg</t>
  </si>
  <si>
    <t>PR005</t>
  </si>
  <si>
    <t>Amoxicilline 500 mg</t>
  </si>
  <si>
    <t>Antibiotique</t>
  </si>
  <si>
    <t>PR006</t>
  </si>
  <si>
    <t>Amoxicilline 1 g</t>
  </si>
  <si>
    <t>PR007</t>
  </si>
  <si>
    <t>Azithromycine 500 mg</t>
  </si>
  <si>
    <t>PR008</t>
  </si>
  <si>
    <t>Ciprofloxacine 500 mg</t>
  </si>
  <si>
    <t>PR009</t>
  </si>
  <si>
    <t>PR010</t>
  </si>
  <si>
    <t>PR011</t>
  </si>
  <si>
    <t>Vitamine C 500 mg</t>
  </si>
  <si>
    <t>Vitamine</t>
  </si>
  <si>
    <t>PR012</t>
  </si>
  <si>
    <t>Vitamine C 1000 mg</t>
  </si>
  <si>
    <t>PR013</t>
  </si>
  <si>
    <t>PR014</t>
  </si>
  <si>
    <t>Vitamine D3</t>
  </si>
  <si>
    <t>PR015</t>
  </si>
  <si>
    <t>PR016</t>
  </si>
  <si>
    <t>PR017</t>
  </si>
  <si>
    <t>PR018</t>
  </si>
  <si>
    <t>Efferalgan sirop</t>
  </si>
  <si>
    <t>PR019</t>
  </si>
  <si>
    <t>Antispasmodique</t>
  </si>
  <si>
    <t>PR020</t>
  </si>
  <si>
    <t>Spasfon injectable</t>
  </si>
  <si>
    <t>PR021</t>
  </si>
  <si>
    <t>PR022</t>
  </si>
  <si>
    <t>PR023</t>
  </si>
  <si>
    <t>PR024</t>
  </si>
  <si>
    <t>Gaviscon</t>
  </si>
  <si>
    <t>PR025</t>
  </si>
  <si>
    <t>PR026</t>
  </si>
  <si>
    <t>Oméprazole 40 mg</t>
  </si>
  <si>
    <t>Albendazole 400 mg</t>
  </si>
  <si>
    <t>Antiparasitaire</t>
  </si>
  <si>
    <t>Salbutamol inhalateur</t>
  </si>
  <si>
    <t>Respiratoire</t>
  </si>
  <si>
    <t>Ventoline inhalateur</t>
  </si>
  <si>
    <t>Amoxicilline sirop</t>
  </si>
  <si>
    <t>Gentamicine injectable</t>
  </si>
  <si>
    <t>Diclofénac injectable</t>
  </si>
  <si>
    <t>Solution</t>
  </si>
  <si>
    <t>Sérum physiologique</t>
  </si>
  <si>
    <t>Bétadine</t>
  </si>
  <si>
    <t>Antiseptique</t>
  </si>
  <si>
    <t>Alcool médical</t>
  </si>
  <si>
    <t>Veuillez Saisir les informations de chaque produits</t>
  </si>
  <si>
    <t>Dates</t>
  </si>
  <si>
    <t>Veuillez Saisir les informations de chaque achats</t>
  </si>
  <si>
    <t>Veuillez Saisir les informations de chaque Ventes</t>
  </si>
  <si>
    <t>Prix de ventes</t>
  </si>
  <si>
    <t>Veuillez Saisir les informations de chaque sorties</t>
  </si>
  <si>
    <t>Motif</t>
  </si>
  <si>
    <t>Categorie</t>
  </si>
  <si>
    <t>Prix vente</t>
  </si>
  <si>
    <t>Stock minimun</t>
  </si>
  <si>
    <t>Qantités</t>
  </si>
  <si>
    <t>Types</t>
  </si>
  <si>
    <t>Dates Achat</t>
  </si>
  <si>
    <t>Commande</t>
  </si>
  <si>
    <t>Stock nim</t>
  </si>
  <si>
    <t>Date de péremption</t>
  </si>
  <si>
    <t>Stock restants</t>
  </si>
  <si>
    <t>Expiré</t>
  </si>
  <si>
    <t>Stock restant</t>
  </si>
  <si>
    <r>
      <rPr>
        <b/>
        <sz val="12"/>
        <color theme="3"/>
        <rFont val="Cambria"/>
        <family val="1"/>
      </rPr>
      <t>Nouvelle</t>
    </r>
    <r>
      <rPr>
        <b/>
        <sz val="12"/>
        <color theme="1"/>
        <rFont val="Cambria"/>
        <family val="1"/>
      </rPr>
      <t xml:space="preserve"> </t>
    </r>
    <r>
      <rPr>
        <b/>
        <sz val="12"/>
        <color rgb="FF00B050"/>
        <rFont val="Cambria"/>
        <family val="1"/>
      </rPr>
      <t>Produit</t>
    </r>
  </si>
  <si>
    <r>
      <t>Liste des</t>
    </r>
    <r>
      <rPr>
        <b/>
        <sz val="12"/>
        <color rgb="FF00B0F0"/>
        <rFont val="Cambria"/>
        <family val="1"/>
      </rPr>
      <t xml:space="preserve"> </t>
    </r>
    <r>
      <rPr>
        <b/>
        <sz val="12"/>
        <color rgb="FF00B050"/>
        <rFont val="Cambria"/>
        <family val="1"/>
      </rPr>
      <t>produits</t>
    </r>
  </si>
  <si>
    <r>
      <t xml:space="preserve">Nouvelle </t>
    </r>
    <r>
      <rPr>
        <b/>
        <sz val="12"/>
        <color rgb="FF00B050"/>
        <rFont val="Cambria"/>
        <family val="1"/>
      </rPr>
      <t>Achats</t>
    </r>
  </si>
  <si>
    <r>
      <t>Liste des</t>
    </r>
    <r>
      <rPr>
        <b/>
        <sz val="12"/>
        <color rgb="FF00B0F0"/>
        <rFont val="Cambria"/>
        <family val="1"/>
      </rPr>
      <t xml:space="preserve"> </t>
    </r>
    <r>
      <rPr>
        <b/>
        <sz val="12"/>
        <color rgb="FF00B050"/>
        <rFont val="Cambria"/>
        <family val="1"/>
      </rPr>
      <t>Achats</t>
    </r>
  </si>
  <si>
    <r>
      <t xml:space="preserve">Nouvelle </t>
    </r>
    <r>
      <rPr>
        <b/>
        <sz val="12"/>
        <color rgb="FF00B050"/>
        <rFont val="Cambria"/>
        <family val="1"/>
      </rPr>
      <t>Ventes</t>
    </r>
  </si>
  <si>
    <r>
      <t>Historique des</t>
    </r>
    <r>
      <rPr>
        <b/>
        <sz val="12"/>
        <color rgb="FF00B0F0"/>
        <rFont val="Cambria"/>
        <family val="1"/>
      </rPr>
      <t xml:space="preserve"> </t>
    </r>
    <r>
      <rPr>
        <b/>
        <sz val="12"/>
        <color rgb="FF00B050"/>
        <rFont val="Cambria"/>
        <family val="1"/>
      </rPr>
      <t>Ventes</t>
    </r>
  </si>
  <si>
    <r>
      <t>Nouvelle</t>
    </r>
    <r>
      <rPr>
        <b/>
        <sz val="12"/>
        <color rgb="FF00B0F0"/>
        <rFont val="Cambria"/>
        <family val="1"/>
      </rPr>
      <t xml:space="preserve"> </t>
    </r>
    <r>
      <rPr>
        <b/>
        <sz val="12"/>
        <color rgb="FF00B050"/>
        <rFont val="Cambria"/>
        <family val="1"/>
      </rPr>
      <t>Sorties</t>
    </r>
  </si>
  <si>
    <r>
      <t>Historique des</t>
    </r>
    <r>
      <rPr>
        <b/>
        <sz val="12"/>
        <color rgb="FF00B0F0"/>
        <rFont val="Cambria"/>
        <family val="1"/>
      </rPr>
      <t xml:space="preserve"> </t>
    </r>
    <r>
      <rPr>
        <b/>
        <sz val="12"/>
        <color rgb="FF00B050"/>
        <rFont val="Cambria"/>
        <family val="1"/>
      </rPr>
      <t>Sorties</t>
    </r>
  </si>
  <si>
    <r>
      <t>Historique des</t>
    </r>
    <r>
      <rPr>
        <b/>
        <sz val="12"/>
        <color rgb="FF00B050"/>
        <rFont val="Cambria"/>
        <family val="1"/>
      </rPr>
      <t xml:space="preserve"> Mouvements</t>
    </r>
  </si>
  <si>
    <t>jours restants</t>
  </si>
  <si>
    <t>Quantités restants</t>
  </si>
  <si>
    <t>Croisé_Stock_par_lot</t>
  </si>
  <si>
    <t>Croisé_Stock_par_produits</t>
  </si>
  <si>
    <t xml:space="preserve"> </t>
  </si>
  <si>
    <t>Dates de péremption</t>
  </si>
  <si>
    <t>LOT-001</t>
  </si>
  <si>
    <t>Achat</t>
  </si>
  <si>
    <t>Status</t>
  </si>
  <si>
    <t>Vente</t>
  </si>
  <si>
    <t>Stock_par_produits et suivi des commandes</t>
  </si>
  <si>
    <t>Stock_par_lot_et_suivi_des_péremptions</t>
  </si>
  <si>
    <t>Quantité restants</t>
  </si>
  <si>
    <t>Code</t>
  </si>
  <si>
    <t>Rupture</t>
  </si>
  <si>
    <t>s</t>
  </si>
  <si>
    <t>Stock actuel</t>
  </si>
  <si>
    <t>Valeur stock</t>
  </si>
  <si>
    <t>Ventes mois</t>
  </si>
  <si>
    <t>CA mois</t>
  </si>
  <si>
    <t>Alerte stock</t>
  </si>
  <si>
    <t>Stock minimum</t>
  </si>
  <si>
    <t>Valeur totale du stock</t>
  </si>
  <si>
    <t>CA total du mois</t>
  </si>
  <si>
    <t>Nbre du stck faible</t>
  </si>
  <si>
    <t>Ruptures</t>
  </si>
  <si>
    <t>Prduits le plus vendu</t>
  </si>
  <si>
    <t>Quantité vendu</t>
  </si>
  <si>
    <t>Meilleur CA produit</t>
  </si>
  <si>
    <t>CA maximun</t>
  </si>
  <si>
    <t>Nbre de prduit</t>
  </si>
  <si>
    <t>Surveillance</t>
  </si>
  <si>
    <t>Conforme</t>
  </si>
  <si>
    <t>Urgente</t>
  </si>
  <si>
    <t>Alterte de péremption</t>
  </si>
  <si>
    <t>Étiquettes de lignes</t>
  </si>
  <si>
    <t>Somme de Stock actuel</t>
  </si>
  <si>
    <t>Somme de Stock minimum</t>
  </si>
  <si>
    <t>Somme de Commande</t>
  </si>
  <si>
    <t>Proposition de commande</t>
  </si>
  <si>
    <t>Top 10 Proposition de commande</t>
  </si>
  <si>
    <t>Somme de Stock restant</t>
  </si>
  <si>
    <t>Alerte de péremption</t>
  </si>
  <si>
    <t>Somme de Valeur stock</t>
  </si>
  <si>
    <t>Somme de Montant</t>
  </si>
  <si>
    <t>Perte</t>
  </si>
  <si>
    <t>Gastro-intestinal</t>
  </si>
  <si>
    <t>Metronidazole 500 mg</t>
  </si>
  <si>
    <t>Ceftriaxone injectable</t>
  </si>
  <si>
    <t>LOT-002</t>
  </si>
  <si>
    <t>Casse</t>
  </si>
  <si>
    <t>janv</t>
  </si>
  <si>
    <t>févr</t>
  </si>
  <si>
    <t>mars</t>
  </si>
  <si>
    <t>Proche</t>
  </si>
  <si>
    <t>avr</t>
  </si>
  <si>
    <t>Data dashbord</t>
  </si>
  <si>
    <t>Les Kpis</t>
  </si>
  <si>
    <t>Alerte de péremption &lt; ou = à 60 jrs</t>
  </si>
  <si>
    <t>Repartition du stock par catégorie</t>
  </si>
  <si>
    <t>Valeur du stock par catégorie</t>
  </si>
  <si>
    <t>Évolution du ventes</t>
  </si>
  <si>
    <t>mai</t>
  </si>
  <si>
    <t>juin</t>
  </si>
  <si>
    <t>juil</t>
  </si>
  <si>
    <t>LOT-003</t>
  </si>
  <si>
    <t>août</t>
  </si>
  <si>
    <t>Total général</t>
  </si>
  <si>
    <t>Prix d'achat</t>
  </si>
  <si>
    <t>depenses lie au ventes</t>
  </si>
  <si>
    <t>Somme de depenses lie au ventes</t>
  </si>
  <si>
    <t>11-janv</t>
  </si>
  <si>
    <t>13-janv</t>
  </si>
  <si>
    <t>14-janv</t>
  </si>
  <si>
    <t>15-janv</t>
  </si>
  <si>
    <t>16-janv</t>
  </si>
  <si>
    <t>19-janv</t>
  </si>
  <si>
    <t>20-janv</t>
  </si>
  <si>
    <t>24-janv</t>
  </si>
  <si>
    <t>27-janv</t>
  </si>
  <si>
    <t>28-janv</t>
  </si>
  <si>
    <t>29-janv</t>
  </si>
  <si>
    <t>30-janv</t>
  </si>
  <si>
    <t>31-janv</t>
  </si>
  <si>
    <t>Somme de Quantité</t>
  </si>
  <si>
    <t>Actualiser le tableau Data_Dashboard</t>
  </si>
  <si>
    <t>Après enregistrement :</t>
  </si>
  <si>
    <t>source</t>
  </si>
  <si>
    <t>Chiffres d'affaires</t>
  </si>
  <si>
    <t>Dépenses lié au stock vendus</t>
  </si>
  <si>
    <t>Top produits les plus vendus</t>
  </si>
  <si>
    <t>par le button suuivants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</si>
</sst>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,##0\ &quot;Fcfa&quot;"/>
  </numFmts>
  <fonts count="25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3"/>
      <name val="Cambria"/>
      <family val="1"/>
    </font>
    <font>
      <b/>
      <sz val="12"/>
      <color rgb="FF00B0F0"/>
      <name val="Cambria"/>
      <family val="1"/>
    </font>
    <font>
      <b/>
      <sz val="12"/>
      <color theme="1"/>
      <name val="Cambria"/>
      <family val="1"/>
    </font>
    <font>
      <b/>
      <sz val="12"/>
      <color theme="2" tint="-0.499984740745262"/>
      <name val="Calibri Light"/>
      <family val="2"/>
      <scheme val="major"/>
    </font>
    <font>
      <b/>
      <sz val="12"/>
      <color theme="0"/>
      <name val="Calibri"/>
      <family val="2"/>
      <scheme val="minor"/>
    </font>
    <font>
      <sz val="11"/>
      <color theme="4" tint="0.39997558519241921"/>
      <name val="Calibri"/>
      <family val="2"/>
      <scheme val="minor"/>
    </font>
    <font>
      <b/>
      <sz val="12"/>
      <color rgb="FF00B050"/>
      <name val="Cambria"/>
      <family val="1"/>
    </font>
    <font>
      <b/>
      <sz val="12"/>
      <color theme="0"/>
      <name val="Calibri"/>
      <scheme val="minor"/>
    </font>
    <font>
      <sz val="12"/>
      <color theme="1"/>
      <name val="Calibri"/>
      <scheme val="minor"/>
    </font>
    <font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.5"/>
      <color theme="1"/>
      <name val="Calibri"/>
      <family val="2"/>
      <scheme val="minor"/>
    </font>
    <font>
      <sz val="9.5"/>
      <color theme="1"/>
      <name val="Calibri"/>
      <scheme val="minor"/>
    </font>
    <font>
      <sz val="10"/>
      <color theme="4" tint="0.3999755851924192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b/>
      <sz val="11"/>
      <name val="Calibri"/>
      <family val="2"/>
      <scheme val="minor"/>
    </font>
    <font>
      <b/>
      <sz val="18"/>
      <color theme="0"/>
      <name val="Cambria"/>
      <family val="1"/>
    </font>
    <font>
      <sz val="11"/>
      <color rgb="FF92D05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rgb="FFFF0000"/>
      <name val="Cambria"/>
      <family val="1"/>
    </font>
  </fonts>
  <fills count="12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7E7F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 tint="0.249977111117893"/>
        <bgColor indexed="64"/>
      </patternFill>
    </fill>
  </fills>
  <borders count="17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theme="2" tint="-9.9978637043366805E-2"/>
      </right>
      <top/>
      <bottom/>
      <diagonal/>
    </border>
    <border>
      <left/>
      <right/>
      <top style="thin">
        <color theme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theme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65">
    <xf numFmtId="0" fontId="0" fillId="0" borderId="0" xfId="0"/>
    <xf numFmtId="0" fontId="1" fillId="3" borderId="0" xfId="0" applyFont="1" applyFill="1"/>
    <xf numFmtId="0" fontId="1" fillId="4" borderId="0" xfId="0" applyFont="1" applyFill="1"/>
    <xf numFmtId="0" fontId="2" fillId="3" borderId="0" xfId="0" applyFont="1" applyFill="1"/>
    <xf numFmtId="0" fontId="1" fillId="2" borderId="0" xfId="0" applyFont="1" applyFill="1"/>
    <xf numFmtId="0" fontId="4" fillId="3" borderId="0" xfId="0" applyFont="1" applyFill="1"/>
    <xf numFmtId="0" fontId="5" fillId="3" borderId="0" xfId="0" applyFont="1" applyFill="1" applyAlignment="1">
      <alignment horizontal="right"/>
    </xf>
    <xf numFmtId="0" fontId="1" fillId="3" borderId="0" xfId="0" applyFont="1" applyFill="1" applyBorder="1"/>
    <xf numFmtId="0" fontId="4" fillId="3" borderId="0" xfId="0" applyFont="1" applyFill="1" applyAlignment="1">
      <alignment vertical="top"/>
    </xf>
    <xf numFmtId="0" fontId="1" fillId="3" borderId="4" xfId="0" applyFont="1" applyFill="1" applyBorder="1"/>
    <xf numFmtId="0" fontId="7" fillId="5" borderId="0" xfId="0" applyFont="1" applyFill="1"/>
    <xf numFmtId="0" fontId="7" fillId="3" borderId="0" xfId="0" applyFont="1" applyFill="1"/>
    <xf numFmtId="0" fontId="7" fillId="3" borderId="5" xfId="0" applyFont="1" applyFill="1" applyBorder="1"/>
    <xf numFmtId="0" fontId="1" fillId="3" borderId="0" xfId="0" applyFont="1" applyFill="1" applyBorder="1" applyAlignment="1">
      <alignment horizontal="center"/>
    </xf>
    <xf numFmtId="0" fontId="1" fillId="3" borderId="2" xfId="0" applyFont="1" applyFill="1" applyBorder="1"/>
    <xf numFmtId="164" fontId="1" fillId="3" borderId="3" xfId="0" applyNumberFormat="1" applyFont="1" applyFill="1" applyBorder="1"/>
    <xf numFmtId="164" fontId="1" fillId="3" borderId="2" xfId="0" applyNumberFormat="1" applyFont="1" applyFill="1" applyBorder="1"/>
    <xf numFmtId="0" fontId="1" fillId="6" borderId="1" xfId="0" applyFont="1" applyFill="1" applyBorder="1"/>
    <xf numFmtId="0" fontId="1" fillId="6" borderId="2" xfId="0" applyFont="1" applyFill="1" applyBorder="1"/>
    <xf numFmtId="0" fontId="1" fillId="6" borderId="3" xfId="0" applyFont="1" applyFill="1" applyBorder="1"/>
    <xf numFmtId="0" fontId="6" fillId="6" borderId="1" xfId="0" applyFont="1" applyFill="1" applyBorder="1"/>
    <xf numFmtId="0" fontId="6" fillId="6" borderId="2" xfId="0" applyFont="1" applyFill="1" applyBorder="1"/>
    <xf numFmtId="0" fontId="6" fillId="6" borderId="3" xfId="0" applyFont="1" applyFill="1" applyBorder="1"/>
    <xf numFmtId="0" fontId="9" fillId="6" borderId="2" xfId="0" applyFont="1" applyFill="1" applyBorder="1"/>
    <xf numFmtId="14" fontId="1" fillId="3" borderId="0" xfId="0" applyNumberFormat="1" applyFont="1" applyFill="1"/>
    <xf numFmtId="0" fontId="1" fillId="0" borderId="1" xfId="0" applyNumberFormat="1" applyFont="1" applyBorder="1"/>
    <xf numFmtId="0" fontId="1" fillId="0" borderId="2" xfId="0" applyFont="1" applyBorder="1"/>
    <xf numFmtId="14" fontId="1" fillId="4" borderId="0" xfId="0" applyNumberFormat="1" applyFont="1" applyFill="1"/>
    <xf numFmtId="14" fontId="9" fillId="6" borderId="2" xfId="0" applyNumberFormat="1" applyFont="1" applyFill="1" applyBorder="1"/>
    <xf numFmtId="0" fontId="11" fillId="6" borderId="0" xfId="0" applyFont="1" applyFill="1"/>
    <xf numFmtId="0" fontId="1" fillId="3" borderId="0" xfId="0" applyFont="1" applyFill="1" applyAlignment="1">
      <alignment horizontal="left"/>
    </xf>
    <xf numFmtId="0" fontId="1" fillId="2" borderId="0" xfId="0" applyFont="1" applyFill="1" applyAlignment="1">
      <alignment horizontal="left"/>
    </xf>
    <xf numFmtId="0" fontId="5" fillId="3" borderId="0" xfId="0" applyFont="1" applyFill="1" applyAlignment="1">
      <alignment horizontal="left"/>
    </xf>
    <xf numFmtId="0" fontId="4" fillId="3" borderId="0" xfId="0" applyFont="1" applyFill="1" applyAlignment="1">
      <alignment horizontal="left" vertical="top"/>
    </xf>
    <xf numFmtId="0" fontId="6" fillId="6" borderId="1" xfId="0" applyFont="1" applyFill="1" applyBorder="1" applyAlignment="1">
      <alignment horizontal="left"/>
    </xf>
    <xf numFmtId="14" fontId="1" fillId="0" borderId="1" xfId="0" applyNumberFormat="1" applyFont="1" applyBorder="1" applyAlignment="1">
      <alignment horizontal="left"/>
    </xf>
    <xf numFmtId="0" fontId="1" fillId="0" borderId="2" xfId="0" applyNumberFormat="1" applyFont="1" applyBorder="1"/>
    <xf numFmtId="0" fontId="1" fillId="3" borderId="2" xfId="0" applyNumberFormat="1" applyFont="1" applyFill="1" applyBorder="1"/>
    <xf numFmtId="1" fontId="1" fillId="0" borderId="2" xfId="0" applyNumberFormat="1" applyFont="1" applyBorder="1"/>
    <xf numFmtId="0" fontId="1" fillId="0" borderId="0" xfId="0" applyFont="1" applyAlignment="1">
      <alignment horizontal="left"/>
    </xf>
    <xf numFmtId="14" fontId="1" fillId="0" borderId="0" xfId="0" applyNumberFormat="1" applyFont="1" applyAlignment="1">
      <alignment horizontal="left"/>
    </xf>
    <xf numFmtId="0" fontId="1" fillId="0" borderId="8" xfId="0" applyNumberFormat="1" applyFont="1" applyBorder="1" applyAlignment="1"/>
    <xf numFmtId="0" fontId="1" fillId="0" borderId="6" xfId="0" applyFont="1" applyBorder="1" applyAlignment="1">
      <alignment horizontal="right"/>
    </xf>
    <xf numFmtId="0" fontId="1" fillId="0" borderId="0" xfId="0" applyNumberFormat="1" applyFont="1" applyAlignment="1">
      <alignment horizontal="left"/>
    </xf>
    <xf numFmtId="14" fontId="1" fillId="0" borderId="7" xfId="0" applyNumberFormat="1" applyFont="1" applyBorder="1" applyAlignment="1">
      <alignment horizontal="left"/>
    </xf>
    <xf numFmtId="1" fontId="1" fillId="0" borderId="0" xfId="0" applyNumberFormat="1" applyFont="1" applyAlignment="1">
      <alignment horizontal="right"/>
    </xf>
    <xf numFmtId="0" fontId="1" fillId="0" borderId="9" xfId="0" applyNumberFormat="1" applyFont="1" applyBorder="1" applyAlignment="1"/>
    <xf numFmtId="0" fontId="1" fillId="0" borderId="0" xfId="0" applyFont="1" applyBorder="1" applyAlignment="1">
      <alignment horizontal="right"/>
    </xf>
    <xf numFmtId="0" fontId="1" fillId="0" borderId="0" xfId="0" applyNumberFormat="1" applyFont="1" applyAlignment="1"/>
    <xf numFmtId="0" fontId="1" fillId="0" borderId="0" xfId="0" applyFont="1" applyAlignment="1">
      <alignment horizontal="right"/>
    </xf>
    <xf numFmtId="0" fontId="0" fillId="0" borderId="0" xfId="0" applyAlignment="1">
      <alignment horizontal="left"/>
    </xf>
    <xf numFmtId="0" fontId="0" fillId="0" borderId="0" xfId="0" applyNumberFormat="1"/>
    <xf numFmtId="0" fontId="1" fillId="0" borderId="0" xfId="0" applyFont="1" applyAlignment="1"/>
    <xf numFmtId="1" fontId="1" fillId="0" borderId="0" xfId="0" applyNumberFormat="1" applyFont="1" applyAlignment="1"/>
    <xf numFmtId="14" fontId="1" fillId="0" borderId="0" xfId="0" applyNumberFormat="1" applyFont="1" applyAlignment="1"/>
    <xf numFmtId="0" fontId="1" fillId="0" borderId="0" xfId="0" applyFont="1"/>
    <xf numFmtId="0" fontId="12" fillId="0" borderId="0" xfId="0" applyFont="1"/>
    <xf numFmtId="0" fontId="13" fillId="0" borderId="0" xfId="0" applyFont="1" applyAlignment="1">
      <alignment vertical="center"/>
    </xf>
    <xf numFmtId="0" fontId="13" fillId="0" borderId="0" xfId="0" applyFont="1"/>
    <xf numFmtId="164" fontId="0" fillId="0" borderId="0" xfId="0" applyNumberFormat="1"/>
    <xf numFmtId="0" fontId="14" fillId="0" borderId="0" xfId="0" applyFont="1" applyAlignment="1">
      <alignment vertical="center"/>
    </xf>
    <xf numFmtId="0" fontId="14" fillId="0" borderId="0" xfId="0" applyFont="1"/>
    <xf numFmtId="0" fontId="0" fillId="0" borderId="12" xfId="0" applyBorder="1"/>
    <xf numFmtId="164" fontId="0" fillId="0" borderId="12" xfId="0" applyNumberFormat="1" applyBorder="1"/>
    <xf numFmtId="0" fontId="12" fillId="2" borderId="12" xfId="0" applyFont="1" applyFill="1" applyBorder="1"/>
    <xf numFmtId="0" fontId="0" fillId="2" borderId="12" xfId="0" applyFill="1" applyBorder="1"/>
    <xf numFmtId="0" fontId="0" fillId="0" borderId="12" xfId="0" applyFill="1" applyBorder="1"/>
    <xf numFmtId="0" fontId="15" fillId="3" borderId="5" xfId="0" applyFont="1" applyFill="1" applyBorder="1"/>
    <xf numFmtId="0" fontId="1" fillId="0" borderId="0" xfId="0" applyFont="1" applyAlignment="1">
      <alignment horizontal="center"/>
    </xf>
    <xf numFmtId="0" fontId="0" fillId="0" borderId="12" xfId="0" applyNumberFormat="1" applyFill="1" applyBorder="1"/>
    <xf numFmtId="0" fontId="1" fillId="3" borderId="13" xfId="0" applyFont="1" applyFill="1" applyBorder="1"/>
    <xf numFmtId="0" fontId="1" fillId="0" borderId="13" xfId="0" applyNumberFormat="1" applyFont="1" applyBorder="1"/>
    <xf numFmtId="0" fontId="1" fillId="3" borderId="13" xfId="0" applyNumberFormat="1" applyFont="1" applyFill="1" applyBorder="1"/>
    <xf numFmtId="1" fontId="1" fillId="0" borderId="13" xfId="0" applyNumberFormat="1" applyFont="1" applyBorder="1"/>
    <xf numFmtId="20" fontId="1" fillId="3" borderId="0" xfId="0" applyNumberFormat="1" applyFont="1" applyFill="1"/>
    <xf numFmtId="14" fontId="1" fillId="0" borderId="2" xfId="0" applyNumberFormat="1" applyFont="1" applyBorder="1"/>
    <xf numFmtId="14" fontId="1" fillId="0" borderId="2" xfId="0" applyNumberFormat="1" applyFont="1" applyBorder="1" applyAlignment="1">
      <alignment horizontal="right"/>
    </xf>
    <xf numFmtId="14" fontId="1" fillId="3" borderId="2" xfId="0" applyNumberFormat="1" applyFont="1" applyFill="1" applyBorder="1"/>
    <xf numFmtId="0" fontId="1" fillId="3" borderId="14" xfId="0" applyFont="1" applyFill="1" applyBorder="1"/>
    <xf numFmtId="14" fontId="1" fillId="3" borderId="14" xfId="0" applyNumberFormat="1" applyFont="1" applyFill="1" applyBorder="1"/>
    <xf numFmtId="0" fontId="1" fillId="0" borderId="14" xfId="0" applyNumberFormat="1" applyFont="1" applyBorder="1"/>
    <xf numFmtId="0" fontId="1" fillId="3" borderId="14" xfId="0" applyNumberFormat="1" applyFont="1" applyFill="1" applyBorder="1"/>
    <xf numFmtId="1" fontId="1" fillId="0" borderId="14" xfId="0" applyNumberFormat="1" applyFont="1" applyBorder="1"/>
    <xf numFmtId="14" fontId="10" fillId="3" borderId="14" xfId="0" applyNumberFormat="1" applyFont="1" applyFill="1" applyBorder="1"/>
    <xf numFmtId="14" fontId="1" fillId="0" borderId="14" xfId="0" applyNumberFormat="1" applyFont="1" applyBorder="1" applyAlignment="1">
      <alignment horizontal="left"/>
    </xf>
    <xf numFmtId="14" fontId="1" fillId="3" borderId="1" xfId="0" applyNumberFormat="1" applyFont="1" applyFill="1" applyBorder="1"/>
    <xf numFmtId="0" fontId="1" fillId="3" borderId="1" xfId="0" applyFont="1" applyFill="1" applyBorder="1"/>
    <xf numFmtId="14" fontId="1" fillId="3" borderId="13" xfId="0" applyNumberFormat="1" applyFont="1" applyFill="1" applyBorder="1"/>
    <xf numFmtId="14" fontId="10" fillId="3" borderId="13" xfId="0" applyNumberFormat="1" applyFont="1" applyFill="1" applyBorder="1"/>
    <xf numFmtId="14" fontId="1" fillId="0" borderId="1" xfId="0" applyNumberFormat="1" applyFont="1" applyBorder="1" applyAlignment="1">
      <alignment horizontal="left"/>
    </xf>
    <xf numFmtId="0" fontId="1" fillId="3" borderId="1" xfId="0" applyNumberFormat="1" applyFont="1" applyFill="1" applyBorder="1"/>
    <xf numFmtId="1" fontId="1" fillId="0" borderId="1" xfId="0" applyNumberFormat="1" applyFont="1" applyBorder="1"/>
    <xf numFmtId="14" fontId="1" fillId="0" borderId="13" xfId="0" applyNumberFormat="1" applyFont="1" applyBorder="1" applyAlignment="1">
      <alignment horizontal="left"/>
    </xf>
    <xf numFmtId="0" fontId="16" fillId="0" borderId="0" xfId="0" applyFont="1" applyAlignment="1"/>
    <xf numFmtId="0" fontId="1" fillId="7" borderId="0" xfId="0" applyFont="1" applyFill="1" applyAlignment="1"/>
    <xf numFmtId="0" fontId="4" fillId="0" borderId="10" xfId="0" applyFont="1" applyFill="1" applyBorder="1" applyAlignment="1">
      <alignment horizontal="centerContinuous" vertical="center"/>
    </xf>
    <xf numFmtId="14" fontId="4" fillId="0" borderId="10" xfId="0" applyNumberFormat="1" applyFont="1" applyFill="1" applyBorder="1" applyAlignment="1">
      <alignment horizontal="centerContinuous" vertical="center"/>
    </xf>
    <xf numFmtId="1" fontId="4" fillId="0" borderId="10" xfId="0" applyNumberFormat="1" applyFont="1" applyFill="1" applyBorder="1" applyAlignment="1">
      <alignment horizontal="centerContinuous" vertical="center"/>
    </xf>
    <xf numFmtId="0" fontId="4" fillId="0" borderId="11" xfId="0" applyFont="1" applyFill="1" applyBorder="1" applyAlignment="1">
      <alignment horizontal="centerContinuous" vertical="center"/>
    </xf>
    <xf numFmtId="0" fontId="0" fillId="7" borderId="0" xfId="0" applyFill="1"/>
    <xf numFmtId="0" fontId="18" fillId="7" borderId="0" xfId="0" applyFont="1" applyFill="1" applyAlignment="1"/>
    <xf numFmtId="0" fontId="12" fillId="7" borderId="0" xfId="0" applyFont="1" applyFill="1"/>
    <xf numFmtId="20" fontId="20" fillId="7" borderId="0" xfId="0" applyNumberFormat="1" applyFont="1" applyFill="1"/>
    <xf numFmtId="0" fontId="20" fillId="7" borderId="0" xfId="0" applyFont="1" applyFill="1"/>
    <xf numFmtId="164" fontId="12" fillId="0" borderId="0" xfId="0" applyNumberFormat="1" applyFont="1"/>
    <xf numFmtId="0" fontId="16" fillId="10" borderId="0" xfId="0" applyFont="1" applyFill="1" applyAlignment="1"/>
    <xf numFmtId="0" fontId="19" fillId="7" borderId="0" xfId="0" applyNumberFormat="1" applyFont="1" applyFill="1" applyAlignment="1"/>
    <xf numFmtId="0" fontId="19" fillId="7" borderId="0" xfId="0" applyFont="1" applyFill="1" applyAlignment="1"/>
    <xf numFmtId="0" fontId="19" fillId="7" borderId="0" xfId="0" applyFont="1" applyFill="1" applyAlignment="1">
      <alignment horizontal="left"/>
    </xf>
    <xf numFmtId="14" fontId="19" fillId="7" borderId="0" xfId="0" applyNumberFormat="1" applyFont="1" applyFill="1" applyAlignment="1">
      <alignment horizontal="left"/>
    </xf>
    <xf numFmtId="1" fontId="19" fillId="7" borderId="0" xfId="0" applyNumberFormat="1" applyFont="1" applyFill="1" applyAlignment="1"/>
    <xf numFmtId="0" fontId="12" fillId="7" borderId="12" xfId="0" applyFont="1" applyFill="1" applyBorder="1"/>
    <xf numFmtId="0" fontId="0" fillId="0" borderId="0" xfId="0" applyFill="1"/>
    <xf numFmtId="0" fontId="4" fillId="0" borderId="0" xfId="0" applyNumberFormat="1" applyFont="1" applyFill="1" applyBorder="1" applyAlignment="1">
      <alignment horizontal="centerContinuous" vertical="center"/>
    </xf>
    <xf numFmtId="0" fontId="17" fillId="11" borderId="0" xfId="0" applyFont="1" applyFill="1" applyAlignment="1"/>
    <xf numFmtId="14" fontId="1" fillId="3" borderId="15" xfId="0" applyNumberFormat="1" applyFont="1" applyFill="1" applyBorder="1"/>
    <xf numFmtId="0" fontId="1" fillId="3" borderId="15" xfId="0" applyFont="1" applyFill="1" applyBorder="1"/>
    <xf numFmtId="0" fontId="1" fillId="0" borderId="15" xfId="0" applyNumberFormat="1" applyFont="1" applyBorder="1"/>
    <xf numFmtId="0" fontId="1" fillId="3" borderId="15" xfId="0" applyNumberFormat="1" applyFont="1" applyFill="1" applyBorder="1"/>
    <xf numFmtId="1" fontId="1" fillId="0" borderId="15" xfId="0" applyNumberFormat="1" applyFont="1" applyBorder="1"/>
    <xf numFmtId="14" fontId="1" fillId="3" borderId="15" xfId="0" applyNumberFormat="1" applyFont="1" applyFill="1" applyBorder="1"/>
    <xf numFmtId="14" fontId="10" fillId="3" borderId="15" xfId="0" applyNumberFormat="1" applyFont="1" applyFill="1" applyBorder="1"/>
    <xf numFmtId="14" fontId="1" fillId="0" borderId="15" xfId="0" applyNumberFormat="1" applyFont="1" applyBorder="1" applyAlignment="1">
      <alignment horizontal="left"/>
    </xf>
    <xf numFmtId="0" fontId="0" fillId="0" borderId="0" xfId="0" pivotButton="1"/>
    <xf numFmtId="0" fontId="1" fillId="0" borderId="0" xfId="0" pivotButton="1" applyFont="1" applyAlignment="1"/>
    <xf numFmtId="14" fontId="1" fillId="0" borderId="1" xfId="0" applyNumberFormat="1" applyFont="1" applyBorder="1" applyAlignment="1">
      <alignment horizontal="left"/>
    </xf>
    <xf numFmtId="14" fontId="1" fillId="3" borderId="1" xfId="0" applyNumberFormat="1" applyFont="1" applyFill="1" applyBorder="1"/>
    <xf numFmtId="14" fontId="1" fillId="0" borderId="2" xfId="0" applyNumberFormat="1" applyFont="1" applyBorder="1"/>
    <xf numFmtId="14" fontId="1" fillId="0" borderId="2" xfId="0" applyNumberFormat="1" applyFont="1" applyBorder="1" applyAlignment="1">
      <alignment horizontal="right"/>
    </xf>
    <xf numFmtId="164" fontId="1" fillId="3" borderId="15" xfId="0" applyNumberFormat="1" applyFont="1" applyFill="1" applyBorder="1"/>
    <xf numFmtId="14" fontId="1" fillId="0" borderId="14" xfId="0" applyNumberFormat="1" applyFont="1" applyBorder="1" applyAlignment="1">
      <alignment horizontal="left"/>
    </xf>
    <xf numFmtId="14" fontId="1" fillId="3" borderId="14" xfId="0" applyNumberFormat="1" applyFont="1" applyFill="1" applyBorder="1"/>
    <xf numFmtId="14" fontId="10" fillId="3" borderId="14" xfId="0" applyNumberFormat="1" applyFont="1" applyFill="1" applyBorder="1"/>
    <xf numFmtId="14" fontId="1" fillId="3" borderId="2" xfId="0" applyNumberFormat="1" applyFont="1" applyFill="1" applyBorder="1"/>
    <xf numFmtId="0" fontId="10" fillId="3" borderId="15" xfId="0" applyFont="1" applyFill="1" applyBorder="1"/>
    <xf numFmtId="0" fontId="0" fillId="3" borderId="0" xfId="0" applyFill="1"/>
    <xf numFmtId="14" fontId="0" fillId="0" borderId="0" xfId="0" applyNumberFormat="1" applyAlignment="1">
      <alignment horizontal="left" indent="1"/>
    </xf>
    <xf numFmtId="0" fontId="0" fillId="0" borderId="0" xfId="0" applyAlignment="1">
      <alignment horizontal="left" indent="1"/>
    </xf>
    <xf numFmtId="0" fontId="22" fillId="5" borderId="0" xfId="0" applyFont="1" applyFill="1"/>
    <xf numFmtId="0" fontId="0" fillId="5" borderId="0" xfId="0" applyFill="1"/>
    <xf numFmtId="0" fontId="24" fillId="3" borderId="0" xfId="0" applyFont="1" applyFill="1"/>
    <xf numFmtId="0" fontId="16" fillId="3" borderId="0" xfId="0" applyFont="1" applyFill="1"/>
    <xf numFmtId="164" fontId="23" fillId="0" borderId="12" xfId="0" applyNumberFormat="1" applyFont="1" applyBorder="1"/>
    <xf numFmtId="0" fontId="23" fillId="0" borderId="0" xfId="0" applyFont="1"/>
    <xf numFmtId="0" fontId="12" fillId="2" borderId="0" xfId="0" applyNumberFormat="1" applyFont="1" applyFill="1" applyAlignment="1"/>
    <xf numFmtId="0" fontId="12" fillId="2" borderId="0" xfId="0" applyFont="1" applyFill="1" applyAlignment="1"/>
    <xf numFmtId="0" fontId="0" fillId="7" borderId="0" xfId="0" applyNumberFormat="1" applyFill="1" applyAlignment="1"/>
    <xf numFmtId="0" fontId="0" fillId="7" borderId="0" xfId="0" applyFill="1" applyAlignment="1"/>
    <xf numFmtId="0" fontId="10" fillId="3" borderId="2" xfId="0" applyFont="1" applyFill="1" applyBorder="1"/>
    <xf numFmtId="14" fontId="1" fillId="3" borderId="16" xfId="0" applyNumberFormat="1" applyFont="1" applyFill="1" applyBorder="1"/>
    <xf numFmtId="0" fontId="1" fillId="3" borderId="16" xfId="0" applyFont="1" applyFill="1" applyBorder="1"/>
    <xf numFmtId="164" fontId="1" fillId="3" borderId="16" xfId="0" applyNumberFormat="1" applyFont="1" applyFill="1" applyBorder="1"/>
    <xf numFmtId="0" fontId="1" fillId="0" borderId="16" xfId="0" applyNumberFormat="1" applyFont="1" applyBorder="1"/>
    <xf numFmtId="0" fontId="1" fillId="3" borderId="16" xfId="0" applyNumberFormat="1" applyFont="1" applyFill="1" applyBorder="1"/>
    <xf numFmtId="1" fontId="1" fillId="0" borderId="16" xfId="0" applyNumberFormat="1" applyFont="1" applyBorder="1"/>
    <xf numFmtId="14" fontId="1" fillId="3" borderId="16" xfId="0" applyNumberFormat="1" applyFont="1" applyFill="1" applyBorder="1"/>
    <xf numFmtId="14" fontId="10" fillId="3" borderId="16" xfId="0" applyNumberFormat="1" applyFont="1" applyFill="1" applyBorder="1"/>
    <xf numFmtId="14" fontId="1" fillId="0" borderId="16" xfId="0" applyNumberFormat="1" applyFont="1" applyBorder="1" applyAlignment="1">
      <alignment horizontal="left"/>
    </xf>
    <xf numFmtId="14" fontId="1" fillId="3" borderId="15" xfId="0" applyNumberFormat="1" applyFont="1" applyFill="1" applyBorder="1"/>
    <xf numFmtId="14" fontId="10" fillId="3" borderId="15" xfId="0" applyNumberFormat="1" applyFont="1" applyFill="1" applyBorder="1"/>
    <xf numFmtId="14" fontId="1" fillId="0" borderId="15" xfId="0" applyNumberFormat="1" applyFont="1" applyBorder="1" applyAlignment="1">
      <alignment horizontal="left"/>
    </xf>
    <xf numFmtId="0" fontId="21" fillId="11" borderId="0" xfId="0" applyNumberFormat="1" applyFont="1" applyFill="1" applyBorder="1" applyAlignment="1">
      <alignment horizontal="center" vertical="center"/>
    </xf>
    <xf numFmtId="0" fontId="17" fillId="9" borderId="0" xfId="0" applyFont="1" applyFill="1" applyAlignment="1">
      <alignment horizontal="center"/>
    </xf>
    <xf numFmtId="0" fontId="17" fillId="9" borderId="0" xfId="0" applyFont="1" applyFill="1" applyAlignment="1">
      <alignment horizontal="center" vertical="center"/>
    </xf>
    <xf numFmtId="0" fontId="17" fillId="8" borderId="0" xfId="0" applyFont="1" applyFill="1" applyAlignment="1">
      <alignment horizontal="center"/>
    </xf>
  </cellXfs>
  <cellStyles count="1">
    <cellStyle name="Normal" xfId="0" builtinId="0"/>
  </cellStyles>
  <dxfs count="26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  <border diagonalUp="0" diagonalDown="0" outline="0">
        <left style="thin">
          <color theme="1"/>
        </left>
        <right/>
        <top style="thin">
          <color theme="1"/>
        </top>
        <bottom/>
      </border>
    </dxf>
    <dxf>
      <font>
        <strike val="0"/>
        <outline val="0"/>
        <shadow val="0"/>
        <u val="none"/>
        <vertAlign val="baseline"/>
        <sz val="12"/>
        <color theme="1"/>
      </font>
      <numFmt numFmtId="0" formatCode="General"/>
      <alignment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</font>
      <numFmt numFmtId="0" formatCode="General"/>
      <alignment textRotation="0" wrapText="0" indent="0" justifyLastLine="0" shrinkToFit="0" readingOrder="0"/>
    </dxf>
    <dxf>
      <border outline="0">
        <right style="thin">
          <color theme="1"/>
        </right>
      </border>
    </dxf>
    <dxf>
      <font>
        <strike val="0"/>
        <outline val="0"/>
        <shadow val="0"/>
        <u val="none"/>
        <vertAlign val="baseline"/>
        <sz val="12"/>
        <color theme="1"/>
      </font>
      <alignment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solid">
          <fgColor indexed="64"/>
          <bgColor theme="2" tint="-9.9978637043366805E-2"/>
        </patternFill>
      </fill>
      <alignment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</font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</font>
      <numFmt numFmtId="1" formatCode="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</font>
      <numFmt numFmtId="1" formatCode="0"/>
      <alignment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19" formatCode="dd/mm/yyyy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2"/>
        <color theme="1"/>
      </font>
      <numFmt numFmtId="0" formatCode="General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</font>
      <numFmt numFmtId="0" formatCode="General"/>
      <alignment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</font>
      <numFmt numFmtId="0" formatCode="General"/>
      <alignment textRotation="0" wrapText="0" indent="0" justifyLastLine="0" shrinkToFit="0" readingOrder="0"/>
    </dxf>
    <dxf>
      <border outline="0">
        <right style="thin">
          <color indexed="64"/>
        </right>
      </border>
    </dxf>
    <dxf>
      <font>
        <strike val="0"/>
        <outline val="0"/>
        <shadow val="0"/>
        <u val="none"/>
        <vertAlign val="baseline"/>
        <sz val="12"/>
        <color theme="1"/>
      </font>
      <alignment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solid">
          <fgColor indexed="64"/>
          <bgColor theme="2" tint="-9.9978637043366805E-2"/>
        </patternFill>
      </fill>
      <alignment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5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5"/>
        <color theme="1"/>
        <name val="Calibri"/>
        <scheme val="minor"/>
      </font>
      <alignment horizontal="general" vertical="center" textRotation="0" wrapText="0" indent="0" justifyLastLine="0" shrinkToFit="0" readingOrder="0"/>
    </dxf>
    <dxf>
      <numFmt numFmtId="164" formatCode="#,##0\ &quot;Fcfa&quot;"/>
    </dxf>
    <dxf>
      <numFmt numFmtId="164" formatCode="#,##0\ &quot;Fcfa&quot;"/>
    </dxf>
    <dxf>
      <numFmt numFmtId="164" formatCode="#,##0\ &quot;Fcfa&quot;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5"/>
        <color theme="1"/>
        <name val="Calibri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</font>
    </dxf>
    <dxf>
      <font>
        <b/>
      </font>
    </dxf>
    <dxf>
      <fill>
        <patternFill patternType="solid">
          <bgColor theme="2" tint="-9.9978637043366805E-2"/>
        </patternFill>
      </fill>
    </dxf>
    <dxf>
      <fill>
        <patternFill patternType="solid">
          <bgColor theme="2" tint="-9.9978637043366805E-2"/>
        </patternFill>
      </fill>
    </dxf>
    <dxf>
      <font>
        <b/>
      </font>
      <fill>
        <patternFill patternType="solid">
          <fgColor indexed="64"/>
          <bgColor theme="2"/>
        </patternFill>
      </fill>
      <alignment horizontal="general" vertical="bottom" textRotation="0" wrapText="0" indent="0" justifyLastLine="0" shrinkToFit="0" readingOrder="0"/>
    </dxf>
    <dxf>
      <font>
        <b/>
      </font>
      <fill>
        <patternFill patternType="solid">
          <fgColor indexed="64"/>
          <bgColor theme="2"/>
        </patternFill>
      </fill>
      <alignment horizontal="general" vertical="bottom" textRotation="0" wrapText="0" indent="0" justifyLastLine="0" shrinkToFit="0" readingOrder="0"/>
    </dxf>
    <dxf>
      <fill>
        <patternFill patternType="solid">
          <fgColor indexed="64"/>
          <bgColor theme="2" tint="-9.9978637043366805E-2"/>
        </patternFill>
      </fill>
    </dxf>
    <dxf>
      <fill>
        <patternFill patternType="solid">
          <fgColor indexed="64"/>
          <bgColor theme="2" tint="-9.9978637043366805E-2"/>
        </patternFill>
      </fill>
    </dxf>
    <dxf>
      <fill>
        <patternFill patternType="solid">
          <fgColor indexed="64"/>
          <bgColor theme="2" tint="-9.9978637043366805E-2"/>
        </patternFill>
      </fill>
      <alignment horizontal="general" vertical="bottom" textRotation="0" wrapText="0" indent="0" justifyLastLine="0" shrinkToFit="0" readingOrder="0"/>
    </dxf>
    <dxf>
      <fill>
        <patternFill patternType="solid">
          <fgColor indexed="64"/>
          <bgColor theme="2" tint="-9.9978637043366805E-2"/>
        </patternFill>
      </fill>
      <alignment horizontal="general" vertical="bottom" textRotation="0" wrapText="0" indent="0" justifyLastLine="0" shrinkToFit="0" readingOrder="0"/>
    </dxf>
    <dxf>
      <fill>
        <patternFill patternType="solid">
          <fgColor indexed="64"/>
          <bgColor theme="2" tint="-9.9978637043366805E-2"/>
        </patternFill>
      </fill>
    </dxf>
    <dxf>
      <fill>
        <patternFill patternType="solid">
          <fgColor indexed="64"/>
          <bgColor theme="2" tint="-9.9978637043366805E-2"/>
        </patternFill>
      </fill>
    </dxf>
    <dxf>
      <fill>
        <patternFill patternType="solid">
          <bgColor theme="2" tint="-9.9978637043366805E-2"/>
        </patternFill>
      </fill>
    </dxf>
    <dxf>
      <fill>
        <patternFill patternType="solid">
          <fgColor indexed="64"/>
          <bgColor theme="2" tint="-9.9978637043366805E-2"/>
        </patternFill>
      </fill>
    </dxf>
    <dxf>
      <fill>
        <patternFill patternType="solid">
          <fgColor indexed="64"/>
          <bgColor theme="2" tint="-9.9978637043366805E-2"/>
        </patternFill>
      </fill>
    </dxf>
    <dxf>
      <fill>
        <patternFill patternType="solid">
          <bgColor theme="2" tint="-9.9978637043366805E-2"/>
        </patternFill>
      </fill>
    </dxf>
    <dxf>
      <fill>
        <patternFill patternType="solid">
          <bgColor theme="2" tint="-9.9978637043366805E-2"/>
        </patternFill>
      </fill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b/>
      </font>
    </dxf>
    <dxf>
      <fill>
        <patternFill>
          <bgColor theme="0" tint="-0.14999847407452621"/>
        </patternFill>
      </fill>
    </dxf>
    <dxf>
      <fill>
        <patternFill patternType="solid">
          <bgColor theme="2"/>
        </patternFill>
      </fill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b/>
      </font>
    </dxf>
    <dxf>
      <font>
        <b/>
      </font>
    </dxf>
    <dxf>
      <fill>
        <patternFill patternType="solid">
          <bgColor theme="2" tint="-9.9978637043366805E-2"/>
        </patternFill>
      </fill>
    </dxf>
    <dxf>
      <fill>
        <patternFill patternType="solid">
          <bgColor theme="2" tint="-9.9978637043366805E-2"/>
        </patternFill>
      </fill>
    </dxf>
    <dxf>
      <font>
        <b/>
      </font>
    </dxf>
    <dxf>
      <font>
        <b/>
      </font>
    </dxf>
    <dxf>
      <fill>
        <patternFill patternType="solid">
          <bgColor theme="2" tint="-9.9978637043366805E-2"/>
        </patternFill>
      </fill>
    </dxf>
    <dxf>
      <fill>
        <patternFill patternType="solid">
          <bgColor theme="2" tint="-9.9978637043366805E-2"/>
        </patternFill>
      </fill>
    </dxf>
    <dxf>
      <font>
        <b/>
      </font>
      <fill>
        <patternFill patternType="solid">
          <fgColor indexed="64"/>
          <bgColor theme="2"/>
        </patternFill>
      </fill>
      <alignment horizontal="general" vertical="bottom" textRotation="0" wrapText="0" indent="0" justifyLastLine="0" shrinkToFit="0" readingOrder="0"/>
    </dxf>
    <dxf>
      <font>
        <b/>
      </font>
      <fill>
        <patternFill patternType="solid">
          <fgColor indexed="64"/>
          <bgColor theme="2"/>
        </patternFill>
      </fill>
      <alignment horizontal="general" vertical="bottom" textRotation="0" wrapText="0" indent="0" justifyLastLine="0" shrinkToFit="0" readingOrder="0"/>
    </dxf>
    <dxf>
      <fill>
        <patternFill patternType="solid">
          <fgColor indexed="64"/>
          <bgColor theme="2" tint="-9.9978637043366805E-2"/>
        </patternFill>
      </fill>
    </dxf>
    <dxf>
      <fill>
        <patternFill patternType="solid">
          <fgColor indexed="64"/>
          <bgColor theme="2" tint="-9.9978637043366805E-2"/>
        </patternFill>
      </fill>
    </dxf>
    <dxf>
      <font>
        <b/>
        <i val="0"/>
        <color rgb="FFC00000"/>
      </font>
    </dxf>
    <dxf>
      <font>
        <b/>
        <i val="0"/>
        <color theme="0"/>
      </font>
      <fill>
        <patternFill>
          <bgColor rgb="FFFC4B04"/>
        </patternFill>
      </fill>
    </dxf>
    <dxf>
      <font>
        <b/>
        <i val="0"/>
        <color rgb="FFC0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19" formatCode="dd/mm/yyyy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1" formatCode="0"/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19" formatCode="dd/mm/yyyy"/>
      <fill>
        <patternFill patternType="solid">
          <fgColor indexed="64"/>
          <bgColor theme="0"/>
        </patternFill>
      </fill>
      <alignment horizontal="left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19" formatCode="dd/mm/yyyy"/>
      <fill>
        <patternFill patternType="solid">
          <fgColor indexed="64"/>
          <bgColor theme="0"/>
        </patternFill>
      </fill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19" formatCode="dd/mm/yyyy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164" formatCode="#,##0\ &quot;Fcfa&quot;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164" formatCode="#,##0\ &quot;Fcfa&quot;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19" formatCode="dd/mm/yyyy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2"/>
      </font>
      <numFmt numFmtId="164" formatCode="#,##0\ &quot;Fcfa&quot;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2"/>
      </font>
      <numFmt numFmtId="164" formatCode="#,##0\ &quot;Fcfa&quot;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2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2"/>
      </font>
      <numFmt numFmtId="19" formatCode="dd/mm/yyyy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2"/>
      </font>
      <numFmt numFmtId="19" formatCode="dd/mm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2"/>
      </font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2"/>
      </font>
      <numFmt numFmtId="0" formatCode="General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2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</font>
      <fill>
        <patternFill patternType="solid">
          <fgColor indexed="64"/>
          <bgColor rgb="FF00B050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164" formatCode="#,##0\ &quot;Fcfa&quot;"/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164" formatCode="#,##0\ &quot;Fcfa&quot;"/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25" formatCode="hh:mm"/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fill>
        <patternFill patternType="solid">
          <fgColor indexed="64"/>
          <bgColor rgb="FF00B050"/>
        </patternFill>
      </fill>
    </dxf>
  </dxfs>
  <tableStyles count="0" defaultTableStyle="TableStyleMedium2" defaultPivotStyle="PivotStyleLight16"/>
  <colors>
    <mruColors>
      <color rgb="FFFF9933"/>
      <color rgb="FFD7E7F3"/>
      <color rgb="FFD2E2EE"/>
      <color rgb="FF0000FF"/>
      <color rgb="FF00E668"/>
      <color rgb="FFFF3300"/>
      <color rgb="FFFFFFFF"/>
      <color rgb="FFF78181"/>
      <color rgb="FFFC4B04"/>
      <color rgb="FFFC6E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1/relationships/timelineCache" Target="timelineCaches/timelineCache1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4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3.xml"/><Relationship Id="rId5" Type="http://schemas.openxmlformats.org/officeDocument/2006/relationships/worksheet" Target="worksheets/sheet5.xml"/><Relationship Id="rId15" Type="http://schemas.microsoft.com/office/2011/relationships/timelineCache" Target="timelineCaches/timelineCache3.xml"/><Relationship Id="rId10" Type="http://schemas.openxmlformats.org/officeDocument/2006/relationships/pivotCacheDefinition" Target="pivotCache/pivotCacheDefinition2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microsoft.com/office/2011/relationships/timelineCache" Target="timelineCaches/timelineCache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[Gestion de pharmacie.xlsm]Data_Dashboard!Croisé_Stock_par_produits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Stock</a:t>
            </a:r>
            <a:r>
              <a:rPr lang="fr-FR" baseline="0"/>
              <a:t> disponibles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5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Data_Dashboard!$BB$3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Data_Dashboard!$BA$4:$BA$29</c:f>
              <c:strCache>
                <c:ptCount val="26"/>
                <c:pt idx="0">
                  <c:v>Albendazole 400 mg</c:v>
                </c:pt>
                <c:pt idx="1">
                  <c:v>Alcool médical</c:v>
                </c:pt>
                <c:pt idx="2">
                  <c:v>Amoxicilline 1 g</c:v>
                </c:pt>
                <c:pt idx="3">
                  <c:v>Amoxicilline 500 mg</c:v>
                </c:pt>
                <c:pt idx="4">
                  <c:v>Amoxicilline sirop</c:v>
                </c:pt>
                <c:pt idx="5">
                  <c:v>Aspirine 500 mg</c:v>
                </c:pt>
                <c:pt idx="6">
                  <c:v>Azithromycine 500 mg</c:v>
                </c:pt>
                <c:pt idx="7">
                  <c:v>Bétadine</c:v>
                </c:pt>
                <c:pt idx="8">
                  <c:v>Ciprofloxacine 500 mg</c:v>
                </c:pt>
                <c:pt idx="9">
                  <c:v>Diclofénac injectable</c:v>
                </c:pt>
                <c:pt idx="10">
                  <c:v>Efferalgan sirop</c:v>
                </c:pt>
                <c:pt idx="11">
                  <c:v>Gaviscon</c:v>
                </c:pt>
                <c:pt idx="12">
                  <c:v>Gentamicine injectable</c:v>
                </c:pt>
                <c:pt idx="13">
                  <c:v>Ibuprofène 400 mg</c:v>
                </c:pt>
                <c:pt idx="14">
                  <c:v>Oméprazole 40 mg</c:v>
                </c:pt>
                <c:pt idx="15">
                  <c:v>Paracétamol 1000 mg</c:v>
                </c:pt>
                <c:pt idx="16">
                  <c:v>Paracétamol 500 mg</c:v>
                </c:pt>
                <c:pt idx="17">
                  <c:v>Salbutamol inhalateur</c:v>
                </c:pt>
                <c:pt idx="18">
                  <c:v>Sérum physiologique</c:v>
                </c:pt>
                <c:pt idx="19">
                  <c:v>Spasfon injectable</c:v>
                </c:pt>
                <c:pt idx="20">
                  <c:v>Ventoline inhalateur</c:v>
                </c:pt>
                <c:pt idx="21">
                  <c:v>Vitamine C 1000 mg</c:v>
                </c:pt>
                <c:pt idx="22">
                  <c:v>Vitamine C 500 mg</c:v>
                </c:pt>
                <c:pt idx="23">
                  <c:v>Vitamine D3</c:v>
                </c:pt>
                <c:pt idx="24">
                  <c:v>Metronidazole 500 mg</c:v>
                </c:pt>
                <c:pt idx="25">
                  <c:v>Ceftriaxone injectable</c:v>
                </c:pt>
              </c:strCache>
            </c:strRef>
          </c:cat>
          <c:val>
            <c:numRef>
              <c:f>Data_Dashboard!$BB$4:$BB$29</c:f>
              <c:numCache>
                <c:formatCode>General</c:formatCode>
                <c:ptCount val="26"/>
                <c:pt idx="0">
                  <c:v>24</c:v>
                </c:pt>
                <c:pt idx="1">
                  <c:v>23</c:v>
                </c:pt>
                <c:pt idx="2">
                  <c:v>36</c:v>
                </c:pt>
                <c:pt idx="3">
                  <c:v>26</c:v>
                </c:pt>
                <c:pt idx="4">
                  <c:v>70</c:v>
                </c:pt>
                <c:pt idx="5">
                  <c:v>116</c:v>
                </c:pt>
                <c:pt idx="6">
                  <c:v>41</c:v>
                </c:pt>
                <c:pt idx="7">
                  <c:v>78</c:v>
                </c:pt>
                <c:pt idx="8">
                  <c:v>57</c:v>
                </c:pt>
                <c:pt idx="9">
                  <c:v>91</c:v>
                </c:pt>
                <c:pt idx="10">
                  <c:v>79</c:v>
                </c:pt>
                <c:pt idx="11">
                  <c:v>86</c:v>
                </c:pt>
                <c:pt idx="12">
                  <c:v>18</c:v>
                </c:pt>
                <c:pt idx="13">
                  <c:v>30</c:v>
                </c:pt>
                <c:pt idx="14">
                  <c:v>0</c:v>
                </c:pt>
                <c:pt idx="15">
                  <c:v>83</c:v>
                </c:pt>
                <c:pt idx="16">
                  <c:v>17</c:v>
                </c:pt>
                <c:pt idx="17">
                  <c:v>94</c:v>
                </c:pt>
                <c:pt idx="18">
                  <c:v>63</c:v>
                </c:pt>
                <c:pt idx="19">
                  <c:v>186</c:v>
                </c:pt>
                <c:pt idx="20">
                  <c:v>40</c:v>
                </c:pt>
                <c:pt idx="21">
                  <c:v>47</c:v>
                </c:pt>
                <c:pt idx="22">
                  <c:v>27</c:v>
                </c:pt>
                <c:pt idx="23">
                  <c:v>18</c:v>
                </c:pt>
                <c:pt idx="24">
                  <c:v>20</c:v>
                </c:pt>
                <c:pt idx="25">
                  <c:v>67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axId val="256088264"/>
        <c:axId val="256088648"/>
      </c:barChart>
      <c:catAx>
        <c:axId val="256088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56088648"/>
        <c:crosses val="autoZero"/>
        <c:auto val="1"/>
        <c:lblAlgn val="ctr"/>
        <c:lblOffset val="100"/>
        <c:noMultiLvlLbl val="0"/>
      </c:catAx>
      <c:valAx>
        <c:axId val="25608864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256088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pivotSource>
    <c:name>[Gestion de pharmacie.xlsm]Data_Dashboard!Tableau croisé dynamique4</c:name>
    <c:fmtId val="6"/>
  </c:pivotSource>
  <c:chart>
    <c:autoTitleDeleted val="1"/>
    <c:pivotFmts>
      <c:pivotFmt>
        <c:idx val="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0.23517843959893786"/>
          <c:y val="0.16339544364228784"/>
          <c:w val="0.72802032811049322"/>
          <c:h val="0.7400207116804762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Data_Dashboard!$AP$5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Data_Dashboard!$AN$6:$AO$18</c:f>
              <c:multiLvlStrCache>
                <c:ptCount val="13"/>
                <c:lvl>
                  <c:pt idx="0">
                    <c:v>LOT-002</c:v>
                  </c:pt>
                  <c:pt idx="1">
                    <c:v>LOT-002</c:v>
                  </c:pt>
                  <c:pt idx="2">
                    <c:v>LOT-001</c:v>
                  </c:pt>
                  <c:pt idx="3">
                    <c:v>LOT-001</c:v>
                  </c:pt>
                  <c:pt idx="4">
                    <c:v>LOT-002</c:v>
                  </c:pt>
                  <c:pt idx="5">
                    <c:v>LOT-001</c:v>
                  </c:pt>
                  <c:pt idx="6">
                    <c:v>LOT-002</c:v>
                  </c:pt>
                  <c:pt idx="7">
                    <c:v>LOT-001</c:v>
                  </c:pt>
                  <c:pt idx="8">
                    <c:v>LOT-001</c:v>
                  </c:pt>
                  <c:pt idx="9">
                    <c:v>LOT-002</c:v>
                  </c:pt>
                  <c:pt idx="10">
                    <c:v>LOT-001</c:v>
                  </c:pt>
                  <c:pt idx="11">
                    <c:v>LOT-001</c:v>
                  </c:pt>
                  <c:pt idx="12">
                    <c:v>LOT-001</c:v>
                  </c:pt>
                </c:lvl>
                <c:lvl>
                  <c:pt idx="0">
                    <c:v>Bétadine</c:v>
                  </c:pt>
                  <c:pt idx="1">
                    <c:v>Sérum physiologique</c:v>
                  </c:pt>
                  <c:pt idx="2">
                    <c:v>Gentamicine injectable</c:v>
                  </c:pt>
                  <c:pt idx="3">
                    <c:v>Amoxicilline sirop</c:v>
                  </c:pt>
                  <c:pt idx="4">
                    <c:v>Gaviscon</c:v>
                  </c:pt>
                  <c:pt idx="5">
                    <c:v>Spasfon injectable</c:v>
                  </c:pt>
                  <c:pt idx="7">
                    <c:v>Efferalgan sirop</c:v>
                  </c:pt>
                  <c:pt idx="8">
                    <c:v>Vitamine C 1000 mg</c:v>
                  </c:pt>
                  <c:pt idx="9">
                    <c:v>Ciprofloxacine 500 mg</c:v>
                  </c:pt>
                  <c:pt idx="10">
                    <c:v>Ceftriaxone injectable</c:v>
                  </c:pt>
                  <c:pt idx="11">
                    <c:v>Azithromycine 500 mg</c:v>
                  </c:pt>
                  <c:pt idx="12">
                    <c:v>Paracétamol 1000 mg</c:v>
                  </c:pt>
                </c:lvl>
              </c:multiLvlStrCache>
            </c:multiLvlStrRef>
          </c:cat>
          <c:val>
            <c:numRef>
              <c:f>Data_Dashboard!$AP$6:$AP$18</c:f>
              <c:numCache>
                <c:formatCode>General</c:formatCode>
                <c:ptCount val="13"/>
                <c:pt idx="0">
                  <c:v>60</c:v>
                </c:pt>
                <c:pt idx="1">
                  <c:v>32</c:v>
                </c:pt>
                <c:pt idx="2">
                  <c:v>3</c:v>
                </c:pt>
                <c:pt idx="3">
                  <c:v>30</c:v>
                </c:pt>
                <c:pt idx="4">
                  <c:v>67</c:v>
                </c:pt>
                <c:pt idx="5">
                  <c:v>46</c:v>
                </c:pt>
                <c:pt idx="6">
                  <c:v>95</c:v>
                </c:pt>
                <c:pt idx="7">
                  <c:v>29</c:v>
                </c:pt>
                <c:pt idx="8">
                  <c:v>17</c:v>
                </c:pt>
                <c:pt idx="9">
                  <c:v>45</c:v>
                </c:pt>
                <c:pt idx="10">
                  <c:v>38</c:v>
                </c:pt>
                <c:pt idx="11">
                  <c:v>21</c:v>
                </c:pt>
                <c:pt idx="12">
                  <c:v>33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257572880"/>
        <c:axId val="256219784"/>
      </c:barChart>
      <c:catAx>
        <c:axId val="25757288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56219784"/>
        <c:crosses val="autoZero"/>
        <c:auto val="1"/>
        <c:lblAlgn val="ctr"/>
        <c:lblOffset val="100"/>
        <c:noMultiLvlLbl val="0"/>
      </c:catAx>
      <c:valAx>
        <c:axId val="2562197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57572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[Gestion de pharmacie.xlsm]Data_Dashboard!Tableau croisé dynamique5</c:name>
    <c:fmtId val="8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0.25344864131934702"/>
          <c:y val="4.0612807783366962E-2"/>
          <c:w val="0.74557997111281327"/>
          <c:h val="0.93444619802809137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Data_Dashboard!$AS$3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Data_Dashboard!$AR$4:$AR$13</c:f>
              <c:strCache>
                <c:ptCount val="10"/>
                <c:pt idx="0">
                  <c:v>Antiparasitaire</c:v>
                </c:pt>
                <c:pt idx="1">
                  <c:v>Solution</c:v>
                </c:pt>
                <c:pt idx="2">
                  <c:v>Gastro-intestinal</c:v>
                </c:pt>
                <c:pt idx="3">
                  <c:v>Vitamine</c:v>
                </c:pt>
                <c:pt idx="4">
                  <c:v>Antiseptique</c:v>
                </c:pt>
                <c:pt idx="5">
                  <c:v>Anti-inflammatoire</c:v>
                </c:pt>
                <c:pt idx="6">
                  <c:v>Respiratoire</c:v>
                </c:pt>
                <c:pt idx="7">
                  <c:v>Antispasmodique</c:v>
                </c:pt>
                <c:pt idx="8">
                  <c:v>Antalgique</c:v>
                </c:pt>
                <c:pt idx="9">
                  <c:v>Antibiotique</c:v>
                </c:pt>
              </c:strCache>
            </c:strRef>
          </c:cat>
          <c:val>
            <c:numRef>
              <c:f>Data_Dashboard!$AS$4:$AS$13</c:f>
              <c:numCache>
                <c:formatCode>General</c:formatCode>
                <c:ptCount val="10"/>
                <c:pt idx="0">
                  <c:v>24</c:v>
                </c:pt>
                <c:pt idx="1">
                  <c:v>63</c:v>
                </c:pt>
                <c:pt idx="2">
                  <c:v>86</c:v>
                </c:pt>
                <c:pt idx="3">
                  <c:v>92</c:v>
                </c:pt>
                <c:pt idx="4">
                  <c:v>101</c:v>
                </c:pt>
                <c:pt idx="5">
                  <c:v>121</c:v>
                </c:pt>
                <c:pt idx="6">
                  <c:v>134</c:v>
                </c:pt>
                <c:pt idx="7">
                  <c:v>186</c:v>
                </c:pt>
                <c:pt idx="8">
                  <c:v>295</c:v>
                </c:pt>
                <c:pt idx="9">
                  <c:v>335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256188464"/>
        <c:axId val="256717296"/>
      </c:barChart>
      <c:catAx>
        <c:axId val="25618846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56717296"/>
        <c:crosses val="autoZero"/>
        <c:auto val="1"/>
        <c:lblAlgn val="ctr"/>
        <c:lblOffset val="100"/>
        <c:noMultiLvlLbl val="0"/>
      </c:catAx>
      <c:valAx>
        <c:axId val="256717296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crossAx val="256188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[Gestion de pharmacie.xlsm]Data_Dashboard!Tableau croisé dynamique6</c:name>
    <c:fmtId val="12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0.22673950131233594"/>
          <c:y val="2.3466754155730532E-2"/>
          <c:w val="0.71226049868766406"/>
          <c:h val="0.9189621609798777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Data_Dashboard!$AV$3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Data_Dashboard!$AU$4:$AU$13</c:f>
              <c:strCache>
                <c:ptCount val="10"/>
                <c:pt idx="0">
                  <c:v>Antiparasitaire</c:v>
                </c:pt>
                <c:pt idx="1">
                  <c:v>Vitamine</c:v>
                </c:pt>
                <c:pt idx="2">
                  <c:v>Solution</c:v>
                </c:pt>
                <c:pt idx="3">
                  <c:v>Anti-inflammatoire</c:v>
                </c:pt>
                <c:pt idx="4">
                  <c:v>Gastro-intestinal</c:v>
                </c:pt>
                <c:pt idx="5">
                  <c:v>Antiseptique</c:v>
                </c:pt>
                <c:pt idx="6">
                  <c:v>Antispasmodique</c:v>
                </c:pt>
                <c:pt idx="7">
                  <c:v>Antalgique</c:v>
                </c:pt>
                <c:pt idx="8">
                  <c:v>Respiratoire</c:v>
                </c:pt>
                <c:pt idx="9">
                  <c:v>Antibiotique</c:v>
                </c:pt>
              </c:strCache>
            </c:strRef>
          </c:cat>
          <c:val>
            <c:numRef>
              <c:f>Data_Dashboard!$AV$4:$AV$13</c:f>
              <c:numCache>
                <c:formatCode>General</c:formatCode>
                <c:ptCount val="10"/>
                <c:pt idx="0">
                  <c:v>19200</c:v>
                </c:pt>
                <c:pt idx="1">
                  <c:v>66900</c:v>
                </c:pt>
                <c:pt idx="2">
                  <c:v>75600</c:v>
                </c:pt>
                <c:pt idx="3">
                  <c:v>196800</c:v>
                </c:pt>
                <c:pt idx="4">
                  <c:v>197800</c:v>
                </c:pt>
                <c:pt idx="5">
                  <c:v>206100</c:v>
                </c:pt>
                <c:pt idx="6">
                  <c:v>353400</c:v>
                </c:pt>
                <c:pt idx="7">
                  <c:v>383500</c:v>
                </c:pt>
                <c:pt idx="8">
                  <c:v>440800</c:v>
                </c:pt>
                <c:pt idx="9">
                  <c:v>618100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256740760"/>
        <c:axId val="256749912"/>
      </c:barChart>
      <c:catAx>
        <c:axId val="25674076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56749912"/>
        <c:crosses val="autoZero"/>
        <c:auto val="1"/>
        <c:lblAlgn val="ctr"/>
        <c:lblOffset val="100"/>
        <c:noMultiLvlLbl val="0"/>
      </c:catAx>
      <c:valAx>
        <c:axId val="256749912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256740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[Gestion de pharmacie.xlsm]Data_Dashboard!Tableau croisé dynamique2</c:name>
    <c:fmtId val="3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Data_Dashboard!$AY$3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Data_Dashboard!$AX$4:$AX$12</c:f>
              <c:strCache>
                <c:ptCount val="8"/>
                <c:pt idx="0">
                  <c:v>janv</c:v>
                </c:pt>
                <c:pt idx="1">
                  <c:v>févr</c:v>
                </c:pt>
                <c:pt idx="2">
                  <c:v>mars</c:v>
                </c:pt>
                <c:pt idx="3">
                  <c:v>avr</c:v>
                </c:pt>
                <c:pt idx="4">
                  <c:v>mai</c:v>
                </c:pt>
                <c:pt idx="5">
                  <c:v>juin</c:v>
                </c:pt>
                <c:pt idx="6">
                  <c:v>juil</c:v>
                </c:pt>
                <c:pt idx="7">
                  <c:v>août</c:v>
                </c:pt>
              </c:strCache>
            </c:strRef>
          </c:cat>
          <c:val>
            <c:numRef>
              <c:f>Data_Dashboard!$AY$4:$AY$12</c:f>
              <c:numCache>
                <c:formatCode>General</c:formatCode>
                <c:ptCount val="8"/>
                <c:pt idx="0">
                  <c:v>149300</c:v>
                </c:pt>
                <c:pt idx="1">
                  <c:v>80800</c:v>
                </c:pt>
                <c:pt idx="2">
                  <c:v>231800</c:v>
                </c:pt>
                <c:pt idx="3">
                  <c:v>285700</c:v>
                </c:pt>
                <c:pt idx="4">
                  <c:v>130400</c:v>
                </c:pt>
                <c:pt idx="5">
                  <c:v>218100</c:v>
                </c:pt>
                <c:pt idx="6">
                  <c:v>154500</c:v>
                </c:pt>
                <c:pt idx="7">
                  <c:v>248100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7206368"/>
        <c:axId val="257263760"/>
      </c:lineChart>
      <c:catAx>
        <c:axId val="25720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57263760"/>
        <c:crosses val="autoZero"/>
        <c:auto val="1"/>
        <c:lblAlgn val="ctr"/>
        <c:lblOffset val="100"/>
        <c:noMultiLvlLbl val="0"/>
      </c:catAx>
      <c:valAx>
        <c:axId val="257263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5720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[Gestion de pharmacie.xlsm]Data_Dashboard!Tableau croisé dynamique3</c:name>
    <c:fmtId val="2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Data_Dashboard!$BP$3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Data_Dashboard!$BO$4:$BO$8</c:f>
              <c:strCache>
                <c:ptCount val="5"/>
                <c:pt idx="0">
                  <c:v>Albendazole 400 mg</c:v>
                </c:pt>
                <c:pt idx="1">
                  <c:v>Alcool médical</c:v>
                </c:pt>
                <c:pt idx="2">
                  <c:v>Efferalgan sirop</c:v>
                </c:pt>
                <c:pt idx="3">
                  <c:v>Oméprazole 40 mg</c:v>
                </c:pt>
                <c:pt idx="4">
                  <c:v>Salbutamol inhalateur</c:v>
                </c:pt>
              </c:strCache>
            </c:strRef>
          </c:cat>
          <c:val>
            <c:numRef>
              <c:f>Data_Dashboard!$BP$4:$BP$8</c:f>
              <c:numCache>
                <c:formatCode>General</c:formatCode>
                <c:ptCount val="5"/>
                <c:pt idx="0">
                  <c:v>7</c:v>
                </c:pt>
                <c:pt idx="1">
                  <c:v>18</c:v>
                </c:pt>
                <c:pt idx="2">
                  <c:v>6</c:v>
                </c:pt>
                <c:pt idx="3">
                  <c:v>8</c:v>
                </c:pt>
                <c:pt idx="4">
                  <c:v>8</c:v>
                </c:pt>
              </c:numCache>
            </c:numRef>
          </c:val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57282024"/>
        <c:axId val="257277712"/>
      </c:barChart>
      <c:catAx>
        <c:axId val="257282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57277712"/>
        <c:crosses val="autoZero"/>
        <c:auto val="1"/>
        <c:lblAlgn val="ctr"/>
        <c:lblOffset val="100"/>
        <c:noMultiLvlLbl val="0"/>
      </c:catAx>
      <c:valAx>
        <c:axId val="257277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57282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[Gestion de pharmacie.xlsm]Data_Dashboard!Tableau croisé dynamique8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400"/>
              <a:t>Chiffres</a:t>
            </a:r>
            <a:r>
              <a:rPr lang="en-US" sz="2400" baseline="0"/>
              <a:t> d'affaires</a:t>
            </a:r>
            <a:endParaRPr lang="en-US" sz="2400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Data_Dashboard!$BJ$3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trendline>
            <c:spPr>
              <a:ln w="6350" cap="flat" cmpd="sng" algn="ctr">
                <a:solidFill>
                  <a:schemeClr val="accent1"/>
                </a:solidFill>
                <a:prstDash val="solid"/>
                <a:miter lim="800000"/>
              </a:ln>
              <a:effectLst/>
            </c:spPr>
            <c:trendlineType val="movingAvg"/>
            <c:period val="2"/>
            <c:dispRSqr val="0"/>
            <c:dispEq val="0"/>
          </c:trendline>
          <c:cat>
            <c:multiLvlStrRef>
              <c:f>Data_Dashboard!$BI$4:$BI$18</c:f>
              <c:multiLvlStrCache>
                <c:ptCount val="13"/>
                <c:lvl>
                  <c:pt idx="0">
                    <c:v>11-janv</c:v>
                  </c:pt>
                  <c:pt idx="1">
                    <c:v>13-janv</c:v>
                  </c:pt>
                  <c:pt idx="2">
                    <c:v>14-janv</c:v>
                  </c:pt>
                  <c:pt idx="3">
                    <c:v>15-janv</c:v>
                  </c:pt>
                  <c:pt idx="4">
                    <c:v>16-janv</c:v>
                  </c:pt>
                  <c:pt idx="5">
                    <c:v>19-janv</c:v>
                  </c:pt>
                  <c:pt idx="6">
                    <c:v>20-janv</c:v>
                  </c:pt>
                  <c:pt idx="7">
                    <c:v>24-janv</c:v>
                  </c:pt>
                  <c:pt idx="8">
                    <c:v>27-janv</c:v>
                  </c:pt>
                  <c:pt idx="9">
                    <c:v>28-janv</c:v>
                  </c:pt>
                  <c:pt idx="10">
                    <c:v>29-janv</c:v>
                  </c:pt>
                  <c:pt idx="11">
                    <c:v>30-janv</c:v>
                  </c:pt>
                  <c:pt idx="12">
                    <c:v>31-janv</c:v>
                  </c:pt>
                </c:lvl>
                <c:lvl>
                  <c:pt idx="0">
                    <c:v>janv</c:v>
                  </c:pt>
                </c:lvl>
              </c:multiLvlStrCache>
            </c:multiLvlStrRef>
          </c:cat>
          <c:val>
            <c:numRef>
              <c:f>Data_Dashboard!$BJ$4:$BJ$18</c:f>
              <c:numCache>
                <c:formatCode>General</c:formatCode>
                <c:ptCount val="13"/>
                <c:pt idx="0">
                  <c:v>2600</c:v>
                </c:pt>
                <c:pt idx="1">
                  <c:v>12000</c:v>
                </c:pt>
                <c:pt idx="2">
                  <c:v>17600</c:v>
                </c:pt>
                <c:pt idx="3">
                  <c:v>7800</c:v>
                </c:pt>
                <c:pt idx="4">
                  <c:v>3500</c:v>
                </c:pt>
                <c:pt idx="5">
                  <c:v>19200</c:v>
                </c:pt>
                <c:pt idx="6">
                  <c:v>6000</c:v>
                </c:pt>
                <c:pt idx="7">
                  <c:v>14800</c:v>
                </c:pt>
                <c:pt idx="8">
                  <c:v>5300</c:v>
                </c:pt>
                <c:pt idx="9">
                  <c:v>13400</c:v>
                </c:pt>
                <c:pt idx="10">
                  <c:v>15000</c:v>
                </c:pt>
                <c:pt idx="11">
                  <c:v>24500</c:v>
                </c:pt>
                <c:pt idx="12">
                  <c:v>7600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57281240"/>
        <c:axId val="257277320"/>
      </c:barChart>
      <c:catAx>
        <c:axId val="257281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57277320"/>
        <c:crosses val="autoZero"/>
        <c:auto val="1"/>
        <c:lblAlgn val="ctr"/>
        <c:lblOffset val="100"/>
        <c:noMultiLvlLbl val="0"/>
      </c:catAx>
      <c:valAx>
        <c:axId val="257277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57281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[Gestion de pharmacie.xlsm]Data_Dashboard!Tableau croisé dynamique10</c:name>
    <c:fmtId val="12"/>
  </c:pivotSource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2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2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rPr>
              <a:t>Dépenses lié au stock 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2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Data_Dashboard!$BM$3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Data_Dashboard!$BL$4:$BL$18</c:f>
              <c:multiLvlStrCache>
                <c:ptCount val="13"/>
                <c:lvl>
                  <c:pt idx="0">
                    <c:v>11-janv</c:v>
                  </c:pt>
                  <c:pt idx="1">
                    <c:v>13-janv</c:v>
                  </c:pt>
                  <c:pt idx="2">
                    <c:v>14-janv</c:v>
                  </c:pt>
                  <c:pt idx="3">
                    <c:v>15-janv</c:v>
                  </c:pt>
                  <c:pt idx="4">
                    <c:v>16-janv</c:v>
                  </c:pt>
                  <c:pt idx="5">
                    <c:v>19-janv</c:v>
                  </c:pt>
                  <c:pt idx="6">
                    <c:v>20-janv</c:v>
                  </c:pt>
                  <c:pt idx="7">
                    <c:v>24-janv</c:v>
                  </c:pt>
                  <c:pt idx="8">
                    <c:v>27-janv</c:v>
                  </c:pt>
                  <c:pt idx="9">
                    <c:v>28-janv</c:v>
                  </c:pt>
                  <c:pt idx="10">
                    <c:v>29-janv</c:v>
                  </c:pt>
                  <c:pt idx="11">
                    <c:v>30-janv</c:v>
                  </c:pt>
                  <c:pt idx="12">
                    <c:v>31-janv</c:v>
                  </c:pt>
                </c:lvl>
                <c:lvl>
                  <c:pt idx="0">
                    <c:v>janv</c:v>
                  </c:pt>
                </c:lvl>
              </c:multiLvlStrCache>
            </c:multiLvlStrRef>
          </c:cat>
          <c:val>
            <c:numRef>
              <c:f>Data_Dashboard!$BM$4:$BM$18</c:f>
              <c:numCache>
                <c:formatCode>General</c:formatCode>
                <c:ptCount val="13"/>
                <c:pt idx="0">
                  <c:v>1800</c:v>
                </c:pt>
                <c:pt idx="1">
                  <c:v>8000</c:v>
                </c:pt>
                <c:pt idx="2">
                  <c:v>12000</c:v>
                </c:pt>
                <c:pt idx="3">
                  <c:v>5400</c:v>
                </c:pt>
                <c:pt idx="4">
                  <c:v>2500</c:v>
                </c:pt>
                <c:pt idx="5">
                  <c:v>13200</c:v>
                </c:pt>
                <c:pt idx="6">
                  <c:v>4000</c:v>
                </c:pt>
                <c:pt idx="7">
                  <c:v>9800</c:v>
                </c:pt>
                <c:pt idx="8">
                  <c:v>3500</c:v>
                </c:pt>
                <c:pt idx="9">
                  <c:v>9000</c:v>
                </c:pt>
                <c:pt idx="10">
                  <c:v>10000</c:v>
                </c:pt>
                <c:pt idx="11">
                  <c:v>17500</c:v>
                </c:pt>
                <c:pt idx="12">
                  <c:v>5000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57282416"/>
        <c:axId val="257279280"/>
      </c:barChart>
      <c:catAx>
        <c:axId val="257282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57279280"/>
        <c:crosses val="autoZero"/>
        <c:auto val="1"/>
        <c:lblAlgn val="ctr"/>
        <c:lblOffset val="100"/>
        <c:noMultiLvlLbl val="0"/>
      </c:catAx>
      <c:valAx>
        <c:axId val="257279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57282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microsoft.com/office/2007/relationships/hdphoto" Target="../media/hdphoto1.wdp"/><Relationship Id="rId13" Type="http://schemas.microsoft.com/office/2007/relationships/hdphoto" Target="../media/hdphoto3.wdp"/><Relationship Id="rId18" Type="http://schemas.openxmlformats.org/officeDocument/2006/relationships/chart" Target="../charts/chart5.xml"/><Relationship Id="rId3" Type="http://schemas.openxmlformats.org/officeDocument/2006/relationships/image" Target="../media/image2.png"/><Relationship Id="rId7" Type="http://schemas.openxmlformats.org/officeDocument/2006/relationships/image" Target="../media/image3.png"/><Relationship Id="rId12" Type="http://schemas.openxmlformats.org/officeDocument/2006/relationships/image" Target="../media/image6.png"/><Relationship Id="rId17" Type="http://schemas.microsoft.com/office/2007/relationships/hdphoto" Target="../media/hdphoto5.wdp"/><Relationship Id="rId2" Type="http://schemas.openxmlformats.org/officeDocument/2006/relationships/chart" Target="../charts/chart1.xml"/><Relationship Id="rId16" Type="http://schemas.openxmlformats.org/officeDocument/2006/relationships/image" Target="../media/image8.png"/><Relationship Id="rId1" Type="http://schemas.openxmlformats.org/officeDocument/2006/relationships/image" Target="../media/image1.png"/><Relationship Id="rId6" Type="http://schemas.openxmlformats.org/officeDocument/2006/relationships/chart" Target="../charts/chart4.xml"/><Relationship Id="rId11" Type="http://schemas.microsoft.com/office/2007/relationships/hdphoto" Target="../media/hdphoto2.wdp"/><Relationship Id="rId5" Type="http://schemas.openxmlformats.org/officeDocument/2006/relationships/chart" Target="../charts/chart3.xml"/><Relationship Id="rId15" Type="http://schemas.microsoft.com/office/2007/relationships/hdphoto" Target="../media/hdphoto4.wdp"/><Relationship Id="rId10" Type="http://schemas.openxmlformats.org/officeDocument/2006/relationships/image" Target="../media/image5.png"/><Relationship Id="rId19" Type="http://schemas.openxmlformats.org/officeDocument/2006/relationships/chart" Target="../charts/chart6.xml"/><Relationship Id="rId4" Type="http://schemas.openxmlformats.org/officeDocument/2006/relationships/chart" Target="../charts/chart2.xml"/><Relationship Id="rId9" Type="http://schemas.openxmlformats.org/officeDocument/2006/relationships/image" Target="../media/image4.png"/><Relationship Id="rId14" Type="http://schemas.openxmlformats.org/officeDocument/2006/relationships/image" Target="../media/image7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3" Type="http://schemas.microsoft.com/office/2007/relationships/hdphoto" Target="../media/hdphoto6.wdp"/><Relationship Id="rId2" Type="http://schemas.openxmlformats.org/officeDocument/2006/relationships/image" Target="../media/image9.png"/><Relationship Id="rId1" Type="http://schemas.openxmlformats.org/officeDocument/2006/relationships/chart" Target="../charts/chart7.xml"/><Relationship Id="rId5" Type="http://schemas.openxmlformats.org/officeDocument/2006/relationships/chart" Target="../charts/chart8.xml"/><Relationship Id="rId4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172591</xdr:colOff>
      <xdr:row>0</xdr:row>
      <xdr:rowOff>86448</xdr:rowOff>
    </xdr:from>
    <xdr:to>
      <xdr:col>1</xdr:col>
      <xdr:colOff>842841</xdr:colOff>
      <xdr:row>5</xdr:row>
      <xdr:rowOff>94596</xdr:rowOff>
    </xdr:to>
    <xdr:pic>
      <xdr:nvPicPr>
        <xdr:cNvPr id="2" name="Image 1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8935" t="19598" r="27403" b="19648"/>
        <a:stretch/>
      </xdr:blipFill>
      <xdr:spPr>
        <a:xfrm>
          <a:off x="172591" y="86448"/>
          <a:ext cx="1636357" cy="960648"/>
        </a:xfrm>
        <a:prstGeom prst="rect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0</xdr:col>
      <xdr:colOff>95250</xdr:colOff>
      <xdr:row>7</xdr:row>
      <xdr:rowOff>86445</xdr:rowOff>
    </xdr:from>
    <xdr:to>
      <xdr:col>1</xdr:col>
      <xdr:colOff>843643</xdr:colOff>
      <xdr:row>18</xdr:row>
      <xdr:rowOff>55975</xdr:rowOff>
    </xdr:to>
    <xdr:grpSp>
      <xdr:nvGrpSpPr>
        <xdr:cNvPr id="10" name="Groupe 9"/>
        <xdr:cNvGrpSpPr/>
      </xdr:nvGrpSpPr>
      <xdr:grpSpPr>
        <a:xfrm>
          <a:off x="95250" y="1419945"/>
          <a:ext cx="1714500" cy="2065030"/>
          <a:chOff x="253888" y="1501588"/>
          <a:chExt cx="1574785" cy="2094518"/>
        </a:xfrm>
      </xdr:grpSpPr>
      <xdr:sp macro="[0]!OverUserProduits" textlink="">
        <xdr:nvSpPr>
          <xdr:cNvPr id="4" name="Rectangle à coins arrondis 3"/>
          <xdr:cNvSpPr/>
        </xdr:nvSpPr>
        <xdr:spPr>
          <a:xfrm>
            <a:off x="253888" y="1501588"/>
            <a:ext cx="1574785" cy="312562"/>
          </a:xfrm>
          <a:prstGeom prst="roundRect">
            <a:avLst/>
          </a:prstGeom>
          <a:solidFill>
            <a:schemeClr val="bg1"/>
          </a:solidFill>
          <a:ln w="19050">
            <a:solidFill>
              <a:schemeClr val="bg2"/>
            </a:soli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fr-FR" sz="1200" b="1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Cambria" panose="02040503050406030204" pitchFamily="18" charset="0"/>
                <a:cs typeface="Arial" panose="020B0604020202020204" pitchFamily="34" charset="0"/>
              </a:rPr>
              <a:t>Formulaire Produits</a:t>
            </a:r>
          </a:p>
        </xdr:txBody>
      </xdr:sp>
      <xdr:sp macro="[0]!OverUserStock" textlink="">
        <xdr:nvSpPr>
          <xdr:cNvPr id="5" name="Rectangle à coins arrondis 4"/>
          <xdr:cNvSpPr/>
        </xdr:nvSpPr>
        <xdr:spPr>
          <a:xfrm>
            <a:off x="345849" y="2091017"/>
            <a:ext cx="1424008" cy="326231"/>
          </a:xfrm>
          <a:prstGeom prst="roundRect">
            <a:avLst/>
          </a:prstGeom>
          <a:solidFill>
            <a:schemeClr val="bg1"/>
          </a:solidFill>
          <a:ln w="19050">
            <a:solidFill>
              <a:schemeClr val="bg2"/>
            </a:solidFill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fr-FR" sz="1200" b="1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Cambria" panose="02040503050406030204" pitchFamily="18" charset="0"/>
                <a:cs typeface="Arial" panose="020B0604020202020204" pitchFamily="34" charset="0"/>
              </a:rPr>
              <a:t>Formulaire</a:t>
            </a:r>
            <a:r>
              <a:rPr lang="fr-FR" sz="1200" b="1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Cambria" panose="02040503050406030204" pitchFamily="18" charset="0"/>
                <a:cs typeface="Arial" panose="020B0604020202020204" pitchFamily="34" charset="0"/>
              </a:rPr>
              <a:t> Stock</a:t>
            </a:r>
            <a:endParaRPr lang="fr-FR" sz="1200" b="1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Cambria" panose="02040503050406030204" pitchFamily="18" charset="0"/>
              <a:cs typeface="Arial" panose="020B0604020202020204" pitchFamily="34" charset="0"/>
            </a:endParaRPr>
          </a:p>
        </xdr:txBody>
      </xdr:sp>
      <xdr:sp macro="[0]!OverUserVentes" textlink="">
        <xdr:nvSpPr>
          <xdr:cNvPr id="6" name="Rectangle à coins arrondis 5"/>
          <xdr:cNvSpPr/>
        </xdr:nvSpPr>
        <xdr:spPr>
          <a:xfrm>
            <a:off x="345849" y="2680446"/>
            <a:ext cx="1424008" cy="326231"/>
          </a:xfrm>
          <a:prstGeom prst="roundRect">
            <a:avLst/>
          </a:prstGeom>
          <a:solidFill>
            <a:schemeClr val="bg1"/>
          </a:solidFill>
          <a:ln w="19050">
            <a:solidFill>
              <a:schemeClr val="bg2"/>
            </a:soli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fr-FR" sz="1200" b="1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Cambria" panose="02040503050406030204" pitchFamily="18" charset="0"/>
                <a:cs typeface="Arial" panose="020B0604020202020204" pitchFamily="34" charset="0"/>
              </a:rPr>
              <a:t>Formulaire</a:t>
            </a:r>
            <a:r>
              <a:rPr lang="fr-FR" sz="1200" b="1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Cambria" panose="02040503050406030204" pitchFamily="18" charset="0"/>
                <a:cs typeface="Arial" panose="020B0604020202020204" pitchFamily="34" charset="0"/>
              </a:rPr>
              <a:t> Ventes</a:t>
            </a:r>
            <a:endParaRPr lang="fr-FR" sz="1200" b="1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Cambria" panose="02040503050406030204" pitchFamily="18" charset="0"/>
              <a:cs typeface="Arial" panose="020B0604020202020204" pitchFamily="34" charset="0"/>
            </a:endParaRPr>
          </a:p>
        </xdr:txBody>
      </xdr:sp>
      <xdr:sp macro="[0]!OverUserSorties" textlink="">
        <xdr:nvSpPr>
          <xdr:cNvPr id="7" name="Rectangle à coins arrondis 6"/>
          <xdr:cNvSpPr/>
        </xdr:nvSpPr>
        <xdr:spPr>
          <a:xfrm>
            <a:off x="345849" y="3269875"/>
            <a:ext cx="1424008" cy="326231"/>
          </a:xfrm>
          <a:prstGeom prst="roundRect">
            <a:avLst/>
          </a:prstGeom>
          <a:solidFill>
            <a:schemeClr val="bg1"/>
          </a:solidFill>
          <a:ln w="19050">
            <a:solidFill>
              <a:schemeClr val="bg2"/>
            </a:soli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fr-FR" sz="1200" b="1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Cambria" panose="02040503050406030204" pitchFamily="18" charset="0"/>
                <a:cs typeface="Arial" panose="020B0604020202020204" pitchFamily="34" charset="0"/>
              </a:rPr>
              <a:t>Formulaire</a:t>
            </a:r>
            <a:r>
              <a:rPr lang="fr-FR" sz="1200" b="1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Cambria" panose="02040503050406030204" pitchFamily="18" charset="0"/>
                <a:cs typeface="Arial" panose="020B0604020202020204" pitchFamily="34" charset="0"/>
              </a:rPr>
              <a:t> Sortie</a:t>
            </a:r>
            <a:endParaRPr lang="fr-FR" sz="1200" b="1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Cambria" panose="02040503050406030204" pitchFamily="18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2</xdr:col>
      <xdr:colOff>244927</xdr:colOff>
      <xdr:row>44</xdr:row>
      <xdr:rowOff>0</xdr:rowOff>
    </xdr:from>
    <xdr:to>
      <xdr:col>22</xdr:col>
      <xdr:colOff>721177</xdr:colOff>
      <xdr:row>54</xdr:row>
      <xdr:rowOff>122466</xdr:rowOff>
    </xdr:to>
    <xdr:grpSp>
      <xdr:nvGrpSpPr>
        <xdr:cNvPr id="13" name="Groupe 12"/>
        <xdr:cNvGrpSpPr/>
      </xdr:nvGrpSpPr>
      <xdr:grpSpPr>
        <a:xfrm>
          <a:off x="2095498" y="8382000"/>
          <a:ext cx="15716250" cy="2027466"/>
          <a:chOff x="2041072" y="5116287"/>
          <a:chExt cx="15716250" cy="2367642"/>
        </a:xfrm>
      </xdr:grpSpPr>
      <xdr:sp macro="" textlink="">
        <xdr:nvSpPr>
          <xdr:cNvPr id="3" name="Rectangle à coins arrondis 2"/>
          <xdr:cNvSpPr/>
        </xdr:nvSpPr>
        <xdr:spPr>
          <a:xfrm>
            <a:off x="2041072" y="5116287"/>
            <a:ext cx="15716250" cy="2367642"/>
          </a:xfrm>
          <a:prstGeom prst="roundRect">
            <a:avLst/>
          </a:prstGeom>
          <a:solidFill>
            <a:sysClr val="window" lastClr="FFFFFF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graphicFrame macro="">
        <xdr:nvGraphicFramePr>
          <xdr:cNvPr id="11" name="Graphique 10"/>
          <xdr:cNvGraphicFramePr>
            <a:graphicFrameLocks/>
          </xdr:cNvGraphicFramePr>
        </xdr:nvGraphicFramePr>
        <xdr:xfrm>
          <a:off x="2326820" y="5143500"/>
          <a:ext cx="15308035" cy="214448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</xdr:grpSp>
    <xdr:clientData/>
  </xdr:twoCellAnchor>
  <xdr:twoCellAnchor>
    <xdr:from>
      <xdr:col>2</xdr:col>
      <xdr:colOff>149681</xdr:colOff>
      <xdr:row>3</xdr:row>
      <xdr:rowOff>129271</xdr:rowOff>
    </xdr:from>
    <xdr:to>
      <xdr:col>5</xdr:col>
      <xdr:colOff>163287</xdr:colOff>
      <xdr:row>7</xdr:row>
      <xdr:rowOff>68039</xdr:rowOff>
    </xdr:to>
    <xdr:sp macro="" textlink="Data_Dashboard!O9">
      <xdr:nvSpPr>
        <xdr:cNvPr id="16" name="Rectangle à coins arrondis 15"/>
        <xdr:cNvSpPr/>
      </xdr:nvSpPr>
      <xdr:spPr>
        <a:xfrm>
          <a:off x="2000252" y="700771"/>
          <a:ext cx="2299606" cy="700768"/>
        </a:xfrm>
        <a:prstGeom prst="roundRect">
          <a:avLst/>
        </a:prstGeom>
        <a:solidFill>
          <a:sysClr val="window" lastClr="FFFFFF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marL="0" indent="0" algn="l"/>
          <a:fld id="{34E51A4D-C3FA-4083-8E7D-73FECBD4D9F4}" type="TxLink">
            <a:rPr lang="en-US" sz="1800" b="1" i="0" u="none" strike="noStrike">
              <a:solidFill>
                <a:srgbClr val="000000"/>
              </a:solidFill>
              <a:latin typeface="+mn-lt"/>
              <a:ea typeface="Cambria" panose="02040503050406030204" pitchFamily="18" charset="0"/>
              <a:cs typeface="Arial" panose="020B0604020202020204" pitchFamily="34" charset="0"/>
            </a:rPr>
            <a:pPr marL="0" indent="0" algn="l"/>
            <a:t>2 558 200 Fcfa</a:t>
          </a:fld>
          <a:endParaRPr lang="fr-FR" sz="1800" b="1" i="0" u="none" strike="noStrike">
            <a:solidFill>
              <a:srgbClr val="000000"/>
            </a:solidFill>
            <a:latin typeface="+mn-lt"/>
            <a:ea typeface="Cambria" panose="02040503050406030204" pitchFamily="18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0</xdr:colOff>
      <xdr:row>2</xdr:row>
      <xdr:rowOff>171792</xdr:rowOff>
    </xdr:from>
    <xdr:to>
      <xdr:col>23</xdr:col>
      <xdr:colOff>738187</xdr:colOff>
      <xdr:row>3</xdr:row>
      <xdr:rowOff>17012</xdr:rowOff>
    </xdr:to>
    <xdr:cxnSp macro="">
      <xdr:nvCxnSpPr>
        <xdr:cNvPr id="25" name="Connecteur droit 24"/>
        <xdr:cNvCxnSpPr/>
      </xdr:nvCxnSpPr>
      <xdr:spPr>
        <a:xfrm flipV="1">
          <a:off x="1850571" y="552792"/>
          <a:ext cx="16740187" cy="3572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11909</xdr:colOff>
      <xdr:row>0</xdr:row>
      <xdr:rowOff>122466</xdr:rowOff>
    </xdr:from>
    <xdr:to>
      <xdr:col>19</xdr:col>
      <xdr:colOff>683809</xdr:colOff>
      <xdr:row>2</xdr:row>
      <xdr:rowOff>67697</xdr:rowOff>
    </xdr:to>
    <xdr:grpSp>
      <xdr:nvGrpSpPr>
        <xdr:cNvPr id="26" name="Groupe 25"/>
        <xdr:cNvGrpSpPr/>
      </xdr:nvGrpSpPr>
      <xdr:grpSpPr>
        <a:xfrm>
          <a:off x="3386480" y="122466"/>
          <a:ext cx="12101900" cy="326231"/>
          <a:chOff x="1976440" y="166686"/>
          <a:chExt cx="12101901" cy="326231"/>
        </a:xfrm>
      </xdr:grpSpPr>
      <xdr:sp macro="[0]!Dashboard" textlink="">
        <xdr:nvSpPr>
          <xdr:cNvPr id="27" name="Rectangle à coins arrondis 26"/>
          <xdr:cNvSpPr/>
        </xdr:nvSpPr>
        <xdr:spPr>
          <a:xfrm>
            <a:off x="1976440" y="166686"/>
            <a:ext cx="1424008" cy="326231"/>
          </a:xfrm>
          <a:prstGeom prst="roundRect">
            <a:avLst/>
          </a:prstGeom>
          <a:solidFill>
            <a:srgbClr val="0070C0"/>
          </a:solidFill>
          <a:ln w="19050">
            <a:solidFill>
              <a:schemeClr val="bg2"/>
            </a:solidFill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fr-FR" sz="1200" b="1">
                <a:solidFill>
                  <a:schemeClr val="bg1"/>
                </a:solidFill>
                <a:latin typeface="Arial" panose="020B0604020202020204" pitchFamily="34" charset="0"/>
                <a:ea typeface="Cambria" panose="02040503050406030204" pitchFamily="18" charset="0"/>
                <a:cs typeface="Arial" panose="020B0604020202020204" pitchFamily="34" charset="0"/>
              </a:rPr>
              <a:t>Tableau de Bord</a:t>
            </a:r>
          </a:p>
        </xdr:txBody>
      </xdr:sp>
      <xdr:sp macro="[0]!Produits" textlink="">
        <xdr:nvSpPr>
          <xdr:cNvPr id="28" name="Rectangle à coins arrondis 27"/>
          <xdr:cNvSpPr/>
        </xdr:nvSpPr>
        <xdr:spPr>
          <a:xfrm>
            <a:off x="4019147" y="166686"/>
            <a:ext cx="1424008" cy="326231"/>
          </a:xfrm>
          <a:prstGeom prst="roundRect">
            <a:avLst/>
          </a:prstGeom>
          <a:solidFill>
            <a:schemeClr val="bg1"/>
          </a:solidFill>
          <a:ln w="19050">
            <a:solidFill>
              <a:schemeClr val="bg2"/>
            </a:soli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fr-FR" sz="1200" b="1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Cambria" panose="02040503050406030204" pitchFamily="18" charset="0"/>
                <a:cs typeface="Arial" panose="020B0604020202020204" pitchFamily="34" charset="0"/>
              </a:rPr>
              <a:t>Produits</a:t>
            </a:r>
          </a:p>
        </xdr:txBody>
      </xdr:sp>
      <xdr:sp macro="[0]!Entrées_stock" textlink="">
        <xdr:nvSpPr>
          <xdr:cNvPr id="29" name="Rectangle à coins arrondis 28"/>
          <xdr:cNvSpPr/>
        </xdr:nvSpPr>
        <xdr:spPr>
          <a:xfrm>
            <a:off x="6073762" y="166686"/>
            <a:ext cx="1424008" cy="326231"/>
          </a:xfrm>
          <a:prstGeom prst="roundRect">
            <a:avLst/>
          </a:prstGeom>
          <a:solidFill>
            <a:schemeClr val="bg1"/>
          </a:solidFill>
          <a:ln w="19050">
            <a:solidFill>
              <a:schemeClr val="bg2"/>
            </a:soli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fr-FR" sz="1200" b="1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Cambria" panose="02040503050406030204" pitchFamily="18" charset="0"/>
                <a:cs typeface="Arial" panose="020B0604020202020204" pitchFamily="34" charset="0"/>
              </a:rPr>
              <a:t>Entrées_Stock</a:t>
            </a:r>
          </a:p>
        </xdr:txBody>
      </xdr:sp>
      <xdr:sp macro="[0]!ventes" textlink="">
        <xdr:nvSpPr>
          <xdr:cNvPr id="30" name="Rectangle à coins arrondis 29"/>
          <xdr:cNvSpPr/>
        </xdr:nvSpPr>
        <xdr:spPr>
          <a:xfrm>
            <a:off x="8318880" y="166686"/>
            <a:ext cx="1424008" cy="326231"/>
          </a:xfrm>
          <a:prstGeom prst="roundRect">
            <a:avLst/>
          </a:prstGeom>
          <a:solidFill>
            <a:schemeClr val="bg1"/>
          </a:solidFill>
          <a:ln w="19050">
            <a:solidFill>
              <a:schemeClr val="bg2"/>
            </a:soli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fr-FR" sz="1200" b="1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Cambria" panose="02040503050406030204" pitchFamily="18" charset="0"/>
                <a:cs typeface="Arial" panose="020B0604020202020204" pitchFamily="34" charset="0"/>
              </a:rPr>
              <a:t>Ventes</a:t>
            </a:r>
          </a:p>
        </xdr:txBody>
      </xdr:sp>
      <xdr:sp macro="[0]!sorties" textlink="">
        <xdr:nvSpPr>
          <xdr:cNvPr id="31" name="Rectangle à coins arrondis 30"/>
          <xdr:cNvSpPr/>
        </xdr:nvSpPr>
        <xdr:spPr>
          <a:xfrm>
            <a:off x="10468748" y="166686"/>
            <a:ext cx="1424008" cy="326231"/>
          </a:xfrm>
          <a:prstGeom prst="roundRect">
            <a:avLst/>
          </a:prstGeom>
          <a:solidFill>
            <a:schemeClr val="bg1"/>
          </a:solidFill>
          <a:ln w="19050">
            <a:solidFill>
              <a:schemeClr val="bg2"/>
            </a:soli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fr-FR" sz="1200" b="1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Cambria" panose="02040503050406030204" pitchFamily="18" charset="0"/>
                <a:cs typeface="Arial" panose="020B0604020202020204" pitchFamily="34" charset="0"/>
              </a:rPr>
              <a:t>Sorties</a:t>
            </a:r>
          </a:p>
        </xdr:txBody>
      </xdr:sp>
      <xdr:sp macro="[0]!Mouvements" textlink="">
        <xdr:nvSpPr>
          <xdr:cNvPr id="32" name="Rectangle à coins arrondis 31"/>
          <xdr:cNvSpPr/>
        </xdr:nvSpPr>
        <xdr:spPr>
          <a:xfrm>
            <a:off x="12654333" y="166686"/>
            <a:ext cx="1424008" cy="326231"/>
          </a:xfrm>
          <a:prstGeom prst="roundRect">
            <a:avLst/>
          </a:prstGeom>
          <a:solidFill>
            <a:schemeClr val="bg1"/>
          </a:solidFill>
          <a:ln w="19050">
            <a:solidFill>
              <a:schemeClr val="bg2"/>
            </a:soli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fr-FR" sz="1200" b="1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Cambria" panose="02040503050406030204" pitchFamily="18" charset="0"/>
                <a:cs typeface="Arial" panose="020B0604020202020204" pitchFamily="34" charset="0"/>
              </a:rPr>
              <a:t>Mouvements</a:t>
            </a:r>
          </a:p>
        </xdr:txBody>
      </xdr:sp>
    </xdr:grpSp>
    <xdr:clientData/>
  </xdr:twoCellAnchor>
  <xdr:twoCellAnchor editAs="oneCell">
    <xdr:from>
      <xdr:col>21</xdr:col>
      <xdr:colOff>357188</xdr:colOff>
      <xdr:row>0</xdr:row>
      <xdr:rowOff>88450</xdr:rowOff>
    </xdr:from>
    <xdr:to>
      <xdr:col>22</xdr:col>
      <xdr:colOff>20161</xdr:colOff>
      <xdr:row>2</xdr:row>
      <xdr:rowOff>132423</xdr:rowOff>
    </xdr:to>
    <xdr:pic macro="[0]!actualiser">
      <xdr:nvPicPr>
        <xdr:cNvPr id="34" name="Image 33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9113858">
          <a:off x="16685759" y="88450"/>
          <a:ext cx="424973" cy="424973"/>
        </a:xfrm>
        <a:prstGeom prst="rect">
          <a:avLst/>
        </a:prstGeom>
      </xdr:spPr>
    </xdr:pic>
    <xdr:clientData/>
  </xdr:twoCellAnchor>
  <xdr:twoCellAnchor>
    <xdr:from>
      <xdr:col>5</xdr:col>
      <xdr:colOff>568781</xdr:colOff>
      <xdr:row>3</xdr:row>
      <xdr:rowOff>104778</xdr:rowOff>
    </xdr:from>
    <xdr:to>
      <xdr:col>8</xdr:col>
      <xdr:colOff>582387</xdr:colOff>
      <xdr:row>7</xdr:row>
      <xdr:rowOff>43546</xdr:rowOff>
    </xdr:to>
    <xdr:sp macro="" textlink="Data_Dashboard!O23">
      <xdr:nvSpPr>
        <xdr:cNvPr id="44" name="Rectangle à coins arrondis 43"/>
        <xdr:cNvSpPr/>
      </xdr:nvSpPr>
      <xdr:spPr>
        <a:xfrm>
          <a:off x="4705352" y="676278"/>
          <a:ext cx="2299606" cy="700768"/>
        </a:xfrm>
        <a:prstGeom prst="roundRect">
          <a:avLst/>
        </a:prstGeom>
        <a:solidFill>
          <a:sysClr val="window" lastClr="FFFFFF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marL="0" indent="0" algn="l"/>
          <a:fld id="{7FFF33ED-2FFE-4B95-B037-3418F3F62A5B}" type="TxLink">
            <a:rPr lang="en-US" sz="1800" b="1" i="0" u="none" strike="noStrike">
              <a:solidFill>
                <a:srgbClr val="000000"/>
              </a:solidFill>
              <a:latin typeface="+mn-lt"/>
              <a:ea typeface="Cambria" panose="02040503050406030204" pitchFamily="18" charset="0"/>
              <a:cs typeface="Arial" panose="020B0604020202020204" pitchFamily="34" charset="0"/>
            </a:rPr>
            <a:pPr marL="0" indent="0" algn="l"/>
            <a:t>4</a:t>
          </a:fld>
          <a:endParaRPr lang="fr-FR" sz="1800" b="1" i="0" u="none" strike="noStrike">
            <a:solidFill>
              <a:srgbClr val="000000"/>
            </a:solidFill>
            <a:latin typeface="+mn-lt"/>
            <a:ea typeface="Cambria" panose="02040503050406030204" pitchFamily="18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9</xdr:col>
      <xdr:colOff>225881</xdr:colOff>
      <xdr:row>3</xdr:row>
      <xdr:rowOff>107499</xdr:rowOff>
    </xdr:from>
    <xdr:to>
      <xdr:col>12</xdr:col>
      <xdr:colOff>239487</xdr:colOff>
      <xdr:row>7</xdr:row>
      <xdr:rowOff>46267</xdr:rowOff>
    </xdr:to>
    <xdr:sp macro="" textlink="Data_Dashboard!N9">
      <xdr:nvSpPr>
        <xdr:cNvPr id="45" name="Rectangle à coins arrondis 44"/>
        <xdr:cNvSpPr/>
      </xdr:nvSpPr>
      <xdr:spPr>
        <a:xfrm>
          <a:off x="7410452" y="678999"/>
          <a:ext cx="2299606" cy="700768"/>
        </a:xfrm>
        <a:prstGeom prst="roundRect">
          <a:avLst/>
        </a:prstGeom>
        <a:solidFill>
          <a:sysClr val="window" lastClr="FFFFFF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marL="0" indent="0" algn="l"/>
          <a:fld id="{F50EE55F-A787-4A64-849C-0A1F263D2AE2}" type="TxLink">
            <a:rPr lang="en-US" sz="1800" b="1" i="0" u="none" strike="noStrike">
              <a:solidFill>
                <a:srgbClr val="000000"/>
              </a:solidFill>
              <a:latin typeface="+mn-lt"/>
              <a:ea typeface="Cambria" panose="02040503050406030204" pitchFamily="18" charset="0"/>
              <a:cs typeface="Arial" panose="020B0604020202020204" pitchFamily="34" charset="0"/>
            </a:rPr>
            <a:pPr marL="0" indent="0" algn="l"/>
            <a:t>248 100 Fcfa</a:t>
          </a:fld>
          <a:endParaRPr lang="fr-FR" sz="1800" b="1" i="0" u="none" strike="noStrike">
            <a:solidFill>
              <a:srgbClr val="000000"/>
            </a:solidFill>
            <a:latin typeface="+mn-lt"/>
            <a:ea typeface="Cambria" panose="02040503050406030204" pitchFamily="18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12</xdr:col>
      <xdr:colOff>644981</xdr:colOff>
      <xdr:row>3</xdr:row>
      <xdr:rowOff>96614</xdr:rowOff>
    </xdr:from>
    <xdr:to>
      <xdr:col>15</xdr:col>
      <xdr:colOff>658587</xdr:colOff>
      <xdr:row>7</xdr:row>
      <xdr:rowOff>35382</xdr:rowOff>
    </xdr:to>
    <xdr:sp macro="" textlink="Data_Dashboard!N5">
      <xdr:nvSpPr>
        <xdr:cNvPr id="46" name="Rectangle à coins arrondis 45"/>
        <xdr:cNvSpPr/>
      </xdr:nvSpPr>
      <xdr:spPr>
        <a:xfrm>
          <a:off x="10115552" y="668114"/>
          <a:ext cx="2299606" cy="700768"/>
        </a:xfrm>
        <a:prstGeom prst="roundRect">
          <a:avLst/>
        </a:prstGeom>
        <a:solidFill>
          <a:sysClr val="window" lastClr="FFFFFF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marL="0" indent="0" algn="l"/>
          <a:fld id="{740F10D2-8BCC-4D88-8D7A-02A7C26A279E}" type="TxLink">
            <a:rPr lang="en-US" sz="1800" b="1" i="0" u="none" strike="noStrike">
              <a:solidFill>
                <a:srgbClr val="000000"/>
              </a:solidFill>
              <a:latin typeface="+mn-lt"/>
              <a:ea typeface="Cambria" panose="02040503050406030204" pitchFamily="18" charset="0"/>
              <a:cs typeface="Arial" panose="020B0604020202020204" pitchFamily="34" charset="0"/>
            </a:rPr>
            <a:pPr marL="0" indent="0" algn="l"/>
            <a:t>7 réf</a:t>
          </a:fld>
          <a:endParaRPr lang="fr-FR" sz="1800" b="1" i="0" u="none" strike="noStrike">
            <a:solidFill>
              <a:srgbClr val="000000"/>
            </a:solidFill>
            <a:latin typeface="+mn-lt"/>
            <a:ea typeface="Cambria" panose="02040503050406030204" pitchFamily="18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16</xdr:col>
      <xdr:colOff>302081</xdr:colOff>
      <xdr:row>3</xdr:row>
      <xdr:rowOff>99336</xdr:rowOff>
    </xdr:from>
    <xdr:to>
      <xdr:col>19</xdr:col>
      <xdr:colOff>315687</xdr:colOff>
      <xdr:row>7</xdr:row>
      <xdr:rowOff>38104</xdr:rowOff>
    </xdr:to>
    <xdr:sp macro="" textlink=" Data_Dashboard!O5">
      <xdr:nvSpPr>
        <xdr:cNvPr id="47" name="Rectangle à coins arrondis 46"/>
        <xdr:cNvSpPr/>
      </xdr:nvSpPr>
      <xdr:spPr>
        <a:xfrm>
          <a:off x="12820652" y="670836"/>
          <a:ext cx="2299606" cy="700768"/>
        </a:xfrm>
        <a:prstGeom prst="roundRect">
          <a:avLst/>
        </a:prstGeom>
        <a:solidFill>
          <a:srgbClr val="0000FF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marL="0" indent="0" algn="l"/>
          <a:fld id="{E8C65457-AF39-4F16-85B7-8EFBC584AA00}" type="TxLink">
            <a:rPr lang="en-US" sz="1800" b="1" i="0" u="none" strike="noStrike">
              <a:solidFill>
                <a:schemeClr val="bg1"/>
              </a:solidFill>
              <a:latin typeface="+mn-lt"/>
              <a:ea typeface="Cambria" panose="02040503050406030204" pitchFamily="18" charset="0"/>
              <a:cs typeface="Arial" panose="020B0604020202020204" pitchFamily="34" charset="0"/>
            </a:rPr>
            <a:pPr marL="0" indent="0" algn="l"/>
            <a:t>1</a:t>
          </a:fld>
          <a:endParaRPr lang="fr-FR" sz="1800" b="1" i="0" u="none" strike="noStrike">
            <a:solidFill>
              <a:schemeClr val="bg1"/>
            </a:solidFill>
            <a:latin typeface="+mn-lt"/>
            <a:ea typeface="Cambria" panose="02040503050406030204" pitchFamily="18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19</xdr:col>
      <xdr:colOff>721181</xdr:colOff>
      <xdr:row>3</xdr:row>
      <xdr:rowOff>61235</xdr:rowOff>
    </xdr:from>
    <xdr:to>
      <xdr:col>22</xdr:col>
      <xdr:colOff>734787</xdr:colOff>
      <xdr:row>7</xdr:row>
      <xdr:rowOff>3</xdr:rowOff>
    </xdr:to>
    <xdr:sp macro="" textlink="Data_Dashboard!O24">
      <xdr:nvSpPr>
        <xdr:cNvPr id="48" name="Rectangle à coins arrondis 47"/>
        <xdr:cNvSpPr/>
      </xdr:nvSpPr>
      <xdr:spPr>
        <a:xfrm>
          <a:off x="15525752" y="632735"/>
          <a:ext cx="2299606" cy="700768"/>
        </a:xfrm>
        <a:prstGeom prst="roundRect">
          <a:avLst/>
        </a:prstGeom>
        <a:solidFill>
          <a:srgbClr val="0000FF">
            <a:alpha val="87843"/>
          </a:srgb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marL="0" indent="0" algn="l"/>
          <a:fld id="{67096495-907B-4E84-BEA0-2629B66AC5C9}" type="TxLink">
            <a:rPr lang="en-US" sz="1800" b="1" i="0" u="none" strike="noStrike">
              <a:solidFill>
                <a:schemeClr val="bg1"/>
              </a:solidFill>
              <a:latin typeface="+mn-lt"/>
              <a:ea typeface="Cambria" panose="02040503050406030204" pitchFamily="18" charset="0"/>
              <a:cs typeface="Arial" panose="020B0604020202020204" pitchFamily="34" charset="0"/>
            </a:rPr>
            <a:pPr marL="0" indent="0" algn="l"/>
            <a:t>13 Lots</a:t>
          </a:fld>
          <a:endParaRPr lang="fr-FR" sz="1800" b="1" i="0" u="none" strike="noStrike">
            <a:solidFill>
              <a:schemeClr val="bg1"/>
            </a:solidFill>
            <a:latin typeface="+mn-lt"/>
            <a:ea typeface="Cambria" panose="02040503050406030204" pitchFamily="18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136070</xdr:colOff>
      <xdr:row>3</xdr:row>
      <xdr:rowOff>122467</xdr:rowOff>
    </xdr:from>
    <xdr:to>
      <xdr:col>4</xdr:col>
      <xdr:colOff>323099</xdr:colOff>
      <xdr:row>5</xdr:row>
      <xdr:rowOff>108860</xdr:rowOff>
    </xdr:to>
    <xdr:sp macro="" textlink="">
      <xdr:nvSpPr>
        <xdr:cNvPr id="50" name="Rectangle 49"/>
        <xdr:cNvSpPr/>
      </xdr:nvSpPr>
      <xdr:spPr>
        <a:xfrm>
          <a:off x="1986641" y="693967"/>
          <a:ext cx="1711029" cy="36739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600" b="1">
              <a:solidFill>
                <a:schemeClr val="bg2">
                  <a:lumMod val="50000"/>
                </a:schemeClr>
              </a:solidFill>
            </a:rPr>
            <a:t>Valeur</a:t>
          </a:r>
          <a:r>
            <a:rPr lang="fr-FR" sz="1600" b="1" baseline="0">
              <a:solidFill>
                <a:schemeClr val="bg2">
                  <a:lumMod val="50000"/>
                </a:schemeClr>
              </a:solidFill>
            </a:rPr>
            <a:t> du stock</a:t>
          </a:r>
          <a:endParaRPr lang="fr-FR" sz="1600" b="1">
            <a:solidFill>
              <a:schemeClr val="bg2">
                <a:lumMod val="50000"/>
              </a:schemeClr>
            </a:solidFill>
          </a:endParaRPr>
        </a:p>
      </xdr:txBody>
    </xdr:sp>
    <xdr:clientData/>
  </xdr:twoCellAnchor>
  <xdr:twoCellAnchor>
    <xdr:from>
      <xdr:col>20</xdr:col>
      <xdr:colOff>57900</xdr:colOff>
      <xdr:row>3</xdr:row>
      <xdr:rowOff>70760</xdr:rowOff>
    </xdr:from>
    <xdr:to>
      <xdr:col>22</xdr:col>
      <xdr:colOff>394608</xdr:colOff>
      <xdr:row>5</xdr:row>
      <xdr:rowOff>57153</xdr:rowOff>
    </xdr:to>
    <xdr:sp macro="" textlink="">
      <xdr:nvSpPr>
        <xdr:cNvPr id="51" name="Rectangle 50"/>
        <xdr:cNvSpPr/>
      </xdr:nvSpPr>
      <xdr:spPr>
        <a:xfrm>
          <a:off x="15624471" y="642260"/>
          <a:ext cx="1860708" cy="36739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600" b="1">
              <a:solidFill>
                <a:schemeClr val="bg1"/>
              </a:solidFill>
            </a:rPr>
            <a:t>Péremption</a:t>
          </a:r>
          <a:r>
            <a:rPr lang="fr-FR" sz="1600" b="1" baseline="0">
              <a:solidFill>
                <a:schemeClr val="bg1"/>
              </a:solidFill>
            </a:rPr>
            <a:t> &lt; 60 jrs </a:t>
          </a:r>
          <a:endParaRPr lang="fr-FR" sz="1600" b="1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389218</xdr:colOff>
      <xdr:row>3</xdr:row>
      <xdr:rowOff>87088</xdr:rowOff>
    </xdr:from>
    <xdr:to>
      <xdr:col>18</xdr:col>
      <xdr:colOff>722215</xdr:colOff>
      <xdr:row>5</xdr:row>
      <xdr:rowOff>73481</xdr:rowOff>
    </xdr:to>
    <xdr:sp macro="" textlink="">
      <xdr:nvSpPr>
        <xdr:cNvPr id="52" name="Rectangle 51"/>
        <xdr:cNvSpPr/>
      </xdr:nvSpPr>
      <xdr:spPr>
        <a:xfrm>
          <a:off x="12907789" y="658588"/>
          <a:ext cx="1856997" cy="36739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600" b="1">
              <a:solidFill>
                <a:schemeClr val="bg1"/>
              </a:solidFill>
            </a:rPr>
            <a:t>Produits</a:t>
          </a:r>
          <a:r>
            <a:rPr lang="fr-FR" sz="1600" b="1" baseline="0">
              <a:solidFill>
                <a:schemeClr val="bg1"/>
              </a:solidFill>
            </a:rPr>
            <a:t> en rupture</a:t>
          </a:r>
          <a:endParaRPr lang="fr-FR" sz="1600" b="1">
            <a:solidFill>
              <a:schemeClr val="bg1"/>
            </a:solidFill>
          </a:endParaRPr>
        </a:p>
      </xdr:txBody>
    </xdr:sp>
    <xdr:clientData/>
  </xdr:twoCellAnchor>
  <xdr:twoCellAnchor>
    <xdr:from>
      <xdr:col>9</xdr:col>
      <xdr:colOff>289858</xdr:colOff>
      <xdr:row>3</xdr:row>
      <xdr:rowOff>76203</xdr:rowOff>
    </xdr:from>
    <xdr:to>
      <xdr:col>11</xdr:col>
      <xdr:colOff>476887</xdr:colOff>
      <xdr:row>5</xdr:row>
      <xdr:rowOff>62596</xdr:rowOff>
    </xdr:to>
    <xdr:sp macro="" textlink="">
      <xdr:nvSpPr>
        <xdr:cNvPr id="53" name="Rectangle 52"/>
        <xdr:cNvSpPr/>
      </xdr:nvSpPr>
      <xdr:spPr>
        <a:xfrm>
          <a:off x="7474429" y="647703"/>
          <a:ext cx="1711029" cy="36739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600" b="1">
              <a:solidFill>
                <a:schemeClr val="bg2">
                  <a:lumMod val="50000"/>
                </a:schemeClr>
              </a:solidFill>
            </a:rPr>
            <a:t>CA</a:t>
          </a:r>
          <a:r>
            <a:rPr lang="fr-FR" sz="1600" b="1" baseline="0">
              <a:solidFill>
                <a:schemeClr val="bg2">
                  <a:lumMod val="50000"/>
                </a:schemeClr>
              </a:solidFill>
            </a:rPr>
            <a:t> du mois</a:t>
          </a:r>
          <a:endParaRPr lang="fr-FR" sz="1600" b="1">
            <a:solidFill>
              <a:schemeClr val="bg2">
                <a:lumMod val="50000"/>
              </a:schemeClr>
            </a:solidFill>
          </a:endParaRPr>
        </a:p>
      </xdr:txBody>
    </xdr:sp>
    <xdr:clientData/>
  </xdr:twoCellAnchor>
  <xdr:twoCellAnchor>
    <xdr:from>
      <xdr:col>12</xdr:col>
      <xdr:colOff>693325</xdr:colOff>
      <xdr:row>3</xdr:row>
      <xdr:rowOff>106138</xdr:rowOff>
    </xdr:from>
    <xdr:to>
      <xdr:col>15</xdr:col>
      <xdr:colOff>234751</xdr:colOff>
      <xdr:row>5</xdr:row>
      <xdr:rowOff>92531</xdr:rowOff>
    </xdr:to>
    <xdr:sp macro="" textlink="">
      <xdr:nvSpPr>
        <xdr:cNvPr id="54" name="Rectangle 53"/>
        <xdr:cNvSpPr/>
      </xdr:nvSpPr>
      <xdr:spPr>
        <a:xfrm>
          <a:off x="10163896" y="677638"/>
          <a:ext cx="1827426" cy="36739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600" b="1">
              <a:solidFill>
                <a:schemeClr val="bg2">
                  <a:lumMod val="50000"/>
                </a:schemeClr>
              </a:solidFill>
            </a:rPr>
            <a:t>Produits</a:t>
          </a:r>
          <a:r>
            <a:rPr lang="fr-FR" sz="1600" b="1" baseline="0">
              <a:solidFill>
                <a:schemeClr val="bg2">
                  <a:lumMod val="50000"/>
                </a:schemeClr>
              </a:solidFill>
            </a:rPr>
            <a:t> sous seuil</a:t>
          </a:r>
          <a:endParaRPr lang="fr-FR" sz="1600" b="1">
            <a:solidFill>
              <a:schemeClr val="bg2">
                <a:lumMod val="50000"/>
              </a:schemeClr>
            </a:solidFill>
          </a:endParaRPr>
        </a:p>
      </xdr:txBody>
    </xdr:sp>
    <xdr:clientData/>
  </xdr:twoCellAnchor>
  <xdr:twoCellAnchor>
    <xdr:from>
      <xdr:col>5</xdr:col>
      <xdr:colOff>593964</xdr:colOff>
      <xdr:row>3</xdr:row>
      <xdr:rowOff>108860</xdr:rowOff>
    </xdr:from>
    <xdr:to>
      <xdr:col>8</xdr:col>
      <xdr:colOff>18993</xdr:colOff>
      <xdr:row>5</xdr:row>
      <xdr:rowOff>95253</xdr:rowOff>
    </xdr:to>
    <xdr:sp macro="" textlink="">
      <xdr:nvSpPr>
        <xdr:cNvPr id="55" name="Rectangle 54"/>
        <xdr:cNvSpPr/>
      </xdr:nvSpPr>
      <xdr:spPr>
        <a:xfrm>
          <a:off x="4730535" y="680360"/>
          <a:ext cx="1711029" cy="36739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600" b="1">
              <a:solidFill>
                <a:schemeClr val="bg2">
                  <a:lumMod val="50000"/>
                </a:schemeClr>
              </a:solidFill>
            </a:rPr>
            <a:t>Produits</a:t>
          </a:r>
          <a:r>
            <a:rPr lang="fr-FR" sz="1600" b="1" baseline="0">
              <a:solidFill>
                <a:schemeClr val="bg2">
                  <a:lumMod val="50000"/>
                </a:schemeClr>
              </a:solidFill>
            </a:rPr>
            <a:t> expirer</a:t>
          </a:r>
          <a:endParaRPr lang="fr-FR" sz="1600" b="1">
            <a:solidFill>
              <a:schemeClr val="bg2">
                <a:lumMod val="50000"/>
              </a:schemeClr>
            </a:solidFill>
          </a:endParaRPr>
        </a:p>
      </xdr:txBody>
    </xdr:sp>
    <xdr:clientData/>
  </xdr:twoCellAnchor>
  <xdr:twoCellAnchor>
    <xdr:from>
      <xdr:col>2</xdr:col>
      <xdr:colOff>176894</xdr:colOff>
      <xdr:row>24</xdr:row>
      <xdr:rowOff>0</xdr:rowOff>
    </xdr:from>
    <xdr:to>
      <xdr:col>9</xdr:col>
      <xdr:colOff>666758</xdr:colOff>
      <xdr:row>42</xdr:row>
      <xdr:rowOff>147876</xdr:rowOff>
    </xdr:to>
    <xdr:grpSp>
      <xdr:nvGrpSpPr>
        <xdr:cNvPr id="23" name="Groupe 22"/>
        <xdr:cNvGrpSpPr/>
      </xdr:nvGrpSpPr>
      <xdr:grpSpPr>
        <a:xfrm>
          <a:off x="2027465" y="4572000"/>
          <a:ext cx="5823864" cy="3576876"/>
          <a:chOff x="1986641" y="1563458"/>
          <a:chExt cx="5919107" cy="4109358"/>
        </a:xfrm>
      </xdr:grpSpPr>
      <xdr:sp macro="" textlink="">
        <xdr:nvSpPr>
          <xdr:cNvPr id="18" name="Rectangle à coins arrondis 17"/>
          <xdr:cNvSpPr/>
        </xdr:nvSpPr>
        <xdr:spPr>
          <a:xfrm>
            <a:off x="1986641" y="1563458"/>
            <a:ext cx="5919107" cy="4109358"/>
          </a:xfrm>
          <a:prstGeom prst="roundRect">
            <a:avLst>
              <a:gd name="adj" fmla="val 9088"/>
            </a:avLst>
          </a:prstGeom>
          <a:solidFill>
            <a:sysClr val="window" lastClr="FFFFFF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grpSp>
        <xdr:nvGrpSpPr>
          <xdr:cNvPr id="22" name="Groupe 21"/>
          <xdr:cNvGrpSpPr/>
        </xdr:nvGrpSpPr>
        <xdr:grpSpPr>
          <a:xfrm>
            <a:off x="2078420" y="1632854"/>
            <a:ext cx="5718474" cy="3969205"/>
            <a:chOff x="2078420" y="1632854"/>
            <a:chExt cx="5718474" cy="3969205"/>
          </a:xfrm>
        </xdr:grpSpPr>
        <xdr:sp macro="" textlink="Data_Dashboard!AI4">
          <xdr:nvSpPr>
            <xdr:cNvPr id="64" name="Rectangle 63"/>
            <xdr:cNvSpPr/>
          </xdr:nvSpPr>
          <xdr:spPr>
            <a:xfrm>
              <a:off x="2095502" y="2333617"/>
              <a:ext cx="1619250" cy="258262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fld id="{A4888487-1EF0-4BE2-A5A9-78C47F5B4E74}" type="TxLink">
                <a:rPr lang="en-US" sz="1200" b="1" i="0" u="none" strike="noStrike">
                  <a:solidFill>
                    <a:schemeClr val="bg2">
                      <a:lumMod val="25000"/>
                    </a:schemeClr>
                  </a:solidFill>
                  <a:latin typeface="Calibri"/>
                  <a:ea typeface="Calibri"/>
                  <a:cs typeface="Calibri"/>
                </a:rPr>
                <a:pPr algn="l"/>
                <a:t>Paracétamol 500 mg</a:t>
              </a:fld>
              <a:endParaRPr lang="fr-FR" sz="1200" b="1">
                <a:solidFill>
                  <a:schemeClr val="bg2">
                    <a:lumMod val="25000"/>
                  </a:schemeClr>
                </a:solidFill>
              </a:endParaRPr>
            </a:p>
          </xdr:txBody>
        </xdr:sp>
        <xdr:sp macro="" textlink="Data_Dashboard!AI5">
          <xdr:nvSpPr>
            <xdr:cNvPr id="65" name="Rectangle 64"/>
            <xdr:cNvSpPr/>
          </xdr:nvSpPr>
          <xdr:spPr>
            <a:xfrm>
              <a:off x="2114550" y="2666827"/>
              <a:ext cx="1619250" cy="271598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marL="0" indent="0" algn="l"/>
              <a:fld id="{F462CF9E-3179-4263-B566-FA15011C3AA3}" type="TxLink">
                <a:rPr lang="en-US" sz="1200" b="1" i="0" u="none" strike="noStrike">
                  <a:solidFill>
                    <a:schemeClr val="bg2">
                      <a:lumMod val="25000"/>
                    </a:schemeClr>
                  </a:solidFill>
                  <a:latin typeface="Calibri"/>
                  <a:ea typeface="Calibri"/>
                  <a:cs typeface="Calibri"/>
                </a:rPr>
                <a:pPr marL="0" indent="0" algn="l"/>
                <a:t>Oméprazole 40 mg</a:t>
              </a:fld>
              <a:endParaRPr lang="fr-FR" sz="1200" b="1" i="0" u="none" strike="noStrike">
                <a:solidFill>
                  <a:schemeClr val="bg2">
                    <a:lumMod val="25000"/>
                  </a:schemeClr>
                </a:solidFill>
                <a:latin typeface="Calibri"/>
                <a:ea typeface="Calibri"/>
                <a:cs typeface="Calibri"/>
              </a:endParaRPr>
            </a:p>
          </xdr:txBody>
        </xdr:sp>
        <xdr:sp macro="" textlink="Data_Dashboard!AI6">
          <xdr:nvSpPr>
            <xdr:cNvPr id="66" name="Rectangle 65"/>
            <xdr:cNvSpPr/>
          </xdr:nvSpPr>
          <xdr:spPr>
            <a:xfrm>
              <a:off x="2114550" y="2939144"/>
              <a:ext cx="1619250" cy="271326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marL="0" indent="0" algn="l"/>
              <a:fld id="{EE25243D-16A3-4745-A50A-3D205087761A}" type="TxLink">
                <a:rPr lang="en-US" sz="1200" b="1" i="0" u="none" strike="noStrike">
                  <a:solidFill>
                    <a:schemeClr val="bg2">
                      <a:lumMod val="25000"/>
                    </a:schemeClr>
                  </a:solidFill>
                  <a:latin typeface="Calibri"/>
                  <a:ea typeface="Calibri"/>
                  <a:cs typeface="Calibri"/>
                </a:rPr>
                <a:pPr marL="0" indent="0" algn="l"/>
                <a:t>Vitamine D3</a:t>
              </a:fld>
              <a:endParaRPr lang="fr-FR" sz="1200" b="1" i="0" u="none" strike="noStrike">
                <a:solidFill>
                  <a:schemeClr val="bg2">
                    <a:lumMod val="25000"/>
                  </a:schemeClr>
                </a:solidFill>
                <a:latin typeface="Calibri"/>
                <a:ea typeface="Calibri"/>
                <a:cs typeface="Calibri"/>
              </a:endParaRPr>
            </a:p>
          </xdr:txBody>
        </xdr:sp>
        <xdr:sp macro="" textlink="Data_Dashboard!AI7">
          <xdr:nvSpPr>
            <xdr:cNvPr id="67" name="Rectangle 66"/>
            <xdr:cNvSpPr/>
          </xdr:nvSpPr>
          <xdr:spPr>
            <a:xfrm>
              <a:off x="2128157" y="3291840"/>
              <a:ext cx="1619250" cy="246017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marL="0" indent="0" algn="l"/>
              <a:fld id="{422FF702-AE04-412D-8C2A-6937A7138BFA}" type="TxLink">
                <a:rPr lang="en-US" sz="1200" b="1" i="0" u="none" strike="noStrike">
                  <a:solidFill>
                    <a:schemeClr val="bg2">
                      <a:lumMod val="25000"/>
                    </a:schemeClr>
                  </a:solidFill>
                  <a:latin typeface="Calibri"/>
                  <a:ea typeface="Calibri"/>
                  <a:cs typeface="Calibri"/>
                </a:rPr>
                <a:pPr marL="0" indent="0" algn="l"/>
                <a:t>Ibuprofène 400 mg</a:t>
              </a:fld>
              <a:endParaRPr lang="fr-FR" sz="1200" b="1" i="0" u="none" strike="noStrike">
                <a:solidFill>
                  <a:schemeClr val="bg2">
                    <a:lumMod val="25000"/>
                  </a:schemeClr>
                </a:solidFill>
                <a:latin typeface="Calibri"/>
                <a:ea typeface="Calibri"/>
                <a:cs typeface="Calibri"/>
              </a:endParaRPr>
            </a:p>
          </xdr:txBody>
        </xdr:sp>
        <xdr:sp macro="" textlink="Data_Dashboard!AI8">
          <xdr:nvSpPr>
            <xdr:cNvPr id="68" name="Rectangle 67"/>
            <xdr:cNvSpPr/>
          </xdr:nvSpPr>
          <xdr:spPr>
            <a:xfrm>
              <a:off x="2114550" y="3596822"/>
              <a:ext cx="1619250" cy="331107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marL="0" indent="0" algn="l"/>
              <a:fld id="{B0072F3A-971D-4161-8977-E4FB665786A8}" type="TxLink">
                <a:rPr lang="en-US" sz="1200" b="1" i="0" u="none" strike="noStrike">
                  <a:solidFill>
                    <a:schemeClr val="bg2">
                      <a:lumMod val="25000"/>
                    </a:schemeClr>
                  </a:solidFill>
                  <a:latin typeface="Calibri"/>
                  <a:ea typeface="Calibri"/>
                  <a:cs typeface="Calibri"/>
                </a:rPr>
                <a:pPr marL="0" indent="0" algn="l"/>
                <a:t>Metronidazole 500 mg</a:t>
              </a:fld>
              <a:endParaRPr lang="fr-FR" sz="1200" b="1" i="0" u="none" strike="noStrike">
                <a:solidFill>
                  <a:schemeClr val="bg2">
                    <a:lumMod val="25000"/>
                  </a:schemeClr>
                </a:solidFill>
                <a:latin typeface="Calibri"/>
                <a:ea typeface="Calibri"/>
                <a:cs typeface="Calibri"/>
              </a:endParaRPr>
            </a:p>
          </xdr:txBody>
        </xdr:sp>
        <xdr:sp macro="" textlink="Data_Dashboard!AI9">
          <xdr:nvSpPr>
            <xdr:cNvPr id="69" name="Rectangle 68"/>
            <xdr:cNvSpPr/>
          </xdr:nvSpPr>
          <xdr:spPr>
            <a:xfrm>
              <a:off x="2114550" y="3950336"/>
              <a:ext cx="1619250" cy="266247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marL="0" indent="0" algn="l"/>
              <a:fld id="{D618921F-2D9E-49B3-9C26-BFFC04727E6A}" type="TxLink">
                <a:rPr lang="en-US" sz="1200" b="1" i="0" u="none" strike="noStrike">
                  <a:solidFill>
                    <a:schemeClr val="bg2">
                      <a:lumMod val="25000"/>
                    </a:schemeClr>
                  </a:solidFill>
                  <a:latin typeface="Calibri"/>
                  <a:ea typeface="Calibri"/>
                  <a:cs typeface="Calibri"/>
                </a:rPr>
                <a:pPr marL="0" indent="0" algn="l"/>
                <a:t>Amoxicilline 500 mg</a:t>
              </a:fld>
              <a:endParaRPr lang="fr-FR" sz="1200" b="1" i="0" u="none" strike="noStrike">
                <a:solidFill>
                  <a:schemeClr val="bg2">
                    <a:lumMod val="25000"/>
                  </a:schemeClr>
                </a:solidFill>
                <a:latin typeface="Calibri"/>
                <a:ea typeface="Calibri"/>
                <a:cs typeface="Calibri"/>
              </a:endParaRPr>
            </a:p>
          </xdr:txBody>
        </xdr:sp>
        <xdr:sp macro="" textlink="Data_Dashboard!AI10">
          <xdr:nvSpPr>
            <xdr:cNvPr id="70" name="Rectangle 69"/>
            <xdr:cNvSpPr/>
          </xdr:nvSpPr>
          <xdr:spPr>
            <a:xfrm>
              <a:off x="2114550" y="4303850"/>
              <a:ext cx="1619250" cy="2681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marL="0" indent="0" algn="l"/>
              <a:fld id="{31F8CD2E-3F3D-4881-810E-7DED0B4269C6}" type="TxLink">
                <a:rPr lang="en-US" sz="1200" b="1" i="0" u="none" strike="noStrike">
                  <a:solidFill>
                    <a:schemeClr val="bg2">
                      <a:lumMod val="25000"/>
                    </a:schemeClr>
                  </a:solidFill>
                  <a:latin typeface="Calibri"/>
                  <a:ea typeface="Calibri"/>
                  <a:cs typeface="Calibri"/>
                </a:rPr>
                <a:pPr marL="0" indent="0" algn="l"/>
                <a:t>Vitamine C 500 mg</a:t>
              </a:fld>
              <a:endParaRPr lang="fr-FR" sz="1200" b="1" i="0" u="none" strike="noStrike">
                <a:solidFill>
                  <a:schemeClr val="bg2">
                    <a:lumMod val="25000"/>
                  </a:schemeClr>
                </a:solidFill>
                <a:latin typeface="Calibri"/>
                <a:ea typeface="Calibri"/>
                <a:cs typeface="Calibri"/>
              </a:endParaRPr>
            </a:p>
          </xdr:txBody>
        </xdr:sp>
        <xdr:sp macro="" textlink="Data_Dashboard!AI11">
          <xdr:nvSpPr>
            <xdr:cNvPr id="71" name="Rectangle 70"/>
            <xdr:cNvSpPr/>
          </xdr:nvSpPr>
          <xdr:spPr>
            <a:xfrm>
              <a:off x="2114550" y="4603774"/>
              <a:ext cx="1619250" cy="291261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marL="0" indent="0" algn="l"/>
              <a:fld id="{D3CEDAA4-7DFB-4654-8FF7-27FBC2733109}" type="TxLink">
                <a:rPr lang="en-US" sz="1200" b="1" i="0" u="none" strike="noStrike">
                  <a:solidFill>
                    <a:schemeClr val="bg2">
                      <a:lumMod val="25000"/>
                    </a:schemeClr>
                  </a:solidFill>
                  <a:latin typeface="Calibri"/>
                  <a:ea typeface="Calibri"/>
                  <a:cs typeface="Calibri"/>
                </a:rPr>
                <a:pPr marL="0" indent="0" algn="l"/>
                <a:t>Alcool médical</a:t>
              </a:fld>
              <a:endParaRPr lang="fr-FR" sz="1200" b="1" i="0" u="none" strike="noStrike">
                <a:solidFill>
                  <a:schemeClr val="bg2">
                    <a:lumMod val="25000"/>
                  </a:schemeClr>
                </a:solidFill>
                <a:latin typeface="Calibri"/>
                <a:ea typeface="Calibri"/>
                <a:cs typeface="Calibri"/>
              </a:endParaRPr>
            </a:p>
          </xdr:txBody>
        </xdr:sp>
        <xdr:sp macro="" textlink="Data_Dashboard!AI13">
          <xdr:nvSpPr>
            <xdr:cNvPr id="72" name="Rectangle 71"/>
            <xdr:cNvSpPr/>
          </xdr:nvSpPr>
          <xdr:spPr>
            <a:xfrm>
              <a:off x="2114550" y="5269298"/>
              <a:ext cx="1619250" cy="299197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marL="0" indent="0" algn="l"/>
              <a:fld id="{7BDBFDA4-A248-4A34-9325-C4F4188610B0}" type="TxLink">
                <a:rPr lang="en-US" sz="1200" b="1" i="0" u="none" strike="noStrike">
                  <a:solidFill>
                    <a:schemeClr val="bg2">
                      <a:lumMod val="25000"/>
                    </a:schemeClr>
                  </a:solidFill>
                  <a:latin typeface="Calibri"/>
                  <a:ea typeface="Calibri"/>
                  <a:cs typeface="Calibri"/>
                </a:rPr>
                <a:pPr marL="0" indent="0" algn="l"/>
                <a:t> </a:t>
              </a:fld>
              <a:endParaRPr lang="fr-FR" sz="1200" b="1" i="0" u="none" strike="noStrike">
                <a:solidFill>
                  <a:schemeClr val="bg2">
                    <a:lumMod val="25000"/>
                  </a:schemeClr>
                </a:solidFill>
                <a:latin typeface="Calibri"/>
                <a:ea typeface="Calibri"/>
                <a:cs typeface="Calibri"/>
              </a:endParaRPr>
            </a:p>
          </xdr:txBody>
        </xdr:sp>
        <xdr:sp macro="" textlink="Data_Dashboard!AI12">
          <xdr:nvSpPr>
            <xdr:cNvPr id="73" name="Rectangle 72"/>
            <xdr:cNvSpPr/>
          </xdr:nvSpPr>
          <xdr:spPr>
            <a:xfrm>
              <a:off x="2114550" y="4953000"/>
              <a:ext cx="1619250" cy="261985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marL="0" indent="0" algn="l"/>
              <a:fld id="{5AC97714-DF84-48C8-BE93-24A275C6920F}" type="TxLink">
                <a:rPr lang="en-US" sz="1200" b="1" i="0" u="none" strike="noStrike">
                  <a:solidFill>
                    <a:schemeClr val="bg2">
                      <a:lumMod val="25000"/>
                    </a:schemeClr>
                  </a:solidFill>
                  <a:latin typeface="Calibri"/>
                  <a:ea typeface="Calibri"/>
                  <a:cs typeface="Calibri"/>
                </a:rPr>
                <a:pPr marL="0" indent="0" algn="l"/>
                <a:t> </a:t>
              </a:fld>
              <a:endParaRPr lang="fr-FR" sz="1200" b="1" i="0" u="none" strike="noStrike">
                <a:solidFill>
                  <a:schemeClr val="bg2">
                    <a:lumMod val="25000"/>
                  </a:schemeClr>
                </a:solidFill>
                <a:latin typeface="Calibri"/>
                <a:ea typeface="Calibri"/>
                <a:cs typeface="Calibri"/>
              </a:endParaRPr>
            </a:p>
          </xdr:txBody>
        </xdr:sp>
        <xdr:sp macro="" textlink="Data_Dashboard!AJ4">
          <xdr:nvSpPr>
            <xdr:cNvPr id="76" name="Rectangle 75"/>
            <xdr:cNvSpPr/>
          </xdr:nvSpPr>
          <xdr:spPr>
            <a:xfrm>
              <a:off x="3887106" y="2360695"/>
              <a:ext cx="1107623" cy="204107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marL="0" indent="0" algn="ctr"/>
              <a:fld id="{C8986351-2066-4BC0-AD65-9F5AFCF6A02A}" type="TxLink">
                <a:rPr lang="en-US" sz="1200" b="1" i="0" u="none" strike="noStrike">
                  <a:solidFill>
                    <a:schemeClr val="tx1">
                      <a:lumMod val="85000"/>
                      <a:lumOff val="15000"/>
                    </a:schemeClr>
                  </a:solidFill>
                  <a:latin typeface="Calibri"/>
                  <a:ea typeface="Calibri"/>
                  <a:cs typeface="Calibri"/>
                </a:rPr>
                <a:pPr marL="0" indent="0" algn="ctr"/>
                <a:t>17</a:t>
              </a:fld>
              <a:endParaRPr lang="fr-FR" sz="1200" b="1" i="0" u="none" strike="noStrike">
                <a:solidFill>
                  <a:schemeClr val="tx1">
                    <a:lumMod val="85000"/>
                    <a:lumOff val="15000"/>
                  </a:schemeClr>
                </a:solidFill>
                <a:latin typeface="Calibri"/>
                <a:ea typeface="Calibri"/>
                <a:cs typeface="Calibri"/>
              </a:endParaRPr>
            </a:p>
          </xdr:txBody>
        </xdr:sp>
        <xdr:sp macro="" textlink="Data_Dashboard!AJ5">
          <xdr:nvSpPr>
            <xdr:cNvPr id="77" name="Rectangle 76"/>
            <xdr:cNvSpPr/>
          </xdr:nvSpPr>
          <xdr:spPr>
            <a:xfrm>
              <a:off x="3887106" y="2671685"/>
              <a:ext cx="1107623" cy="261882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marL="0" indent="0" algn="ctr"/>
              <a:fld id="{2DEBB453-A8ED-4B9E-86DD-EE3189AB4214}" type="TxLink">
                <a:rPr lang="en-US" sz="1200" b="1" i="0" u="none" strike="noStrike">
                  <a:solidFill>
                    <a:schemeClr val="tx1">
                      <a:lumMod val="85000"/>
                      <a:lumOff val="15000"/>
                    </a:schemeClr>
                  </a:solidFill>
                  <a:latin typeface="Calibri"/>
                  <a:ea typeface="Calibri"/>
                  <a:cs typeface="Calibri"/>
                </a:rPr>
                <a:pPr marL="0" indent="0" algn="ctr"/>
                <a:t>0</a:t>
              </a:fld>
              <a:endParaRPr lang="fr-FR" sz="1200" b="1" i="0" u="none" strike="noStrike">
                <a:solidFill>
                  <a:schemeClr val="tx1">
                    <a:lumMod val="85000"/>
                    <a:lumOff val="15000"/>
                  </a:schemeClr>
                </a:solidFill>
                <a:latin typeface="Calibri"/>
                <a:ea typeface="Calibri"/>
                <a:cs typeface="Calibri"/>
              </a:endParaRPr>
            </a:p>
          </xdr:txBody>
        </xdr:sp>
        <xdr:sp macro="" textlink="Data_Dashboard!AJ6">
          <xdr:nvSpPr>
            <xdr:cNvPr id="78" name="Rectangle 77"/>
            <xdr:cNvSpPr/>
          </xdr:nvSpPr>
          <xdr:spPr>
            <a:xfrm>
              <a:off x="3887106" y="3027798"/>
              <a:ext cx="1107623" cy="204107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marL="0" indent="0" algn="ctr"/>
              <a:fld id="{654D2DE4-4DD8-49B3-81C8-50DB3BD2A6DF}" type="TxLink">
                <a:rPr lang="en-US" sz="1200" b="1" i="0" u="none" strike="noStrike">
                  <a:solidFill>
                    <a:schemeClr val="tx1">
                      <a:lumMod val="85000"/>
                      <a:lumOff val="15000"/>
                    </a:schemeClr>
                  </a:solidFill>
                  <a:latin typeface="Calibri"/>
                  <a:ea typeface="Calibri"/>
                  <a:cs typeface="Calibri"/>
                </a:rPr>
                <a:pPr marL="0" indent="0" algn="ctr"/>
                <a:t>18</a:t>
              </a:fld>
              <a:endParaRPr lang="fr-FR" sz="1200" b="1" i="0" u="none" strike="noStrike">
                <a:solidFill>
                  <a:schemeClr val="tx1">
                    <a:lumMod val="85000"/>
                    <a:lumOff val="15000"/>
                  </a:schemeClr>
                </a:solidFill>
                <a:latin typeface="Calibri"/>
                <a:ea typeface="Calibri"/>
                <a:cs typeface="Calibri"/>
              </a:endParaRPr>
            </a:p>
          </xdr:txBody>
        </xdr:sp>
        <xdr:sp macro="" textlink="Data_Dashboard!AJ7">
          <xdr:nvSpPr>
            <xdr:cNvPr id="79" name="Rectangle 78"/>
            <xdr:cNvSpPr/>
          </xdr:nvSpPr>
          <xdr:spPr>
            <a:xfrm>
              <a:off x="3887106" y="3346952"/>
              <a:ext cx="1107623" cy="204107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marL="0" indent="0" algn="ctr"/>
              <a:fld id="{DCC6DAF4-F41F-434F-AF0A-2CCFB895667F}" type="TxLink">
                <a:rPr lang="en-US" sz="1200" b="1" i="0" u="none" strike="noStrike">
                  <a:solidFill>
                    <a:schemeClr val="tx1">
                      <a:lumMod val="85000"/>
                      <a:lumOff val="15000"/>
                    </a:schemeClr>
                  </a:solidFill>
                  <a:latin typeface="Calibri"/>
                  <a:ea typeface="Calibri"/>
                  <a:cs typeface="Calibri"/>
                </a:rPr>
                <a:pPr marL="0" indent="0" algn="ctr"/>
                <a:t>30</a:t>
              </a:fld>
              <a:endParaRPr lang="fr-FR" sz="1200" b="1" i="0" u="none" strike="noStrike">
                <a:solidFill>
                  <a:schemeClr val="tx1">
                    <a:lumMod val="85000"/>
                    <a:lumOff val="15000"/>
                  </a:schemeClr>
                </a:solidFill>
                <a:latin typeface="Calibri"/>
                <a:ea typeface="Calibri"/>
                <a:cs typeface="Calibri"/>
              </a:endParaRPr>
            </a:p>
          </xdr:txBody>
        </xdr:sp>
        <xdr:sp macro="" textlink="Data_Dashboard!AJ8">
          <xdr:nvSpPr>
            <xdr:cNvPr id="80" name="Rectangle 79"/>
            <xdr:cNvSpPr/>
          </xdr:nvSpPr>
          <xdr:spPr>
            <a:xfrm>
              <a:off x="3887106" y="3723822"/>
              <a:ext cx="1107623" cy="204107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marL="0" indent="0" algn="ctr"/>
              <a:fld id="{50C0555D-9CB0-47D4-A746-BAF286155A9D}" type="TxLink">
                <a:rPr lang="en-US" sz="1200" b="1" i="0" u="none" strike="noStrike">
                  <a:solidFill>
                    <a:schemeClr val="tx1">
                      <a:lumMod val="85000"/>
                      <a:lumOff val="15000"/>
                    </a:schemeClr>
                  </a:solidFill>
                  <a:latin typeface="Calibri"/>
                  <a:ea typeface="Calibri"/>
                  <a:cs typeface="Calibri"/>
                </a:rPr>
                <a:pPr marL="0" indent="0" algn="ctr"/>
                <a:t>20</a:t>
              </a:fld>
              <a:endParaRPr lang="fr-FR" sz="1200" b="1" i="0" u="none" strike="noStrike">
                <a:solidFill>
                  <a:schemeClr val="tx1">
                    <a:lumMod val="85000"/>
                    <a:lumOff val="15000"/>
                  </a:schemeClr>
                </a:solidFill>
                <a:latin typeface="Calibri"/>
                <a:ea typeface="Calibri"/>
                <a:cs typeface="Calibri"/>
              </a:endParaRPr>
            </a:p>
          </xdr:txBody>
        </xdr:sp>
        <xdr:sp macro="" textlink="Data_Dashboard!AJ9">
          <xdr:nvSpPr>
            <xdr:cNvPr id="81" name="Rectangle 80"/>
            <xdr:cNvSpPr/>
          </xdr:nvSpPr>
          <xdr:spPr>
            <a:xfrm>
              <a:off x="3887106" y="4012476"/>
              <a:ext cx="1107623" cy="204107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marL="0" indent="0" algn="ctr"/>
              <a:fld id="{AAC583FE-3A14-4093-8812-A966355CF223}" type="TxLink">
                <a:rPr lang="en-US" sz="1200" b="1" i="0" u="none" strike="noStrike">
                  <a:solidFill>
                    <a:schemeClr val="tx1">
                      <a:lumMod val="85000"/>
                      <a:lumOff val="15000"/>
                    </a:schemeClr>
                  </a:solidFill>
                  <a:latin typeface="Calibri"/>
                  <a:ea typeface="Calibri"/>
                  <a:cs typeface="Calibri"/>
                </a:rPr>
                <a:pPr marL="0" indent="0" algn="ctr"/>
                <a:t>26</a:t>
              </a:fld>
              <a:endParaRPr lang="fr-FR" sz="1200" b="1" i="0" u="none" strike="noStrike">
                <a:solidFill>
                  <a:schemeClr val="tx1">
                    <a:lumMod val="85000"/>
                    <a:lumOff val="15000"/>
                  </a:schemeClr>
                </a:solidFill>
                <a:latin typeface="Calibri"/>
                <a:ea typeface="Calibri"/>
                <a:cs typeface="Calibri"/>
              </a:endParaRPr>
            </a:p>
          </xdr:txBody>
        </xdr:sp>
        <xdr:sp macro="" textlink="Data_Dashboard!AJ10">
          <xdr:nvSpPr>
            <xdr:cNvPr id="82" name="Rectangle 81"/>
            <xdr:cNvSpPr/>
          </xdr:nvSpPr>
          <xdr:spPr>
            <a:xfrm>
              <a:off x="3887106" y="4337414"/>
              <a:ext cx="1107623" cy="204107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marL="0" indent="0" algn="ctr"/>
              <a:fld id="{B1DEFED9-A3E7-4D92-9660-C248F8561FCD}" type="TxLink">
                <a:rPr lang="en-US" sz="1200" b="1" i="0" u="none" strike="noStrike">
                  <a:solidFill>
                    <a:schemeClr val="tx1">
                      <a:lumMod val="85000"/>
                      <a:lumOff val="15000"/>
                    </a:schemeClr>
                  </a:solidFill>
                  <a:latin typeface="Calibri"/>
                  <a:ea typeface="Calibri"/>
                  <a:cs typeface="Calibri"/>
                </a:rPr>
                <a:pPr marL="0" indent="0" algn="ctr"/>
                <a:t>27</a:t>
              </a:fld>
              <a:endParaRPr lang="fr-FR" sz="1200" b="1" i="0" u="none" strike="noStrike">
                <a:solidFill>
                  <a:schemeClr val="tx1">
                    <a:lumMod val="85000"/>
                    <a:lumOff val="15000"/>
                  </a:schemeClr>
                </a:solidFill>
                <a:latin typeface="Calibri"/>
                <a:ea typeface="Calibri"/>
                <a:cs typeface="Calibri"/>
              </a:endParaRPr>
            </a:p>
          </xdr:txBody>
        </xdr:sp>
        <xdr:sp macro="" textlink="Data_Dashboard!AJ11">
          <xdr:nvSpPr>
            <xdr:cNvPr id="83" name="Rectangle 82"/>
            <xdr:cNvSpPr/>
          </xdr:nvSpPr>
          <xdr:spPr>
            <a:xfrm>
              <a:off x="3887106" y="4680042"/>
              <a:ext cx="1107623" cy="204107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marL="0" indent="0" algn="ctr"/>
              <a:fld id="{2DCCAB14-5E8B-4FF8-82C5-43FDE1D7B282}" type="TxLink">
                <a:rPr lang="en-US" sz="1200" b="1" i="0" u="none" strike="noStrike">
                  <a:solidFill>
                    <a:schemeClr val="tx1">
                      <a:lumMod val="85000"/>
                      <a:lumOff val="15000"/>
                    </a:schemeClr>
                  </a:solidFill>
                  <a:latin typeface="Calibri"/>
                  <a:ea typeface="Calibri"/>
                  <a:cs typeface="Calibri"/>
                </a:rPr>
                <a:pPr marL="0" indent="0" algn="ctr"/>
                <a:t>23</a:t>
              </a:fld>
              <a:endParaRPr lang="fr-FR" sz="1200" b="1" i="0" u="none" strike="noStrike">
                <a:solidFill>
                  <a:schemeClr val="tx1">
                    <a:lumMod val="85000"/>
                    <a:lumOff val="15000"/>
                  </a:schemeClr>
                </a:solidFill>
                <a:latin typeface="Calibri"/>
                <a:ea typeface="Calibri"/>
                <a:cs typeface="Calibri"/>
              </a:endParaRPr>
            </a:p>
          </xdr:txBody>
        </xdr:sp>
        <xdr:sp macro="" textlink="Data_Dashboard!AJ13">
          <xdr:nvSpPr>
            <xdr:cNvPr id="84" name="Rectangle 83"/>
            <xdr:cNvSpPr/>
          </xdr:nvSpPr>
          <xdr:spPr>
            <a:xfrm>
              <a:off x="3887106" y="5397952"/>
              <a:ext cx="1107623" cy="204107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marL="0" indent="0" algn="ctr"/>
              <a:fld id="{91EE18B6-A2B8-4C24-9935-7971D3ECE3B0}" type="TxLink">
                <a:rPr lang="en-US" sz="1200" b="1" i="0" u="none" strike="noStrike">
                  <a:solidFill>
                    <a:schemeClr val="tx1">
                      <a:lumMod val="85000"/>
                      <a:lumOff val="15000"/>
                    </a:schemeClr>
                  </a:solidFill>
                  <a:latin typeface="Calibri"/>
                  <a:ea typeface="Calibri"/>
                  <a:cs typeface="Calibri"/>
                </a:rPr>
                <a:pPr marL="0" indent="0" algn="ctr"/>
                <a:t> </a:t>
              </a:fld>
              <a:endParaRPr lang="fr-FR" sz="1200" b="1" i="0" u="none" strike="noStrike">
                <a:solidFill>
                  <a:schemeClr val="tx1">
                    <a:lumMod val="85000"/>
                    <a:lumOff val="15000"/>
                  </a:schemeClr>
                </a:solidFill>
                <a:latin typeface="Calibri"/>
                <a:ea typeface="Calibri"/>
                <a:cs typeface="Calibri"/>
              </a:endParaRPr>
            </a:p>
          </xdr:txBody>
        </xdr:sp>
        <xdr:sp macro="" textlink="Data_Dashboard!AJ12">
          <xdr:nvSpPr>
            <xdr:cNvPr id="85" name="Rectangle 84"/>
            <xdr:cNvSpPr/>
          </xdr:nvSpPr>
          <xdr:spPr>
            <a:xfrm>
              <a:off x="3887106" y="4979243"/>
              <a:ext cx="1107623" cy="235742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marL="0" indent="0" algn="ctr"/>
              <a:fld id="{17DECD72-D73D-44CC-BAAD-3D9D94312554}" type="TxLink">
                <a:rPr lang="en-US" sz="1200" b="1" i="0" u="none" strike="noStrike">
                  <a:solidFill>
                    <a:schemeClr val="tx1">
                      <a:lumMod val="85000"/>
                      <a:lumOff val="15000"/>
                    </a:schemeClr>
                  </a:solidFill>
                  <a:latin typeface="Calibri"/>
                  <a:ea typeface="Calibri"/>
                  <a:cs typeface="Calibri"/>
                </a:rPr>
                <a:pPr marL="0" indent="0" algn="ctr"/>
                <a:t> </a:t>
              </a:fld>
              <a:endParaRPr lang="fr-FR" sz="1200" b="1" i="0" u="none" strike="noStrike">
                <a:solidFill>
                  <a:schemeClr val="tx1">
                    <a:lumMod val="85000"/>
                    <a:lumOff val="15000"/>
                  </a:schemeClr>
                </a:solidFill>
                <a:latin typeface="Calibri"/>
                <a:ea typeface="Calibri"/>
                <a:cs typeface="Calibri"/>
              </a:endParaRPr>
            </a:p>
          </xdr:txBody>
        </xdr:sp>
        <xdr:sp macro="" textlink="Data_Dashboard!AK4">
          <xdr:nvSpPr>
            <xdr:cNvPr id="88" name="Rectangle 87"/>
            <xdr:cNvSpPr/>
          </xdr:nvSpPr>
          <xdr:spPr>
            <a:xfrm>
              <a:off x="5304972" y="2328719"/>
              <a:ext cx="1107623" cy="26805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marL="0" indent="0" algn="ctr"/>
              <a:fld id="{AADAC2CF-FF43-4CCA-BCD8-3AC0F3088F1E}" type="TxLink">
                <a:rPr lang="en-US" sz="1200" b="1" i="0" u="none" strike="noStrike">
                  <a:solidFill>
                    <a:schemeClr val="tx1">
                      <a:lumMod val="85000"/>
                      <a:lumOff val="15000"/>
                    </a:schemeClr>
                  </a:solidFill>
                  <a:latin typeface="Calibri"/>
                  <a:ea typeface="Calibri"/>
                  <a:cs typeface="Calibri"/>
                </a:rPr>
                <a:pPr marL="0" indent="0" algn="ctr"/>
                <a:t>50</a:t>
              </a:fld>
              <a:endParaRPr lang="fr-FR" sz="1200" b="1" i="0" u="none" strike="noStrike">
                <a:solidFill>
                  <a:schemeClr val="tx1">
                    <a:lumMod val="85000"/>
                    <a:lumOff val="15000"/>
                  </a:schemeClr>
                </a:solidFill>
                <a:latin typeface="Calibri"/>
                <a:ea typeface="Calibri"/>
                <a:cs typeface="Calibri"/>
              </a:endParaRPr>
            </a:p>
          </xdr:txBody>
        </xdr:sp>
        <xdr:sp macro="" textlink="Data_Dashboard!AK5">
          <xdr:nvSpPr>
            <xdr:cNvPr id="89" name="Rectangle 88"/>
            <xdr:cNvSpPr/>
          </xdr:nvSpPr>
          <xdr:spPr>
            <a:xfrm>
              <a:off x="5295899" y="2641070"/>
              <a:ext cx="1107623" cy="323113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marL="0" indent="0" algn="ctr"/>
              <a:fld id="{89D34C1F-12F0-42F5-8278-E366EA226446}" type="TxLink">
                <a:rPr lang="en-US" sz="1200" b="1" i="0" u="none" strike="noStrike">
                  <a:solidFill>
                    <a:schemeClr val="tx1">
                      <a:lumMod val="85000"/>
                      <a:lumOff val="15000"/>
                    </a:schemeClr>
                  </a:solidFill>
                  <a:latin typeface="Calibri"/>
                  <a:ea typeface="Calibri"/>
                  <a:cs typeface="Calibri"/>
                </a:rPr>
                <a:pPr marL="0" indent="0" algn="ctr"/>
                <a:t>15</a:t>
              </a:fld>
              <a:endParaRPr lang="fr-FR" sz="1200" b="1" i="0" u="none" strike="noStrike">
                <a:solidFill>
                  <a:schemeClr val="tx1">
                    <a:lumMod val="85000"/>
                    <a:lumOff val="15000"/>
                  </a:schemeClr>
                </a:solidFill>
                <a:latin typeface="Calibri"/>
                <a:ea typeface="Calibri"/>
                <a:cs typeface="Calibri"/>
              </a:endParaRPr>
            </a:p>
          </xdr:txBody>
        </xdr:sp>
        <xdr:sp macro="" textlink="Data_Dashboard!AK6">
          <xdr:nvSpPr>
            <xdr:cNvPr id="90" name="Rectangle 89"/>
            <xdr:cNvSpPr/>
          </xdr:nvSpPr>
          <xdr:spPr>
            <a:xfrm>
              <a:off x="5304972" y="2974732"/>
              <a:ext cx="1107623" cy="257173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marL="0" indent="0" algn="ctr"/>
              <a:fld id="{FA99FF42-37FB-4DAD-9953-DC54BB13F29D}" type="TxLink">
                <a:rPr lang="en-US" sz="1200" b="1" i="0" u="none" strike="noStrike">
                  <a:solidFill>
                    <a:schemeClr val="tx1">
                      <a:lumMod val="85000"/>
                      <a:lumOff val="15000"/>
                    </a:schemeClr>
                  </a:solidFill>
                  <a:latin typeface="Calibri"/>
                  <a:ea typeface="Calibri"/>
                  <a:cs typeface="Calibri"/>
                </a:rPr>
                <a:pPr marL="0" indent="0" algn="ctr"/>
                <a:t>30</a:t>
              </a:fld>
              <a:endParaRPr lang="fr-FR" sz="1200" b="1" i="0" u="none" strike="noStrike">
                <a:solidFill>
                  <a:schemeClr val="tx1">
                    <a:lumMod val="85000"/>
                    <a:lumOff val="15000"/>
                  </a:schemeClr>
                </a:solidFill>
                <a:latin typeface="Calibri"/>
                <a:ea typeface="Calibri"/>
                <a:cs typeface="Calibri"/>
              </a:endParaRPr>
            </a:p>
          </xdr:txBody>
        </xdr:sp>
        <xdr:sp macro="" textlink="Data_Dashboard!AK7">
          <xdr:nvSpPr>
            <xdr:cNvPr id="91" name="Rectangle 90"/>
            <xdr:cNvSpPr/>
          </xdr:nvSpPr>
          <xdr:spPr>
            <a:xfrm>
              <a:off x="5304972" y="3287759"/>
              <a:ext cx="1107623" cy="26805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marL="0" indent="0" algn="ctr"/>
              <a:fld id="{8B653A79-F53B-407F-A157-06E2D262E05E}" type="TxLink">
                <a:rPr lang="en-US" sz="1200" b="1" i="0" u="none" strike="noStrike">
                  <a:solidFill>
                    <a:schemeClr val="tx1">
                      <a:lumMod val="85000"/>
                      <a:lumOff val="15000"/>
                    </a:schemeClr>
                  </a:solidFill>
                  <a:latin typeface="Calibri"/>
                  <a:ea typeface="Calibri"/>
                  <a:cs typeface="Calibri"/>
                </a:rPr>
                <a:pPr marL="0" indent="0" algn="ctr"/>
                <a:t>40</a:t>
              </a:fld>
              <a:endParaRPr lang="fr-FR" sz="1200" b="1" i="0" u="none" strike="noStrike">
                <a:solidFill>
                  <a:schemeClr val="tx1">
                    <a:lumMod val="85000"/>
                    <a:lumOff val="15000"/>
                  </a:schemeClr>
                </a:solidFill>
                <a:latin typeface="Calibri"/>
                <a:ea typeface="Calibri"/>
                <a:cs typeface="Calibri"/>
              </a:endParaRPr>
            </a:p>
          </xdr:txBody>
        </xdr:sp>
        <xdr:sp macro="" textlink="Data_Dashboard!AK8">
          <xdr:nvSpPr>
            <xdr:cNvPr id="92" name="Rectangle 91"/>
            <xdr:cNvSpPr/>
          </xdr:nvSpPr>
          <xdr:spPr>
            <a:xfrm>
              <a:off x="5304972" y="3566434"/>
              <a:ext cx="1107623" cy="26805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marL="0" indent="0" algn="ctr"/>
              <a:fld id="{7F6798E9-131E-4B24-BEB1-7FAF7798E838}" type="TxLink">
                <a:rPr lang="en-US" sz="1200" b="1" i="0" u="none" strike="noStrike">
                  <a:solidFill>
                    <a:schemeClr val="tx1">
                      <a:lumMod val="85000"/>
                      <a:lumOff val="15000"/>
                    </a:schemeClr>
                  </a:solidFill>
                  <a:latin typeface="Calibri"/>
                  <a:ea typeface="Calibri"/>
                  <a:cs typeface="Calibri"/>
                </a:rPr>
                <a:pPr marL="0" indent="0" algn="ctr"/>
                <a:t>25</a:t>
              </a:fld>
              <a:endParaRPr lang="fr-FR" sz="1200" b="1" i="0" u="none" strike="noStrike">
                <a:solidFill>
                  <a:schemeClr val="tx1">
                    <a:lumMod val="85000"/>
                    <a:lumOff val="15000"/>
                  </a:schemeClr>
                </a:solidFill>
                <a:latin typeface="Calibri"/>
                <a:ea typeface="Calibri"/>
                <a:cs typeface="Calibri"/>
              </a:endParaRPr>
            </a:p>
          </xdr:txBody>
        </xdr:sp>
        <xdr:sp macro="" textlink="Data_Dashboard!AK9">
          <xdr:nvSpPr>
            <xdr:cNvPr id="93" name="Rectangle 92"/>
            <xdr:cNvSpPr/>
          </xdr:nvSpPr>
          <xdr:spPr>
            <a:xfrm>
              <a:off x="5304972" y="3919948"/>
              <a:ext cx="1107623" cy="26805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marL="0" indent="0" algn="ctr"/>
              <a:fld id="{0AA55EB8-AFF2-4A97-8444-D0C0B25D9F8C}" type="TxLink">
                <a:rPr lang="en-US" sz="1200" b="1" i="0" u="none" strike="noStrike">
                  <a:solidFill>
                    <a:schemeClr val="tx1">
                      <a:lumMod val="85000"/>
                      <a:lumOff val="15000"/>
                    </a:schemeClr>
                  </a:solidFill>
                  <a:latin typeface="Calibri"/>
                  <a:ea typeface="Calibri"/>
                  <a:cs typeface="Calibri"/>
                </a:rPr>
                <a:pPr marL="0" indent="0" algn="ctr"/>
                <a:t>30</a:t>
              </a:fld>
              <a:endParaRPr lang="fr-FR" sz="1200" b="1" i="0" u="none" strike="noStrike">
                <a:solidFill>
                  <a:schemeClr val="tx1">
                    <a:lumMod val="85000"/>
                    <a:lumOff val="15000"/>
                  </a:schemeClr>
                </a:solidFill>
                <a:latin typeface="Calibri"/>
                <a:ea typeface="Calibri"/>
                <a:cs typeface="Calibri"/>
              </a:endParaRPr>
            </a:p>
          </xdr:txBody>
        </xdr:sp>
        <xdr:sp macro="" textlink="Data_Dashboard!AK10">
          <xdr:nvSpPr>
            <xdr:cNvPr id="94" name="Rectangle 93"/>
            <xdr:cNvSpPr/>
          </xdr:nvSpPr>
          <xdr:spPr>
            <a:xfrm>
              <a:off x="5304972" y="4273462"/>
              <a:ext cx="1107623" cy="26805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marL="0" indent="0" algn="ctr"/>
              <a:fld id="{C3FAE2F3-C3BE-4B6C-93B1-5A0A9A73F89A}" type="TxLink">
                <a:rPr lang="en-US" sz="1200" b="1" i="0" u="none" strike="noStrike">
                  <a:solidFill>
                    <a:schemeClr val="tx1">
                      <a:lumMod val="85000"/>
                      <a:lumOff val="15000"/>
                    </a:schemeClr>
                  </a:solidFill>
                  <a:latin typeface="Calibri"/>
                  <a:ea typeface="Calibri"/>
                  <a:cs typeface="Calibri"/>
                </a:rPr>
                <a:pPr marL="0" indent="0" algn="ctr"/>
                <a:t>30</a:t>
              </a:fld>
              <a:endParaRPr lang="fr-FR" sz="1200" b="1" i="0" u="none" strike="noStrike">
                <a:solidFill>
                  <a:schemeClr val="tx1">
                    <a:lumMod val="85000"/>
                    <a:lumOff val="15000"/>
                  </a:schemeClr>
                </a:solidFill>
                <a:latin typeface="Calibri"/>
                <a:ea typeface="Calibri"/>
                <a:cs typeface="Calibri"/>
              </a:endParaRPr>
            </a:p>
          </xdr:txBody>
        </xdr:sp>
        <xdr:sp macro="" textlink="Data_Dashboard!AK11">
          <xdr:nvSpPr>
            <xdr:cNvPr id="95" name="Rectangle 94"/>
            <xdr:cNvSpPr/>
          </xdr:nvSpPr>
          <xdr:spPr>
            <a:xfrm>
              <a:off x="5304972" y="4626976"/>
              <a:ext cx="1107623" cy="26805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marL="0" indent="0" algn="ctr"/>
              <a:fld id="{780C6C41-4112-4DFE-8BBC-515313F2B26F}" type="TxLink">
                <a:rPr lang="en-US" sz="1200" b="1" i="0" u="none" strike="noStrike">
                  <a:solidFill>
                    <a:schemeClr val="tx1">
                      <a:lumMod val="85000"/>
                      <a:lumOff val="15000"/>
                    </a:schemeClr>
                  </a:solidFill>
                  <a:latin typeface="Calibri"/>
                  <a:ea typeface="Calibri"/>
                  <a:cs typeface="Calibri"/>
                </a:rPr>
                <a:pPr marL="0" indent="0" algn="ctr"/>
                <a:t>25</a:t>
              </a:fld>
              <a:endParaRPr lang="fr-FR" sz="1200" b="1" i="0" u="none" strike="noStrike">
                <a:solidFill>
                  <a:schemeClr val="tx1">
                    <a:lumMod val="85000"/>
                    <a:lumOff val="15000"/>
                  </a:schemeClr>
                </a:solidFill>
                <a:latin typeface="Calibri"/>
                <a:ea typeface="Calibri"/>
                <a:cs typeface="Calibri"/>
              </a:endParaRPr>
            </a:p>
          </xdr:txBody>
        </xdr:sp>
        <xdr:sp macro="" textlink="Data_Dashboard!AK13">
          <xdr:nvSpPr>
            <xdr:cNvPr id="96" name="Rectangle 95"/>
            <xdr:cNvSpPr/>
          </xdr:nvSpPr>
          <xdr:spPr>
            <a:xfrm>
              <a:off x="5304972" y="5334000"/>
              <a:ext cx="1107623" cy="26805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marL="0" indent="0" algn="ctr"/>
              <a:fld id="{CA149515-E60D-47DD-B47B-1FD22F317275}" type="TxLink">
                <a:rPr lang="en-US" sz="1200" b="1" i="0" u="none" strike="noStrike">
                  <a:solidFill>
                    <a:schemeClr val="tx1">
                      <a:lumMod val="85000"/>
                      <a:lumOff val="15000"/>
                    </a:schemeClr>
                  </a:solidFill>
                  <a:latin typeface="Calibri"/>
                  <a:ea typeface="Calibri"/>
                  <a:cs typeface="Calibri"/>
                </a:rPr>
                <a:pPr marL="0" indent="0" algn="ctr"/>
                <a:t> </a:t>
              </a:fld>
              <a:endParaRPr lang="fr-FR" sz="1200" b="1" i="0" u="none" strike="noStrike">
                <a:solidFill>
                  <a:schemeClr val="tx1">
                    <a:lumMod val="85000"/>
                    <a:lumOff val="15000"/>
                  </a:schemeClr>
                </a:solidFill>
                <a:latin typeface="Calibri"/>
                <a:ea typeface="Calibri"/>
                <a:cs typeface="Calibri"/>
              </a:endParaRPr>
            </a:p>
          </xdr:txBody>
        </xdr:sp>
        <xdr:sp macro="" textlink="Data_Dashboard!AK12">
          <xdr:nvSpPr>
            <xdr:cNvPr id="97" name="Rectangle 96"/>
            <xdr:cNvSpPr/>
          </xdr:nvSpPr>
          <xdr:spPr>
            <a:xfrm>
              <a:off x="5304972" y="4980490"/>
              <a:ext cx="1107623" cy="26805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marL="0" indent="0" algn="ctr"/>
              <a:fld id="{FA95CFEF-E213-4869-AB7B-EBA72DFA0AA6}" type="TxLink">
                <a:rPr lang="en-US" sz="1200" b="1" i="0" u="none" strike="noStrike">
                  <a:solidFill>
                    <a:schemeClr val="tx1">
                      <a:lumMod val="85000"/>
                      <a:lumOff val="15000"/>
                    </a:schemeClr>
                  </a:solidFill>
                  <a:latin typeface="Calibri"/>
                  <a:ea typeface="Calibri"/>
                  <a:cs typeface="Calibri"/>
                </a:rPr>
                <a:pPr marL="0" indent="0" algn="ctr"/>
                <a:t> </a:t>
              </a:fld>
              <a:endParaRPr lang="fr-FR" sz="1200" b="1" i="0" u="none" strike="noStrike">
                <a:solidFill>
                  <a:schemeClr val="tx1">
                    <a:lumMod val="85000"/>
                    <a:lumOff val="15000"/>
                  </a:schemeClr>
                </a:solidFill>
                <a:latin typeface="Calibri"/>
                <a:ea typeface="Calibri"/>
                <a:cs typeface="Calibri"/>
              </a:endParaRPr>
            </a:p>
          </xdr:txBody>
        </xdr:sp>
        <xdr:sp macro="" textlink="Data_Dashboard!AL4">
          <xdr:nvSpPr>
            <xdr:cNvPr id="100" name="Rectangle 99"/>
            <xdr:cNvSpPr/>
          </xdr:nvSpPr>
          <xdr:spPr>
            <a:xfrm>
              <a:off x="6634844" y="2360695"/>
              <a:ext cx="1107623" cy="204107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marL="0" indent="0" algn="ctr"/>
              <a:fld id="{ABB10071-1260-409F-AA3B-1520A4C729D3}" type="TxLink">
                <a:rPr lang="en-US" sz="1200" b="1" i="0" u="none" strike="noStrike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pPr marL="0" indent="0" algn="ctr"/>
                <a:t>33</a:t>
              </a:fld>
              <a:endParaRPr lang="fr-FR" sz="1200" b="1" i="0" u="none" strike="noStrike">
                <a:solidFill>
                  <a:srgbClr val="FF0000"/>
                </a:solidFill>
                <a:latin typeface="Calibri"/>
                <a:ea typeface="Calibri"/>
                <a:cs typeface="Calibri"/>
              </a:endParaRPr>
            </a:p>
          </xdr:txBody>
        </xdr:sp>
        <xdr:sp macro="" textlink="Data_Dashboard!AL5">
          <xdr:nvSpPr>
            <xdr:cNvPr id="101" name="Rectangle 100"/>
            <xdr:cNvSpPr/>
          </xdr:nvSpPr>
          <xdr:spPr>
            <a:xfrm>
              <a:off x="6653892" y="2700573"/>
              <a:ext cx="1107623" cy="204107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marL="0" indent="0" algn="ctr"/>
              <a:fld id="{7908D1FA-CE52-4F00-90D6-E2F088E0BF41}" type="TxLink">
                <a:rPr lang="en-US" sz="1200" b="1" i="0" u="none" strike="noStrike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pPr marL="0" indent="0" algn="ctr"/>
                <a:t>15</a:t>
              </a:fld>
              <a:endParaRPr lang="fr-FR" sz="1200" b="1" i="0" u="none" strike="noStrike">
                <a:solidFill>
                  <a:srgbClr val="FF0000"/>
                </a:solidFill>
                <a:latin typeface="Calibri"/>
                <a:ea typeface="Calibri"/>
                <a:cs typeface="Calibri"/>
              </a:endParaRPr>
            </a:p>
          </xdr:txBody>
        </xdr:sp>
        <xdr:sp macro="" textlink="Data_Dashboard!AL6">
          <xdr:nvSpPr>
            <xdr:cNvPr id="102" name="Rectangle 101"/>
            <xdr:cNvSpPr/>
          </xdr:nvSpPr>
          <xdr:spPr>
            <a:xfrm>
              <a:off x="6634844" y="3008426"/>
              <a:ext cx="1107623" cy="204107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marL="0" indent="0" algn="ctr"/>
              <a:fld id="{F32BC8A3-CE0C-4765-9ADB-69D2C85E4C23}" type="TxLink">
                <a:rPr lang="en-US" sz="1200" b="1" i="0" u="none" strike="noStrike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pPr marL="0" indent="0" algn="ctr"/>
                <a:t>12</a:t>
              </a:fld>
              <a:endParaRPr lang="fr-FR" sz="1200" b="1" i="0" u="none" strike="noStrike">
                <a:solidFill>
                  <a:srgbClr val="FF0000"/>
                </a:solidFill>
                <a:latin typeface="Calibri"/>
                <a:ea typeface="Calibri"/>
                <a:cs typeface="Calibri"/>
              </a:endParaRPr>
            </a:p>
          </xdr:txBody>
        </xdr:sp>
        <xdr:sp macro="" textlink="Data_Dashboard!AL7">
          <xdr:nvSpPr>
            <xdr:cNvPr id="103" name="Rectangle 102"/>
            <xdr:cNvSpPr/>
          </xdr:nvSpPr>
          <xdr:spPr>
            <a:xfrm>
              <a:off x="6653892" y="3340825"/>
              <a:ext cx="1107623" cy="204107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marL="0" indent="0" algn="ctr"/>
              <a:fld id="{1CB331D7-E198-4961-AB82-E2827C1F238A}" type="TxLink">
                <a:rPr lang="en-US" sz="1200" b="1" i="0" u="none" strike="noStrike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pPr marL="0" indent="0" algn="ctr"/>
                <a:t>10</a:t>
              </a:fld>
              <a:endParaRPr lang="fr-FR" sz="1200" b="1" i="0" u="none" strike="noStrike">
                <a:solidFill>
                  <a:srgbClr val="FF0000"/>
                </a:solidFill>
                <a:latin typeface="Calibri"/>
                <a:ea typeface="Calibri"/>
                <a:cs typeface="Calibri"/>
              </a:endParaRPr>
            </a:p>
          </xdr:txBody>
        </xdr:sp>
        <xdr:sp macro="" textlink="Data_Dashboard!AL8">
          <xdr:nvSpPr>
            <xdr:cNvPr id="104" name="Rectangle 103"/>
            <xdr:cNvSpPr/>
          </xdr:nvSpPr>
          <xdr:spPr>
            <a:xfrm>
              <a:off x="6653892" y="3619500"/>
              <a:ext cx="1107623" cy="204107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marL="0" indent="0" algn="ctr"/>
              <a:fld id="{A9766F35-8CA7-4E21-BD17-99013104175F}" type="TxLink">
                <a:rPr lang="en-US" sz="1200" b="1" i="0" u="none" strike="noStrike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pPr marL="0" indent="0" algn="ctr"/>
                <a:t>5</a:t>
              </a:fld>
              <a:endParaRPr lang="fr-FR" sz="1200" b="1" i="0" u="none" strike="noStrike">
                <a:solidFill>
                  <a:srgbClr val="FF0000"/>
                </a:solidFill>
                <a:latin typeface="Calibri"/>
                <a:ea typeface="Calibri"/>
                <a:cs typeface="Calibri"/>
              </a:endParaRPr>
            </a:p>
          </xdr:txBody>
        </xdr:sp>
        <xdr:sp macro="" textlink="Data_Dashboard!AL9">
          <xdr:nvSpPr>
            <xdr:cNvPr id="105" name="Rectangle 104"/>
            <xdr:cNvSpPr/>
          </xdr:nvSpPr>
          <xdr:spPr>
            <a:xfrm>
              <a:off x="6653892" y="3973014"/>
              <a:ext cx="1107623" cy="204107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marL="0" indent="0" algn="ctr"/>
              <a:fld id="{2AAFE5DF-8544-4249-A650-28423B45DE92}" type="TxLink">
                <a:rPr lang="en-US" sz="1200" b="1" i="0" u="none" strike="noStrike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pPr marL="0" indent="0" algn="ctr"/>
                <a:t>4</a:t>
              </a:fld>
              <a:endParaRPr lang="fr-FR" sz="1200" b="1" i="0" u="none" strike="noStrike">
                <a:solidFill>
                  <a:srgbClr val="FF0000"/>
                </a:solidFill>
                <a:latin typeface="Calibri"/>
                <a:ea typeface="Calibri"/>
                <a:cs typeface="Calibri"/>
              </a:endParaRPr>
            </a:p>
          </xdr:txBody>
        </xdr:sp>
        <xdr:sp macro="" textlink="Data_Dashboard!AL10">
          <xdr:nvSpPr>
            <xdr:cNvPr id="106" name="Rectangle 105"/>
            <xdr:cNvSpPr/>
          </xdr:nvSpPr>
          <xdr:spPr>
            <a:xfrm>
              <a:off x="6653892" y="4326528"/>
              <a:ext cx="1107623" cy="204107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marL="0" indent="0" algn="ctr"/>
              <a:fld id="{A9A2FF12-5A55-45D4-B913-6ED4F76D546D}" type="TxLink">
                <a:rPr lang="en-US" sz="1200" b="1" i="0" u="none" strike="noStrike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pPr marL="0" indent="0" algn="ctr"/>
                <a:t>3</a:t>
              </a:fld>
              <a:endParaRPr lang="fr-FR" sz="1200" b="1" i="0" u="none" strike="noStrike">
                <a:solidFill>
                  <a:srgbClr val="FF0000"/>
                </a:solidFill>
                <a:latin typeface="Calibri"/>
                <a:ea typeface="Calibri"/>
                <a:cs typeface="Calibri"/>
              </a:endParaRPr>
            </a:p>
          </xdr:txBody>
        </xdr:sp>
        <xdr:sp macro="" textlink="Data_Dashboard!AL11">
          <xdr:nvSpPr>
            <xdr:cNvPr id="107" name="Rectangle 106"/>
            <xdr:cNvSpPr/>
          </xdr:nvSpPr>
          <xdr:spPr>
            <a:xfrm>
              <a:off x="6653892" y="4680042"/>
              <a:ext cx="1107623" cy="204107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marL="0" indent="0" algn="ctr"/>
              <a:fld id="{ADE0FAAA-0239-4196-88CC-07E5E8CCCEEF}" type="TxLink">
                <a:rPr lang="en-US" sz="1200" b="1" i="0" u="none" strike="noStrike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pPr marL="0" indent="0" algn="ctr"/>
                <a:t>2</a:t>
              </a:fld>
              <a:endParaRPr lang="fr-FR" sz="1200" b="1" i="0" u="none" strike="noStrike">
                <a:solidFill>
                  <a:srgbClr val="FF0000"/>
                </a:solidFill>
                <a:latin typeface="Calibri"/>
                <a:ea typeface="Calibri"/>
                <a:cs typeface="Calibri"/>
              </a:endParaRPr>
            </a:p>
          </xdr:txBody>
        </xdr:sp>
        <xdr:sp macro="" textlink="Data_Dashboard!AL13">
          <xdr:nvSpPr>
            <xdr:cNvPr id="108" name="Rectangle 107"/>
            <xdr:cNvSpPr/>
          </xdr:nvSpPr>
          <xdr:spPr>
            <a:xfrm>
              <a:off x="6653892" y="5387066"/>
              <a:ext cx="1107623" cy="204107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marL="0" indent="0" algn="ctr"/>
              <a:fld id="{FCEB4F3D-6C61-4B6B-B9CB-D1AA51B55690}" type="TxLink">
                <a:rPr lang="en-US" sz="1200" b="1" i="0" u="none" strike="noStrike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pPr marL="0" indent="0" algn="ctr"/>
                <a:t> </a:t>
              </a:fld>
              <a:endParaRPr lang="fr-FR" sz="1200" b="1" i="0" u="none" strike="noStrike">
                <a:solidFill>
                  <a:srgbClr val="FF0000"/>
                </a:solidFill>
                <a:latin typeface="Calibri"/>
                <a:ea typeface="Calibri"/>
                <a:cs typeface="Calibri"/>
              </a:endParaRPr>
            </a:p>
          </xdr:txBody>
        </xdr:sp>
        <xdr:sp macro="" textlink="Data_Dashboard!AL12">
          <xdr:nvSpPr>
            <xdr:cNvPr id="109" name="Rectangle 108"/>
            <xdr:cNvSpPr/>
          </xdr:nvSpPr>
          <xdr:spPr>
            <a:xfrm>
              <a:off x="6653892" y="5033556"/>
              <a:ext cx="1107623" cy="204107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marL="0" indent="0" algn="ctr"/>
              <a:fld id="{21CD2F75-0D62-42A5-A262-73C79C6A68B4}" type="TxLink">
                <a:rPr lang="en-US" sz="1200" b="1" i="0" u="none" strike="noStrike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pPr marL="0" indent="0" algn="ctr"/>
                <a:t> </a:t>
              </a:fld>
              <a:endParaRPr lang="fr-FR" sz="1200" b="1" i="0" u="none" strike="noStrike">
                <a:solidFill>
                  <a:srgbClr val="FF0000"/>
                </a:solidFill>
                <a:latin typeface="Calibri"/>
                <a:ea typeface="Calibri"/>
                <a:cs typeface="Calibri"/>
              </a:endParaRPr>
            </a:p>
          </xdr:txBody>
        </xdr:sp>
        <xdr:grpSp>
          <xdr:nvGrpSpPr>
            <xdr:cNvPr id="21" name="Groupe 20"/>
            <xdr:cNvGrpSpPr/>
          </xdr:nvGrpSpPr>
          <xdr:grpSpPr>
            <a:xfrm>
              <a:off x="2078420" y="1632854"/>
              <a:ext cx="5718474" cy="3619503"/>
              <a:chOff x="2078420" y="1632854"/>
              <a:chExt cx="5718474" cy="3619503"/>
            </a:xfrm>
          </xdr:grpSpPr>
          <xdr:grpSp>
            <xdr:nvGrpSpPr>
              <xdr:cNvPr id="17" name="Groupe 16"/>
              <xdr:cNvGrpSpPr/>
            </xdr:nvGrpSpPr>
            <xdr:grpSpPr>
              <a:xfrm>
                <a:off x="2109108" y="2322714"/>
                <a:ext cx="5687786" cy="2929643"/>
                <a:chOff x="2307771" y="2259090"/>
                <a:chExt cx="4776107" cy="3186489"/>
              </a:xfrm>
            </xdr:grpSpPr>
            <xdr:cxnSp macro="">
              <xdr:nvCxnSpPr>
                <xdr:cNvPr id="9" name="Connecteur droit 8"/>
                <xdr:cNvCxnSpPr/>
              </xdr:nvCxnSpPr>
              <xdr:spPr>
                <a:xfrm>
                  <a:off x="2307771" y="2259090"/>
                  <a:ext cx="4776107" cy="0"/>
                </a:xfrm>
                <a:prstGeom prst="line">
                  <a:avLst/>
                </a:prstGeom>
              </xdr:spPr>
              <xdr:style>
                <a:lnRef idx="1">
                  <a:schemeClr val="dk1"/>
                </a:lnRef>
                <a:fillRef idx="0">
                  <a:schemeClr val="dk1"/>
                </a:fillRef>
                <a:effectRef idx="0">
                  <a:schemeClr val="dk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33" name="Connecteur droit 32"/>
                <xdr:cNvCxnSpPr/>
              </xdr:nvCxnSpPr>
              <xdr:spPr>
                <a:xfrm>
                  <a:off x="2307771" y="2564493"/>
                  <a:ext cx="4776107" cy="0"/>
                </a:xfrm>
                <a:prstGeom prst="line">
                  <a:avLst/>
                </a:prstGeom>
              </xdr:spPr>
              <xdr:style>
                <a:lnRef idx="1">
                  <a:schemeClr val="dk1"/>
                </a:lnRef>
                <a:fillRef idx="0">
                  <a:schemeClr val="dk1"/>
                </a:fillRef>
                <a:effectRef idx="0">
                  <a:schemeClr val="dk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35" name="Connecteur droit 34"/>
                <xdr:cNvCxnSpPr/>
              </xdr:nvCxnSpPr>
              <xdr:spPr>
                <a:xfrm>
                  <a:off x="2307771" y="2924629"/>
                  <a:ext cx="4776107" cy="0"/>
                </a:xfrm>
                <a:prstGeom prst="line">
                  <a:avLst/>
                </a:prstGeom>
              </xdr:spPr>
              <xdr:style>
                <a:lnRef idx="1">
                  <a:schemeClr val="dk1"/>
                </a:lnRef>
                <a:fillRef idx="0">
                  <a:schemeClr val="dk1"/>
                </a:fillRef>
                <a:effectRef idx="0">
                  <a:schemeClr val="dk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38" name="Connecteur droit 37"/>
                <xdr:cNvCxnSpPr/>
              </xdr:nvCxnSpPr>
              <xdr:spPr>
                <a:xfrm>
                  <a:off x="2307771" y="3284765"/>
                  <a:ext cx="4776107" cy="0"/>
                </a:xfrm>
                <a:prstGeom prst="line">
                  <a:avLst/>
                </a:prstGeom>
              </xdr:spPr>
              <xdr:style>
                <a:lnRef idx="1">
                  <a:schemeClr val="dk1"/>
                </a:lnRef>
                <a:fillRef idx="0">
                  <a:schemeClr val="dk1"/>
                </a:fillRef>
                <a:effectRef idx="0">
                  <a:schemeClr val="dk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42" name="Connecteur droit 41"/>
                <xdr:cNvCxnSpPr/>
              </xdr:nvCxnSpPr>
              <xdr:spPr>
                <a:xfrm>
                  <a:off x="2307771" y="4725309"/>
                  <a:ext cx="4776107" cy="0"/>
                </a:xfrm>
                <a:prstGeom prst="line">
                  <a:avLst/>
                </a:prstGeom>
              </xdr:spPr>
              <xdr:style>
                <a:lnRef idx="1">
                  <a:schemeClr val="dk1"/>
                </a:lnRef>
                <a:fillRef idx="0">
                  <a:schemeClr val="dk1"/>
                </a:fillRef>
                <a:effectRef idx="0">
                  <a:schemeClr val="dk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43" name="Connecteur droit 42"/>
                <xdr:cNvCxnSpPr/>
              </xdr:nvCxnSpPr>
              <xdr:spPr>
                <a:xfrm>
                  <a:off x="2307771" y="5085445"/>
                  <a:ext cx="4776107" cy="0"/>
                </a:xfrm>
                <a:prstGeom prst="line">
                  <a:avLst/>
                </a:prstGeom>
              </xdr:spPr>
              <xdr:style>
                <a:lnRef idx="1">
                  <a:schemeClr val="dk1"/>
                </a:lnRef>
                <a:fillRef idx="0">
                  <a:schemeClr val="dk1"/>
                </a:fillRef>
                <a:effectRef idx="0">
                  <a:schemeClr val="dk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49" name="Connecteur droit 48"/>
                <xdr:cNvCxnSpPr/>
              </xdr:nvCxnSpPr>
              <xdr:spPr>
                <a:xfrm>
                  <a:off x="2307771" y="3644901"/>
                  <a:ext cx="4776107" cy="0"/>
                </a:xfrm>
                <a:prstGeom prst="line">
                  <a:avLst/>
                </a:prstGeom>
              </xdr:spPr>
              <xdr:style>
                <a:lnRef idx="1">
                  <a:schemeClr val="dk1"/>
                </a:lnRef>
                <a:fillRef idx="0">
                  <a:schemeClr val="dk1"/>
                </a:fillRef>
                <a:effectRef idx="0">
                  <a:schemeClr val="dk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6" name="Connecteur droit 55"/>
                <xdr:cNvCxnSpPr/>
              </xdr:nvCxnSpPr>
              <xdr:spPr>
                <a:xfrm>
                  <a:off x="2307771" y="4005037"/>
                  <a:ext cx="4776107" cy="0"/>
                </a:xfrm>
                <a:prstGeom prst="line">
                  <a:avLst/>
                </a:prstGeom>
              </xdr:spPr>
              <xdr:style>
                <a:lnRef idx="1">
                  <a:schemeClr val="dk1"/>
                </a:lnRef>
                <a:fillRef idx="0">
                  <a:schemeClr val="dk1"/>
                </a:fillRef>
                <a:effectRef idx="0">
                  <a:schemeClr val="dk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7" name="Connecteur droit 56"/>
                <xdr:cNvCxnSpPr/>
              </xdr:nvCxnSpPr>
              <xdr:spPr>
                <a:xfrm>
                  <a:off x="2307771" y="4365173"/>
                  <a:ext cx="4776107" cy="0"/>
                </a:xfrm>
                <a:prstGeom prst="line">
                  <a:avLst/>
                </a:prstGeom>
              </xdr:spPr>
              <xdr:style>
                <a:lnRef idx="1">
                  <a:schemeClr val="dk1"/>
                </a:lnRef>
                <a:fillRef idx="0">
                  <a:schemeClr val="dk1"/>
                </a:fillRef>
                <a:effectRef idx="0">
                  <a:schemeClr val="dk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60" name="Connecteur droit 59"/>
                <xdr:cNvCxnSpPr/>
              </xdr:nvCxnSpPr>
              <xdr:spPr>
                <a:xfrm>
                  <a:off x="2307771" y="5445579"/>
                  <a:ext cx="4776107" cy="0"/>
                </a:xfrm>
                <a:prstGeom prst="line">
                  <a:avLst/>
                </a:prstGeom>
              </xdr:spPr>
              <xdr:style>
                <a:lnRef idx="1">
                  <a:schemeClr val="dk1"/>
                </a:lnRef>
                <a:fillRef idx="0">
                  <a:schemeClr val="dk1"/>
                </a:fillRef>
                <a:effectRef idx="0">
                  <a:schemeClr val="dk1"/>
                </a:effectRef>
                <a:fontRef idx="minor">
                  <a:schemeClr val="tx1"/>
                </a:fontRef>
              </xdr:style>
            </xdr:cxnSp>
          </xdr:grpSp>
          <xdr:grpSp>
            <xdr:nvGrpSpPr>
              <xdr:cNvPr id="14" name="Groupe 13"/>
              <xdr:cNvGrpSpPr/>
            </xdr:nvGrpSpPr>
            <xdr:grpSpPr>
              <a:xfrm>
                <a:off x="2078420" y="1981640"/>
                <a:ext cx="5718473" cy="409643"/>
                <a:chOff x="2160063" y="1874560"/>
                <a:chExt cx="5718473" cy="370629"/>
              </a:xfrm>
            </xdr:grpSpPr>
            <xdr:sp macro="" textlink="">
              <xdr:nvSpPr>
                <xdr:cNvPr id="8" name="Rectangle 7"/>
                <xdr:cNvSpPr/>
              </xdr:nvSpPr>
              <xdr:spPr>
                <a:xfrm>
                  <a:off x="2160063" y="1917313"/>
                  <a:ext cx="1619250" cy="258534"/>
                </a:xfrm>
                <a:prstGeom prst="rect">
                  <a:avLst/>
                </a:prstGeom>
                <a:noFill/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r>
                    <a:rPr lang="en-US" sz="1400" b="1">
                      <a:solidFill>
                        <a:schemeClr val="tx1"/>
                      </a:solidFill>
                    </a:rPr>
                    <a:t>Désignations</a:t>
                  </a:r>
                </a:p>
              </xdr:txBody>
            </xdr:sp>
            <xdr:sp macro="" textlink="">
              <xdr:nvSpPr>
                <xdr:cNvPr id="75" name="Rectangle 74"/>
                <xdr:cNvSpPr/>
              </xdr:nvSpPr>
              <xdr:spPr>
                <a:xfrm>
                  <a:off x="3968749" y="1896837"/>
                  <a:ext cx="1107623" cy="247648"/>
                </a:xfrm>
                <a:prstGeom prst="rect">
                  <a:avLst/>
                </a:prstGeom>
                <a:noFill/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marL="0" indent="0" algn="l"/>
                  <a:r>
                    <a:rPr lang="fr-FR" sz="1400" b="1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rPr>
                    <a:t>Stock Actuel</a:t>
                  </a:r>
                </a:p>
              </xdr:txBody>
            </xdr:sp>
            <xdr:sp macro="" textlink="">
              <xdr:nvSpPr>
                <xdr:cNvPr id="87" name="Rectangle 86"/>
                <xdr:cNvSpPr/>
              </xdr:nvSpPr>
              <xdr:spPr>
                <a:xfrm>
                  <a:off x="5320868" y="1874560"/>
                  <a:ext cx="1107623" cy="370629"/>
                </a:xfrm>
                <a:prstGeom prst="rect">
                  <a:avLst/>
                </a:prstGeom>
                <a:noFill/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marL="0" indent="0" algn="l"/>
                  <a:r>
                    <a:rPr lang="fr-FR" sz="1400" b="1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rPr>
                    <a:t>stock minim</a:t>
                  </a:r>
                </a:p>
              </xdr:txBody>
            </xdr:sp>
            <xdr:sp macro="" textlink="">
              <xdr:nvSpPr>
                <xdr:cNvPr id="99" name="Rectangle 98"/>
                <xdr:cNvSpPr/>
              </xdr:nvSpPr>
              <xdr:spPr>
                <a:xfrm>
                  <a:off x="6653892" y="1874560"/>
                  <a:ext cx="1224644" cy="301286"/>
                </a:xfrm>
                <a:prstGeom prst="rect">
                  <a:avLst/>
                </a:prstGeom>
                <a:noFill/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marL="0" indent="0" algn="l"/>
                  <a:r>
                    <a:rPr lang="fr-FR" sz="1400" b="1">
                      <a:solidFill>
                        <a:srgbClr val="FF0000"/>
                      </a:solidFill>
                      <a:latin typeface="+mn-lt"/>
                      <a:ea typeface="+mn-ea"/>
                      <a:cs typeface="+mn-cs"/>
                    </a:rPr>
                    <a:t>Qte suggérée</a:t>
                  </a:r>
                </a:p>
              </xdr:txBody>
            </xdr:sp>
          </xdr:grpSp>
          <xdr:sp macro="" textlink="">
            <xdr:nvSpPr>
              <xdr:cNvPr id="12" name="Rectangle 11"/>
              <xdr:cNvSpPr/>
            </xdr:nvSpPr>
            <xdr:spPr>
              <a:xfrm>
                <a:off x="2095502" y="1632854"/>
                <a:ext cx="3048000" cy="368321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r>
                  <a:rPr lang="fr-FR" sz="1600" b="1">
                    <a:solidFill>
                      <a:sysClr val="windowText" lastClr="000000"/>
                    </a:solidFill>
                    <a:latin typeface="+mj-lt"/>
                  </a:rPr>
                  <a:t>Top</a:t>
                </a:r>
                <a:r>
                  <a:rPr lang="fr-FR" sz="1600" b="1" baseline="0">
                    <a:solidFill>
                      <a:sysClr val="windowText" lastClr="000000"/>
                    </a:solidFill>
                    <a:latin typeface="+mj-lt"/>
                  </a:rPr>
                  <a:t> 10 proposition de commande</a:t>
                </a:r>
                <a:endParaRPr lang="fr-FR" sz="1600" b="1">
                  <a:solidFill>
                    <a:sysClr val="windowText" lastClr="000000"/>
                  </a:solidFill>
                  <a:latin typeface="+mj-lt"/>
                </a:endParaRPr>
              </a:p>
            </xdr:txBody>
          </xdr:sp>
        </xdr:grpSp>
      </xdr:grpSp>
    </xdr:grpSp>
    <xdr:clientData/>
  </xdr:twoCellAnchor>
  <xdr:twoCellAnchor>
    <xdr:from>
      <xdr:col>9</xdr:col>
      <xdr:colOff>693963</xdr:colOff>
      <xdr:row>8</xdr:row>
      <xdr:rowOff>0</xdr:rowOff>
    </xdr:from>
    <xdr:to>
      <xdr:col>16</xdr:col>
      <xdr:colOff>389218</xdr:colOff>
      <xdr:row>22</xdr:row>
      <xdr:rowOff>176893</xdr:rowOff>
    </xdr:to>
    <xdr:sp macro="" textlink="">
      <xdr:nvSpPr>
        <xdr:cNvPr id="113" name="Rectangle à coins arrondis 112"/>
        <xdr:cNvSpPr/>
      </xdr:nvSpPr>
      <xdr:spPr>
        <a:xfrm>
          <a:off x="7885338" y="1524000"/>
          <a:ext cx="5029255" cy="2843893"/>
        </a:xfrm>
        <a:prstGeom prst="roundRect">
          <a:avLst>
            <a:gd name="adj" fmla="val 9088"/>
          </a:avLst>
        </a:prstGeom>
        <a:solidFill>
          <a:sysClr val="window" lastClr="FFFFFF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10</xdr:col>
      <xdr:colOff>0</xdr:colOff>
      <xdr:row>24</xdr:row>
      <xdr:rowOff>0</xdr:rowOff>
    </xdr:from>
    <xdr:to>
      <xdr:col>16</xdr:col>
      <xdr:colOff>457255</xdr:colOff>
      <xdr:row>42</xdr:row>
      <xdr:rowOff>153293</xdr:rowOff>
    </xdr:to>
    <xdr:sp macro="" textlink="">
      <xdr:nvSpPr>
        <xdr:cNvPr id="114" name="Rectangle à coins arrondis 113"/>
        <xdr:cNvSpPr/>
      </xdr:nvSpPr>
      <xdr:spPr>
        <a:xfrm>
          <a:off x="7953375" y="4572000"/>
          <a:ext cx="5029255" cy="3582293"/>
        </a:xfrm>
        <a:prstGeom prst="roundRect">
          <a:avLst>
            <a:gd name="adj" fmla="val 9088"/>
          </a:avLst>
        </a:prstGeom>
        <a:solidFill>
          <a:sysClr val="window" lastClr="FFFFFF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108856</xdr:colOff>
      <xdr:row>8</xdr:row>
      <xdr:rowOff>13607</xdr:rowOff>
    </xdr:from>
    <xdr:to>
      <xdr:col>9</xdr:col>
      <xdr:colOff>598720</xdr:colOff>
      <xdr:row>23</xdr:row>
      <xdr:rowOff>0</xdr:rowOff>
    </xdr:to>
    <xdr:grpSp>
      <xdr:nvGrpSpPr>
        <xdr:cNvPr id="24" name="Groupe 23"/>
        <xdr:cNvGrpSpPr/>
      </xdr:nvGrpSpPr>
      <xdr:grpSpPr>
        <a:xfrm>
          <a:off x="1959427" y="1537607"/>
          <a:ext cx="5823864" cy="2843893"/>
          <a:chOff x="1959427" y="1537607"/>
          <a:chExt cx="5823864" cy="2843893"/>
        </a:xfrm>
      </xdr:grpSpPr>
      <xdr:sp macro="" textlink="">
        <xdr:nvSpPr>
          <xdr:cNvPr id="98" name="Rectangle à coins arrondis 97"/>
          <xdr:cNvSpPr/>
        </xdr:nvSpPr>
        <xdr:spPr>
          <a:xfrm>
            <a:off x="1959427" y="1537607"/>
            <a:ext cx="5823864" cy="2843893"/>
          </a:xfrm>
          <a:prstGeom prst="roundRect">
            <a:avLst>
              <a:gd name="adj" fmla="val 9088"/>
            </a:avLst>
          </a:prstGeom>
          <a:solidFill>
            <a:sysClr val="window" lastClr="FFFFFF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graphicFrame macro="">
        <xdr:nvGraphicFramePr>
          <xdr:cNvPr id="117" name="Graphique 116"/>
          <xdr:cNvGraphicFramePr>
            <a:graphicFrameLocks/>
          </xdr:cNvGraphicFramePr>
        </xdr:nvGraphicFramePr>
        <xdr:xfrm>
          <a:off x="2054340" y="1905000"/>
          <a:ext cx="5636333" cy="246289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118" name="Rectangle 117"/>
          <xdr:cNvSpPr/>
        </xdr:nvSpPr>
        <xdr:spPr>
          <a:xfrm>
            <a:off x="2095498" y="1603989"/>
            <a:ext cx="4222014" cy="30101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fr-FR" sz="1600" b="1">
                <a:solidFill>
                  <a:sysClr val="windowText" lastClr="000000"/>
                </a:solidFill>
                <a:latin typeface="+mj-lt"/>
              </a:rPr>
              <a:t>Produits</a:t>
            </a:r>
            <a:r>
              <a:rPr lang="fr-FR" sz="1600" b="1" baseline="0">
                <a:solidFill>
                  <a:sysClr val="windowText" lastClr="000000"/>
                </a:solidFill>
                <a:latin typeface="+mj-lt"/>
              </a:rPr>
              <a:t> proches de péremption ( Alerte 60 J)</a:t>
            </a:r>
            <a:endParaRPr lang="fr-FR" sz="1600" b="1">
              <a:solidFill>
                <a:sysClr val="windowText" lastClr="000000"/>
              </a:solidFill>
              <a:latin typeface="+mj-lt"/>
            </a:endParaRPr>
          </a:p>
        </xdr:txBody>
      </xdr:sp>
    </xdr:grpSp>
    <xdr:clientData/>
  </xdr:twoCellAnchor>
  <xdr:twoCellAnchor>
    <xdr:from>
      <xdr:col>9</xdr:col>
      <xdr:colOff>666509</xdr:colOff>
      <xdr:row>26</xdr:row>
      <xdr:rowOff>106440</xdr:rowOff>
    </xdr:from>
    <xdr:to>
      <xdr:col>16</xdr:col>
      <xdr:colOff>302081</xdr:colOff>
      <xdr:row>42</xdr:row>
      <xdr:rowOff>0</xdr:rowOff>
    </xdr:to>
    <xdr:graphicFrame macro="">
      <xdr:nvGraphicFramePr>
        <xdr:cNvPr id="119" name="Graphique 1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92529</xdr:colOff>
      <xdr:row>24</xdr:row>
      <xdr:rowOff>64831</xdr:rowOff>
    </xdr:from>
    <xdr:to>
      <xdr:col>14</xdr:col>
      <xdr:colOff>43484</xdr:colOff>
      <xdr:row>26</xdr:row>
      <xdr:rowOff>4426</xdr:rowOff>
    </xdr:to>
    <xdr:sp macro="" textlink="">
      <xdr:nvSpPr>
        <xdr:cNvPr id="121" name="Rectangle 120"/>
        <xdr:cNvSpPr/>
      </xdr:nvSpPr>
      <xdr:spPr>
        <a:xfrm>
          <a:off x="8039100" y="4636831"/>
          <a:ext cx="2998955" cy="32059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600" b="1">
              <a:solidFill>
                <a:sysClr val="windowText" lastClr="000000"/>
              </a:solidFill>
              <a:latin typeface="+mj-lt"/>
            </a:rPr>
            <a:t>Répartition</a:t>
          </a:r>
          <a:r>
            <a:rPr lang="fr-FR" sz="1600" b="1" baseline="0">
              <a:solidFill>
                <a:sysClr val="windowText" lastClr="000000"/>
              </a:solidFill>
              <a:latin typeface="+mj-lt"/>
            </a:rPr>
            <a:t> du stock par catégrie</a:t>
          </a:r>
          <a:endParaRPr lang="fr-FR" sz="1600" b="1">
            <a:solidFill>
              <a:sysClr val="windowText" lastClr="000000"/>
            </a:solidFill>
            <a:latin typeface="+mj-lt"/>
          </a:endParaRPr>
        </a:p>
      </xdr:txBody>
    </xdr:sp>
    <xdr:clientData/>
  </xdr:twoCellAnchor>
  <xdr:twoCellAnchor>
    <xdr:from>
      <xdr:col>16</xdr:col>
      <xdr:colOff>609655</xdr:colOff>
      <xdr:row>24</xdr:row>
      <xdr:rowOff>13607</xdr:rowOff>
    </xdr:from>
    <xdr:to>
      <xdr:col>23</xdr:col>
      <xdr:colOff>217715</xdr:colOff>
      <xdr:row>42</xdr:row>
      <xdr:rowOff>166900</xdr:rowOff>
    </xdr:to>
    <xdr:grpSp>
      <xdr:nvGrpSpPr>
        <xdr:cNvPr id="20" name="Groupe 19"/>
        <xdr:cNvGrpSpPr/>
      </xdr:nvGrpSpPr>
      <xdr:grpSpPr>
        <a:xfrm>
          <a:off x="13128226" y="4585607"/>
          <a:ext cx="4942060" cy="3582293"/>
          <a:chOff x="13128226" y="4585607"/>
          <a:chExt cx="5029255" cy="3582293"/>
        </a:xfrm>
      </xdr:grpSpPr>
      <xdr:grpSp>
        <xdr:nvGrpSpPr>
          <xdr:cNvPr id="15" name="Groupe 14"/>
          <xdr:cNvGrpSpPr/>
        </xdr:nvGrpSpPr>
        <xdr:grpSpPr>
          <a:xfrm>
            <a:off x="13128226" y="4585607"/>
            <a:ext cx="5029255" cy="3582293"/>
            <a:chOff x="13128226" y="4585607"/>
            <a:chExt cx="5029255" cy="3582293"/>
          </a:xfrm>
        </xdr:grpSpPr>
        <xdr:sp macro="" textlink="">
          <xdr:nvSpPr>
            <xdr:cNvPr id="116" name="Rectangle à coins arrondis 115"/>
            <xdr:cNvSpPr/>
          </xdr:nvSpPr>
          <xdr:spPr>
            <a:xfrm>
              <a:off x="13128226" y="4585607"/>
              <a:ext cx="5029255" cy="3582293"/>
            </a:xfrm>
            <a:prstGeom prst="roundRect">
              <a:avLst>
                <a:gd name="adj" fmla="val 9088"/>
              </a:avLst>
            </a:prstGeom>
            <a:solidFill>
              <a:sysClr val="window" lastClr="FFFFFF"/>
            </a:solidFill>
            <a:ln>
              <a:noFill/>
            </a:ln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graphicFrame macro="">
          <xdr:nvGraphicFramePr>
            <xdr:cNvPr id="120" name="Graphique 119"/>
            <xdr:cNvGraphicFramePr>
              <a:graphicFrameLocks/>
            </xdr:cNvGraphicFramePr>
          </xdr:nvGraphicFramePr>
          <xdr:xfrm>
            <a:off x="13280571" y="5059440"/>
            <a:ext cx="4808873" cy="3027848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6"/>
            </a:graphicData>
          </a:graphic>
        </xdr:graphicFrame>
      </xdr:grpSp>
      <xdr:sp macro="" textlink="">
        <xdr:nvSpPr>
          <xdr:cNvPr id="122" name="Rectangle 121"/>
          <xdr:cNvSpPr/>
        </xdr:nvSpPr>
        <xdr:spPr>
          <a:xfrm>
            <a:off x="13264296" y="4656530"/>
            <a:ext cx="2998955" cy="32059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fr-FR" sz="1600" b="1">
                <a:solidFill>
                  <a:sysClr val="windowText" lastClr="000000"/>
                </a:solidFill>
                <a:latin typeface="+mj-lt"/>
              </a:rPr>
              <a:t>Valeur</a:t>
            </a:r>
            <a:r>
              <a:rPr lang="fr-FR" sz="1600" b="1" baseline="0">
                <a:solidFill>
                  <a:sysClr val="windowText" lastClr="000000"/>
                </a:solidFill>
                <a:latin typeface="+mj-lt"/>
              </a:rPr>
              <a:t> du stock par catégorie</a:t>
            </a:r>
            <a:endParaRPr lang="fr-FR" sz="1600" b="1">
              <a:solidFill>
                <a:sysClr val="windowText" lastClr="000000"/>
              </a:solidFill>
              <a:latin typeface="+mj-lt"/>
            </a:endParaRPr>
          </a:p>
        </xdr:txBody>
      </xdr:sp>
    </xdr:grpSp>
    <xdr:clientData/>
  </xdr:twoCellAnchor>
  <xdr:twoCellAnchor>
    <xdr:from>
      <xdr:col>10</xdr:col>
      <xdr:colOff>111577</xdr:colOff>
      <xdr:row>8</xdr:row>
      <xdr:rowOff>14675</xdr:rowOff>
    </xdr:from>
    <xdr:to>
      <xdr:col>15</xdr:col>
      <xdr:colOff>523591</xdr:colOff>
      <xdr:row>9</xdr:row>
      <xdr:rowOff>125187</xdr:rowOff>
    </xdr:to>
    <xdr:sp macro="" textlink="">
      <xdr:nvSpPr>
        <xdr:cNvPr id="111" name="Rectangle 110"/>
        <xdr:cNvSpPr/>
      </xdr:nvSpPr>
      <xdr:spPr>
        <a:xfrm>
          <a:off x="8058148" y="1538675"/>
          <a:ext cx="4222014" cy="30101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600" b="1" baseline="0">
              <a:solidFill>
                <a:sysClr val="windowText" lastClr="000000"/>
              </a:solidFill>
              <a:latin typeface="+mj-lt"/>
            </a:rPr>
            <a:t>Évolution des ventes</a:t>
          </a:r>
          <a:endParaRPr lang="fr-FR" sz="1600" b="1">
            <a:solidFill>
              <a:sysClr val="windowText" lastClr="000000"/>
            </a:solidFill>
            <a:latin typeface="+mj-lt"/>
          </a:endParaRPr>
        </a:p>
      </xdr:txBody>
    </xdr:sp>
    <xdr:clientData/>
  </xdr:twoCellAnchor>
  <xdr:twoCellAnchor>
    <xdr:from>
      <xdr:col>16</xdr:col>
      <xdr:colOff>541618</xdr:colOff>
      <xdr:row>8</xdr:row>
      <xdr:rowOff>13607</xdr:rowOff>
    </xdr:from>
    <xdr:to>
      <xdr:col>23</xdr:col>
      <xdr:colOff>190500</xdr:colOff>
      <xdr:row>23</xdr:row>
      <xdr:rowOff>0</xdr:rowOff>
    </xdr:to>
    <xdr:sp macro="" textlink="">
      <xdr:nvSpPr>
        <xdr:cNvPr id="115" name="Rectangle à coins arrondis 114"/>
        <xdr:cNvSpPr/>
      </xdr:nvSpPr>
      <xdr:spPr>
        <a:xfrm>
          <a:off x="13060189" y="1537607"/>
          <a:ext cx="4982882" cy="2843893"/>
        </a:xfrm>
        <a:prstGeom prst="roundRect">
          <a:avLst>
            <a:gd name="adj" fmla="val 9088"/>
          </a:avLst>
        </a:prstGeom>
        <a:solidFill>
          <a:sysClr val="window" lastClr="FFFFFF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16</xdr:col>
      <xdr:colOff>599857</xdr:colOff>
      <xdr:row>7</xdr:row>
      <xdr:rowOff>180682</xdr:rowOff>
    </xdr:from>
    <xdr:to>
      <xdr:col>21</xdr:col>
      <xdr:colOff>721634</xdr:colOff>
      <xdr:row>9</xdr:row>
      <xdr:rowOff>100694</xdr:rowOff>
    </xdr:to>
    <xdr:sp macro="" textlink="">
      <xdr:nvSpPr>
        <xdr:cNvPr id="123" name="Rectangle 122"/>
        <xdr:cNvSpPr/>
      </xdr:nvSpPr>
      <xdr:spPr>
        <a:xfrm>
          <a:off x="13118428" y="1514182"/>
          <a:ext cx="3931777" cy="30101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600" b="1" baseline="0">
              <a:solidFill>
                <a:sysClr val="windowText" lastClr="000000"/>
              </a:solidFill>
              <a:latin typeface="+mj-lt"/>
            </a:rPr>
            <a:t>Top produits les plus vendus</a:t>
          </a:r>
          <a:endParaRPr lang="fr-FR" sz="1600" b="1">
            <a:solidFill>
              <a:sysClr val="windowText" lastClr="000000"/>
            </a:solidFill>
            <a:latin typeface="+mj-lt"/>
          </a:endParaRPr>
        </a:p>
      </xdr:txBody>
    </xdr:sp>
    <xdr:clientData/>
  </xdr:twoCellAnchor>
  <xdr:twoCellAnchor editAs="oneCell">
    <xdr:from>
      <xdr:col>0</xdr:col>
      <xdr:colOff>108857</xdr:colOff>
      <xdr:row>20</xdr:row>
      <xdr:rowOff>27213</xdr:rowOff>
    </xdr:from>
    <xdr:to>
      <xdr:col>1</xdr:col>
      <xdr:colOff>802822</xdr:colOff>
      <xdr:row>29</xdr:row>
      <xdr:rowOff>176893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124" name="Dates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31321" y="3837213"/>
              <a:ext cx="14287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Chronologie : fonctionne dans Excel 2013 ou version ultérieure. Ne pas déplacer ni redimensionner.</a:t>
              </a:r>
            </a:p>
          </xdr:txBody>
        </xdr:sp>
      </mc:Fallback>
    </mc:AlternateContent>
    <xdr:clientData/>
  </xdr:twoCellAnchor>
  <xdr:twoCellAnchor>
    <xdr:from>
      <xdr:col>4</xdr:col>
      <xdr:colOff>381000</xdr:colOff>
      <xdr:row>4</xdr:row>
      <xdr:rowOff>8060</xdr:rowOff>
    </xdr:from>
    <xdr:to>
      <xdr:col>5</xdr:col>
      <xdr:colOff>21120</xdr:colOff>
      <xdr:row>5</xdr:row>
      <xdr:rowOff>35013</xdr:rowOff>
    </xdr:to>
    <xdr:pic>
      <xdr:nvPicPr>
        <xdr:cNvPr id="125" name="Image 124"/>
        <xdr:cNvPicPr>
          <a:picLocks noChangeAspect="1"/>
        </xdr:cNvPicPr>
      </xdr:nvPicPr>
      <xdr:blipFill rotWithShape="1">
        <a:blip xmlns:r="http://schemas.openxmlformats.org/officeDocument/2006/relationships" r:embed="rId7" cstate="print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backgroundRemoval t="32253" b="42940" l="8788" r="25298">
                      <a14:foregroundMark x1="11201" y1="35656" x2="18182" y2="40681"/>
                      <a14:foregroundMark x1="20130" y1="35008" x2="22565" y2="42301"/>
                      <a14:foregroundMark x1="21753" y1="35981" x2="23539" y2="38898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9324" t="34103" r="75055" b="56306"/>
        <a:stretch/>
      </xdr:blipFill>
      <xdr:spPr>
        <a:xfrm>
          <a:off x="3755571" y="770060"/>
          <a:ext cx="402120" cy="217453"/>
        </a:xfrm>
        <a:prstGeom prst="rect">
          <a:avLst/>
        </a:prstGeom>
      </xdr:spPr>
    </xdr:pic>
    <xdr:clientData/>
  </xdr:twoCellAnchor>
  <xdr:twoCellAnchor>
    <xdr:from>
      <xdr:col>11</xdr:col>
      <xdr:colOff>544286</xdr:colOff>
      <xdr:row>3</xdr:row>
      <xdr:rowOff>122465</xdr:rowOff>
    </xdr:from>
    <xdr:to>
      <xdr:col>12</xdr:col>
      <xdr:colOff>168641</xdr:colOff>
      <xdr:row>5</xdr:row>
      <xdr:rowOff>15092</xdr:rowOff>
    </xdr:to>
    <xdr:pic>
      <xdr:nvPicPr>
        <xdr:cNvPr id="126" name="Image 125"/>
        <xdr:cNvPicPr>
          <a:picLocks noChangeAspect="1"/>
        </xdr:cNvPicPr>
      </xdr:nvPicPr>
      <xdr:blipFill rotWithShape="1">
        <a:blip xmlns:r="http://schemas.openxmlformats.org/officeDocument/2006/relationships" r:embed="rId9" cstate="print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backgroundRemoval t="77310" b="91572" l="10390" r="23052">
                      <a14:foregroundMark x1="15097" y1="85413" x2="10390" y2="86710"/>
                      <a14:foregroundMark x1="12662" y1="86548" x2="20455" y2="87196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9508" t="75703" r="75420" b="6656"/>
        <a:stretch/>
      </xdr:blipFill>
      <xdr:spPr>
        <a:xfrm>
          <a:off x="9252857" y="693965"/>
          <a:ext cx="386355" cy="273627"/>
        </a:xfrm>
        <a:prstGeom prst="rect">
          <a:avLst/>
        </a:prstGeom>
      </xdr:spPr>
    </xdr:pic>
    <xdr:clientData/>
  </xdr:twoCellAnchor>
  <xdr:twoCellAnchor>
    <xdr:from>
      <xdr:col>8</xdr:col>
      <xdr:colOff>176894</xdr:colOff>
      <xdr:row>3</xdr:row>
      <xdr:rowOff>163285</xdr:rowOff>
    </xdr:from>
    <xdr:to>
      <xdr:col>8</xdr:col>
      <xdr:colOff>533248</xdr:colOff>
      <xdr:row>5</xdr:row>
      <xdr:rowOff>70025</xdr:rowOff>
    </xdr:to>
    <xdr:pic>
      <xdr:nvPicPr>
        <xdr:cNvPr id="127" name="Image 126"/>
        <xdr:cNvPicPr>
          <a:picLocks noChangeAspect="1"/>
        </xdr:cNvPicPr>
      </xdr:nvPicPr>
      <xdr:blipFill rotWithShape="1">
        <a:blip xmlns:r="http://schemas.openxmlformats.org/officeDocument/2006/relationships" r:embed="rId10" cstate="print">
          <a:extLst>
            <a:ext uri="{BEBA8EAE-BF5A-486C-A8C5-ECC9F3942E4B}">
              <a14:imgProps xmlns:a14="http://schemas.microsoft.com/office/drawing/2010/main">
                <a14:imgLayer r:embed="rId11">
                  <a14:imgEffect>
                    <a14:backgroundRemoval t="80407" b="95165" l="7658" r="18168">
                      <a14:foregroundMark x1="13768" y1="90695" x2="15539" y2="92556"/>
                      <a14:foregroundMark x1="13366" y1="88443" x2="10548" y2="85406"/>
                      <a14:foregroundMark x1="9259" y1="81587" x2="9259" y2="81587"/>
                      <a14:foregroundMark x1="15781" y1="82076" x2="15781" y2="82076"/>
                      <a14:foregroundMark x1="12560" y1="81587" x2="12560" y2="81587"/>
                      <a14:foregroundMark x1="8132" y1="81978" x2="7810" y2="89716"/>
                      <a14:foregroundMark x1="8132" y1="90108" x2="13527" y2="90108"/>
                      <a14:foregroundMark x1="17150" y1="82272" x2="17391" y2="89226"/>
                      <a14:foregroundMark x1="12162" y1="93384" x2="17868" y2="93130"/>
                      <a14:foregroundMark x1="12312" y1="95165" x2="18168" y2="94402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6476" t="78690" r="80859" b="3715"/>
        <a:stretch/>
      </xdr:blipFill>
      <xdr:spPr>
        <a:xfrm>
          <a:off x="6599465" y="734785"/>
          <a:ext cx="356354" cy="287740"/>
        </a:xfrm>
        <a:prstGeom prst="rect">
          <a:avLst/>
        </a:prstGeom>
      </xdr:spPr>
    </xdr:pic>
    <xdr:clientData/>
  </xdr:twoCellAnchor>
  <xdr:twoCellAnchor>
    <xdr:from>
      <xdr:col>15</xdr:col>
      <xdr:colOff>326572</xdr:colOff>
      <xdr:row>3</xdr:row>
      <xdr:rowOff>122465</xdr:rowOff>
    </xdr:from>
    <xdr:to>
      <xdr:col>15</xdr:col>
      <xdr:colOff>651928</xdr:colOff>
      <xdr:row>4</xdr:row>
      <xdr:rowOff>183738</xdr:rowOff>
    </xdr:to>
    <xdr:pic>
      <xdr:nvPicPr>
        <xdr:cNvPr id="128" name="Image 127"/>
        <xdr:cNvPicPr>
          <a:picLocks noChangeAspect="1"/>
        </xdr:cNvPicPr>
      </xdr:nvPicPr>
      <xdr:blipFill rotWithShape="1">
        <a:blip xmlns:r="http://schemas.openxmlformats.org/officeDocument/2006/relationships" r:embed="rId12" cstate="print">
          <a:extLst>
            <a:ext uri="{BEBA8EAE-BF5A-486C-A8C5-ECC9F3942E4B}">
              <a14:imgProps xmlns:a14="http://schemas.microsoft.com/office/drawing/2010/main">
                <a14:imgLayer r:embed="rId13">
                  <a14:imgEffect>
                    <a14:backgroundRemoval t="10000" b="90000" l="10000" r="90000">
                      <a14:foregroundMark x1="36163" y1="29543" x2="36163" y2="29543"/>
                      <a14:foregroundMark x1="44735" y1="29543" x2="44735" y2="29543"/>
                      <a14:foregroundMark x1="43837" y1="41038" x2="43837" y2="41038"/>
                      <a14:foregroundMark x1="37633" y1="48949" x2="37633" y2="48949"/>
                      <a14:foregroundMark x1="31918" y1="69098" x2="31918" y2="69098"/>
                      <a14:foregroundMark x1="46204" y1="69098" x2="46204" y2="69098"/>
                      <a14:foregroundMark x1="38612" y1="64030" x2="38612" y2="64030"/>
                      <a14:foregroundMark x1="38612" y1="77009" x2="38612" y2="77009"/>
                      <a14:foregroundMark x1="44735" y1="56860" x2="44735" y2="56860"/>
                      <a14:foregroundMark x1="32898" y1="58962" x2="32898" y2="58962"/>
                      <a14:foregroundMark x1="32898" y1="38072" x2="34286" y2="41038"/>
                      <a14:foregroundMark x1="39020" y1="58220" x2="39020" y2="58220"/>
                      <a14:foregroundMark x1="37633" y1="41038" x2="37633" y2="41038"/>
                      <a14:foregroundMark x1="38612" y1="22991" x2="38612" y2="22991"/>
                      <a14:foregroundMark x1="43347" y1="22991" x2="43347" y2="22991"/>
                      <a14:foregroundMark x1="30449" y1="27318" x2="30449" y2="27318"/>
                      <a14:foregroundMark x1="46694" y1="64030" x2="46694" y2="64030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27595" t="18042" r="47964" b="21499"/>
        <a:stretch/>
      </xdr:blipFill>
      <xdr:spPr>
        <a:xfrm>
          <a:off x="12083143" y="693965"/>
          <a:ext cx="325356" cy="251773"/>
        </a:xfrm>
        <a:prstGeom prst="rect">
          <a:avLst/>
        </a:prstGeom>
      </xdr:spPr>
    </xdr:pic>
    <xdr:clientData/>
  </xdr:twoCellAnchor>
  <xdr:twoCellAnchor>
    <xdr:from>
      <xdr:col>22</xdr:col>
      <xdr:colOff>367394</xdr:colOff>
      <xdr:row>3</xdr:row>
      <xdr:rowOff>149679</xdr:rowOff>
    </xdr:from>
    <xdr:to>
      <xdr:col>22</xdr:col>
      <xdr:colOff>690149</xdr:colOff>
      <xdr:row>5</xdr:row>
      <xdr:rowOff>56419</xdr:rowOff>
    </xdr:to>
    <xdr:pic>
      <xdr:nvPicPr>
        <xdr:cNvPr id="129" name="Image 128"/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BEBA8EAE-BF5A-486C-A8C5-ECC9F3942E4B}">
              <a14:imgProps xmlns:a14="http://schemas.microsoft.com/office/drawing/2010/main">
                <a14:imgLayer r:embed="rId15">
                  <a14:imgEffect>
                    <a14:backgroundRemoval t="0" b="97500" l="0" r="100000">
                      <a14:foregroundMark x1="55556" y1="46250" x2="57081" y2="47708"/>
                      <a14:foregroundMark x1="77778" y1="46250" x2="77778" y2="46250"/>
                      <a14:foregroundMark x1="77778" y1="46250" x2="77778" y2="46250"/>
                      <a14:foregroundMark x1="78431" y1="64792" x2="78431" y2="64792"/>
                      <a14:foregroundMark x1="60566" y1="62083" x2="60566" y2="62083"/>
                      <a14:foregroundMark x1="40741" y1="63333" x2="40741" y2="63333"/>
                      <a14:foregroundMark x1="20697" y1="62708" x2="20697" y2="62708"/>
                      <a14:foregroundMark x1="21351" y1="81875" x2="21351" y2="81875"/>
                      <a14:foregroundMark x1="42048" y1="82500" x2="42048" y2="82500"/>
                      <a14:foregroundMark x1="61438" y1="81875" x2="61438" y2="81875"/>
                      <a14:foregroundMark x1="78431" y1="79792" x2="78431" y2="79792"/>
                      <a14:foregroundMark x1="80610" y1="81042" x2="80610" y2="81042"/>
                      <a14:foregroundMark x1="80610" y1="84583" x2="80610" y2="84583"/>
                      <a14:foregroundMark x1="25708" y1="7500" x2="25708" y2="7500"/>
                      <a14:foregroundMark x1="74074" y1="12917" x2="74074" y2="12917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57965" y="721179"/>
          <a:ext cx="322755" cy="287740"/>
        </a:xfrm>
        <a:prstGeom prst="rect">
          <a:avLst/>
        </a:prstGeom>
      </xdr:spPr>
    </xdr:pic>
    <xdr:clientData/>
  </xdr:twoCellAnchor>
  <xdr:twoCellAnchor editAs="oneCell">
    <xdr:from>
      <xdr:col>18</xdr:col>
      <xdr:colOff>693965</xdr:colOff>
      <xdr:row>3</xdr:row>
      <xdr:rowOff>122465</xdr:rowOff>
    </xdr:from>
    <xdr:to>
      <xdr:col>19</xdr:col>
      <xdr:colOff>272144</xdr:colOff>
      <xdr:row>5</xdr:row>
      <xdr:rowOff>81644</xdr:rowOff>
    </xdr:to>
    <xdr:pic>
      <xdr:nvPicPr>
        <xdr:cNvPr id="36" name="Image 35"/>
        <xdr:cNvPicPr>
          <a:picLocks noChangeAspect="1"/>
        </xdr:cNvPicPr>
      </xdr:nvPicPr>
      <xdr:blipFill>
        <a:blip xmlns:r="http://schemas.openxmlformats.org/officeDocument/2006/relationships" r:embed="rId16">
          <a:duotone>
            <a:prstClr val="black"/>
            <a:schemeClr val="tx1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17">
                  <a14:imgEffect>
                    <a14:colorTemperature colorTemp="112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36536" y="693965"/>
          <a:ext cx="340179" cy="340179"/>
        </a:xfrm>
        <a:prstGeom prst="rect">
          <a:avLst/>
        </a:prstGeom>
      </xdr:spPr>
    </xdr:pic>
    <xdr:clientData/>
  </xdr:twoCellAnchor>
  <xdr:twoCellAnchor>
    <xdr:from>
      <xdr:col>10</xdr:col>
      <xdr:colOff>129266</xdr:colOff>
      <xdr:row>10</xdr:row>
      <xdr:rowOff>176893</xdr:rowOff>
    </xdr:from>
    <xdr:to>
      <xdr:col>16</xdr:col>
      <xdr:colOff>129266</xdr:colOff>
      <xdr:row>21</xdr:row>
      <xdr:rowOff>130628</xdr:rowOff>
    </xdr:to>
    <xdr:graphicFrame macro="">
      <xdr:nvGraphicFramePr>
        <xdr:cNvPr id="130" name="Graphique 12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0</xdr:col>
      <xdr:colOff>136072</xdr:colOff>
      <xdr:row>31</xdr:row>
      <xdr:rowOff>68036</xdr:rowOff>
    </xdr:from>
    <xdr:to>
      <xdr:col>1</xdr:col>
      <xdr:colOff>789215</xdr:colOff>
      <xdr:row>42</xdr:row>
      <xdr:rowOff>108857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131" name="Dates 1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s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6072" y="5973536"/>
              <a:ext cx="1619250" cy="213632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Chronologie : fonctionne dans Excel 2013 ou version ultérieure. Ne pas déplacer ni redimensionner.</a:t>
              </a:r>
            </a:p>
          </xdr:txBody>
        </xdr:sp>
      </mc:Fallback>
    </mc:AlternateContent>
    <xdr:clientData/>
  </xdr:twoCellAnchor>
  <xdr:twoCellAnchor>
    <xdr:from>
      <xdr:col>16</xdr:col>
      <xdr:colOff>612321</xdr:colOff>
      <xdr:row>10</xdr:row>
      <xdr:rowOff>95250</xdr:rowOff>
    </xdr:from>
    <xdr:to>
      <xdr:col>23</xdr:col>
      <xdr:colOff>13608</xdr:colOff>
      <xdr:row>22</xdr:row>
      <xdr:rowOff>89805</xdr:rowOff>
    </xdr:to>
    <xdr:graphicFrame macro="">
      <xdr:nvGraphicFramePr>
        <xdr:cNvPr id="132" name="Graphique 13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178594</xdr:rowOff>
    </xdr:from>
    <xdr:to>
      <xdr:col>12</xdr:col>
      <xdr:colOff>297656</xdr:colOff>
      <xdr:row>3</xdr:row>
      <xdr:rowOff>11908</xdr:rowOff>
    </xdr:to>
    <xdr:cxnSp macro="">
      <xdr:nvCxnSpPr>
        <xdr:cNvPr id="5" name="Connecteur droit 4"/>
        <xdr:cNvCxnSpPr/>
      </xdr:nvCxnSpPr>
      <xdr:spPr>
        <a:xfrm flipV="1">
          <a:off x="0" y="583407"/>
          <a:ext cx="17180719" cy="3572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750096</xdr:colOff>
      <xdr:row>0</xdr:row>
      <xdr:rowOff>166686</xdr:rowOff>
    </xdr:from>
    <xdr:to>
      <xdr:col>8</xdr:col>
      <xdr:colOff>243278</xdr:colOff>
      <xdr:row>2</xdr:row>
      <xdr:rowOff>88104</xdr:rowOff>
    </xdr:to>
    <xdr:grpSp>
      <xdr:nvGrpSpPr>
        <xdr:cNvPr id="15" name="Groupe 14"/>
        <xdr:cNvGrpSpPr/>
      </xdr:nvGrpSpPr>
      <xdr:grpSpPr>
        <a:xfrm>
          <a:off x="1535909" y="166686"/>
          <a:ext cx="12101900" cy="326231"/>
          <a:chOff x="1976440" y="166686"/>
          <a:chExt cx="12101901" cy="326231"/>
        </a:xfrm>
      </xdr:grpSpPr>
      <xdr:sp macro="[0]!Dashboard" textlink="">
        <xdr:nvSpPr>
          <xdr:cNvPr id="8" name="Rectangle à coins arrondis 7"/>
          <xdr:cNvSpPr/>
        </xdr:nvSpPr>
        <xdr:spPr>
          <a:xfrm>
            <a:off x="1976440" y="166686"/>
            <a:ext cx="1424008" cy="326231"/>
          </a:xfrm>
          <a:prstGeom prst="roundRect">
            <a:avLst/>
          </a:prstGeom>
          <a:solidFill>
            <a:schemeClr val="bg1"/>
          </a:solidFill>
          <a:ln w="19050">
            <a:solidFill>
              <a:schemeClr val="bg2"/>
            </a:soli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200" b="1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Cambria" panose="02040503050406030204" pitchFamily="18" charset="0"/>
                <a:cs typeface="Arial" panose="020B0604020202020204" pitchFamily="34" charset="0"/>
              </a:rPr>
              <a:t>Tableau</a:t>
            </a:r>
            <a:r>
              <a:rPr lang="fr-FR" sz="1200" b="1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Cambria" panose="02040503050406030204" pitchFamily="18" charset="0"/>
                <a:cs typeface="Arial" panose="020B0604020202020204" pitchFamily="34" charset="0"/>
              </a:rPr>
              <a:t> de Bord</a:t>
            </a:r>
            <a:endParaRPr lang="fr-FR" sz="1200" b="1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Cambria" panose="02040503050406030204" pitchFamily="18" charset="0"/>
              <a:cs typeface="Arial" panose="020B0604020202020204" pitchFamily="34" charset="0"/>
            </a:endParaRPr>
          </a:p>
        </xdr:txBody>
      </xdr:sp>
      <xdr:sp macro="[0]!Produits" textlink="">
        <xdr:nvSpPr>
          <xdr:cNvPr id="9" name="Rectangle à coins arrondis 8"/>
          <xdr:cNvSpPr/>
        </xdr:nvSpPr>
        <xdr:spPr>
          <a:xfrm>
            <a:off x="4019147" y="166686"/>
            <a:ext cx="1424008" cy="326231"/>
          </a:xfrm>
          <a:prstGeom prst="roundRect">
            <a:avLst/>
          </a:prstGeom>
          <a:solidFill>
            <a:srgbClr val="0070C0"/>
          </a:solidFill>
          <a:ln w="19050">
            <a:solidFill>
              <a:schemeClr val="bg2"/>
            </a:solidFill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fr-FR" sz="1200" b="1">
                <a:solidFill>
                  <a:schemeClr val="bg1"/>
                </a:solidFill>
                <a:latin typeface="Arial" panose="020B0604020202020204" pitchFamily="34" charset="0"/>
                <a:ea typeface="Cambria" panose="02040503050406030204" pitchFamily="18" charset="0"/>
                <a:cs typeface="Arial" panose="020B0604020202020204" pitchFamily="34" charset="0"/>
              </a:rPr>
              <a:t>Produits</a:t>
            </a:r>
          </a:p>
        </xdr:txBody>
      </xdr:sp>
      <xdr:sp macro="[0]!Entrées_stock" textlink="">
        <xdr:nvSpPr>
          <xdr:cNvPr id="10" name="Rectangle à coins arrondis 9"/>
          <xdr:cNvSpPr/>
        </xdr:nvSpPr>
        <xdr:spPr>
          <a:xfrm>
            <a:off x="6073762" y="166686"/>
            <a:ext cx="1424008" cy="326231"/>
          </a:xfrm>
          <a:prstGeom prst="roundRect">
            <a:avLst/>
          </a:prstGeom>
          <a:solidFill>
            <a:schemeClr val="bg1"/>
          </a:solidFill>
          <a:ln w="19050">
            <a:solidFill>
              <a:schemeClr val="bg2"/>
            </a:soli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fr-FR" sz="1200" b="1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Cambria" panose="02040503050406030204" pitchFamily="18" charset="0"/>
                <a:cs typeface="Arial" panose="020B0604020202020204" pitchFamily="34" charset="0"/>
              </a:rPr>
              <a:t>Entrées_Stock</a:t>
            </a:r>
          </a:p>
        </xdr:txBody>
      </xdr:sp>
      <xdr:sp macro="[0]!ventes" textlink="">
        <xdr:nvSpPr>
          <xdr:cNvPr id="11" name="Rectangle à coins arrondis 10"/>
          <xdr:cNvSpPr/>
        </xdr:nvSpPr>
        <xdr:spPr>
          <a:xfrm>
            <a:off x="8318880" y="166686"/>
            <a:ext cx="1424008" cy="326231"/>
          </a:xfrm>
          <a:prstGeom prst="roundRect">
            <a:avLst/>
          </a:prstGeom>
          <a:solidFill>
            <a:schemeClr val="bg1"/>
          </a:solidFill>
          <a:ln w="19050">
            <a:solidFill>
              <a:schemeClr val="bg2"/>
            </a:soli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fr-FR" sz="1200" b="1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Cambria" panose="02040503050406030204" pitchFamily="18" charset="0"/>
                <a:cs typeface="Arial" panose="020B0604020202020204" pitchFamily="34" charset="0"/>
              </a:rPr>
              <a:t>Ventes</a:t>
            </a:r>
          </a:p>
        </xdr:txBody>
      </xdr:sp>
      <xdr:sp macro="[0]!sorties" textlink="">
        <xdr:nvSpPr>
          <xdr:cNvPr id="12" name="Rectangle à coins arrondis 11"/>
          <xdr:cNvSpPr/>
        </xdr:nvSpPr>
        <xdr:spPr>
          <a:xfrm>
            <a:off x="10468748" y="166686"/>
            <a:ext cx="1424008" cy="326231"/>
          </a:xfrm>
          <a:prstGeom prst="roundRect">
            <a:avLst/>
          </a:prstGeom>
          <a:solidFill>
            <a:schemeClr val="bg1"/>
          </a:solidFill>
          <a:ln w="19050">
            <a:solidFill>
              <a:schemeClr val="bg2"/>
            </a:soli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fr-FR" sz="1200" b="1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Cambria" panose="02040503050406030204" pitchFamily="18" charset="0"/>
                <a:cs typeface="Arial" panose="020B0604020202020204" pitchFamily="34" charset="0"/>
              </a:rPr>
              <a:t>Sorties</a:t>
            </a:r>
          </a:p>
        </xdr:txBody>
      </xdr:sp>
      <xdr:sp macro="[0]!Mouvements" textlink="">
        <xdr:nvSpPr>
          <xdr:cNvPr id="13" name="Rectangle à coins arrondis 12"/>
          <xdr:cNvSpPr/>
        </xdr:nvSpPr>
        <xdr:spPr>
          <a:xfrm>
            <a:off x="12654333" y="166686"/>
            <a:ext cx="1424008" cy="326231"/>
          </a:xfrm>
          <a:prstGeom prst="roundRect">
            <a:avLst/>
          </a:prstGeom>
          <a:solidFill>
            <a:schemeClr val="bg1"/>
          </a:solidFill>
          <a:ln w="19050">
            <a:solidFill>
              <a:schemeClr val="bg2"/>
            </a:soli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fr-FR" sz="1200" b="1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Cambria" panose="02040503050406030204" pitchFamily="18" charset="0"/>
                <a:cs typeface="Arial" panose="020B0604020202020204" pitchFamily="34" charset="0"/>
              </a:rPr>
              <a:t>Mouvements</a:t>
            </a:r>
          </a:p>
        </xdr:txBody>
      </xdr:sp>
    </xdr:grpSp>
    <xdr:clientData/>
  </xdr:twoCellAnchor>
  <xdr:twoCellAnchor editAs="oneCell">
    <xdr:from>
      <xdr:col>0</xdr:col>
      <xdr:colOff>381003</xdr:colOff>
      <xdr:row>0</xdr:row>
      <xdr:rowOff>71436</xdr:rowOff>
    </xdr:from>
    <xdr:to>
      <xdr:col>2</xdr:col>
      <xdr:colOff>395288</xdr:colOff>
      <xdr:row>2</xdr:row>
      <xdr:rowOff>170623</xdr:rowOff>
    </xdr:to>
    <xdr:pic>
      <xdr:nvPicPr>
        <xdr:cNvPr id="4" name="Image 3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8935" t="19598" r="27403" b="19648"/>
        <a:stretch/>
      </xdr:blipFill>
      <xdr:spPr>
        <a:xfrm>
          <a:off x="381003" y="71436"/>
          <a:ext cx="857248" cy="504000"/>
        </a:xfrm>
        <a:prstGeom prst="rect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9</xdr:col>
      <xdr:colOff>678657</xdr:colOff>
      <xdr:row>0</xdr:row>
      <xdr:rowOff>119063</xdr:rowOff>
    </xdr:from>
    <xdr:to>
      <xdr:col>10</xdr:col>
      <xdr:colOff>341630</xdr:colOff>
      <xdr:row>2</xdr:row>
      <xdr:rowOff>139223</xdr:rowOff>
    </xdr:to>
    <xdr:pic macro="[0]!actualiser">
      <xdr:nvPicPr>
        <xdr:cNvPr id="16" name="Image 15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9113858">
          <a:off x="14835188" y="119063"/>
          <a:ext cx="424973" cy="424973"/>
        </a:xfrm>
        <a:prstGeom prst="rect">
          <a:avLst/>
        </a:prstGeom>
      </xdr:spPr>
    </xdr:pic>
    <xdr:clientData/>
  </xdr:twoCellAnchor>
  <xdr:twoCellAnchor>
    <xdr:from>
      <xdr:col>4</xdr:col>
      <xdr:colOff>59531</xdr:colOff>
      <xdr:row>4</xdr:row>
      <xdr:rowOff>201081</xdr:rowOff>
    </xdr:from>
    <xdr:to>
      <xdr:col>4</xdr:col>
      <xdr:colOff>1609877</xdr:colOff>
      <xdr:row>6</xdr:row>
      <xdr:rowOff>117906</xdr:rowOff>
    </xdr:to>
    <xdr:sp macro="[0]!OverUserProduits" textlink="">
      <xdr:nvSpPr>
        <xdr:cNvPr id="14" name="Rectangle à coins arrondis 13"/>
        <xdr:cNvSpPr/>
      </xdr:nvSpPr>
      <xdr:spPr>
        <a:xfrm>
          <a:off x="6282531" y="1005414"/>
          <a:ext cx="1550346" cy="318992"/>
        </a:xfrm>
        <a:prstGeom prst="roundRect">
          <a:avLst/>
        </a:prstGeom>
        <a:solidFill>
          <a:srgbClr val="00B050"/>
        </a:solidFill>
        <a:ln w="19050">
          <a:solidFill>
            <a:schemeClr val="bg2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baseline="0">
              <a:solidFill>
                <a:schemeClr val="bg1"/>
              </a:solidFill>
              <a:latin typeface="Arial" panose="020B0604020202020204" pitchFamily="34" charset="0"/>
              <a:ea typeface="Cambria" panose="02040503050406030204" pitchFamily="18" charset="0"/>
              <a:cs typeface="Arial" panose="020B0604020202020204" pitchFamily="34" charset="0"/>
            </a:rPr>
            <a:t>Formulaire</a:t>
          </a:r>
          <a:r>
            <a:rPr lang="fr-FR" sz="1200" b="1" baseline="0">
              <a:solidFill>
                <a:schemeClr val="bg1"/>
              </a:solidFill>
              <a:latin typeface="Arial" panose="020B0604020202020204" pitchFamily="34" charset="0"/>
              <a:ea typeface="Cambria" panose="02040503050406030204" pitchFamily="18" charset="0"/>
              <a:cs typeface="Arial" panose="020B0604020202020204" pitchFamily="34" charset="0"/>
            </a:rPr>
            <a:t> Produits</a:t>
          </a:r>
          <a:endParaRPr lang="fr-FR" sz="1200" b="1">
            <a:solidFill>
              <a:schemeClr val="bg1"/>
            </a:solidFill>
            <a:latin typeface="Arial" panose="020B0604020202020204" pitchFamily="34" charset="0"/>
            <a:ea typeface="Cambria" panose="02040503050406030204" pitchFamily="18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2083593</xdr:colOff>
      <xdr:row>10</xdr:row>
      <xdr:rowOff>59532</xdr:rowOff>
    </xdr:from>
    <xdr:to>
      <xdr:col>3</xdr:col>
      <xdr:colOff>107156</xdr:colOff>
      <xdr:row>12</xdr:row>
      <xdr:rowOff>71439</xdr:rowOff>
    </xdr:to>
    <xdr:sp macro="[0]!Actualiser_Data_Dashboard" textlink="">
      <xdr:nvSpPr>
        <xdr:cNvPr id="2" name="Ellipse 1"/>
        <xdr:cNvSpPr/>
      </xdr:nvSpPr>
      <xdr:spPr>
        <a:xfrm>
          <a:off x="2869406" y="2083595"/>
          <a:ext cx="428625" cy="416719"/>
        </a:xfrm>
        <a:prstGeom prst="ellipse">
          <a:avLst/>
        </a:prstGeom>
        <a:solidFill>
          <a:srgbClr val="00B050"/>
        </a:solidFill>
        <a:effectLst>
          <a:outerShdw blurRad="50800" dist="38100" dir="8100000" algn="tr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166687</xdr:rowOff>
    </xdr:from>
    <xdr:to>
      <xdr:col>14</xdr:col>
      <xdr:colOff>535781</xdr:colOff>
      <xdr:row>3</xdr:row>
      <xdr:rowOff>1</xdr:rowOff>
    </xdr:to>
    <xdr:cxnSp macro="">
      <xdr:nvCxnSpPr>
        <xdr:cNvPr id="4" name="Connecteur droit 3"/>
        <xdr:cNvCxnSpPr/>
      </xdr:nvCxnSpPr>
      <xdr:spPr>
        <a:xfrm flipV="1">
          <a:off x="0" y="571500"/>
          <a:ext cx="17287875" cy="3572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0</xdr:row>
      <xdr:rowOff>166688</xdr:rowOff>
    </xdr:from>
    <xdr:to>
      <xdr:col>10</xdr:col>
      <xdr:colOff>362338</xdr:colOff>
      <xdr:row>2</xdr:row>
      <xdr:rowOff>88106</xdr:rowOff>
    </xdr:to>
    <xdr:grpSp>
      <xdr:nvGrpSpPr>
        <xdr:cNvPr id="19" name="Groupe 18"/>
        <xdr:cNvGrpSpPr/>
      </xdr:nvGrpSpPr>
      <xdr:grpSpPr>
        <a:xfrm>
          <a:off x="1916906" y="166688"/>
          <a:ext cx="12149526" cy="326231"/>
          <a:chOff x="1976440" y="166686"/>
          <a:chExt cx="12101901" cy="326231"/>
        </a:xfrm>
      </xdr:grpSpPr>
      <xdr:sp macro="[0]!Dashboard" textlink="">
        <xdr:nvSpPr>
          <xdr:cNvPr id="20" name="Rectangle à coins arrondis 19"/>
          <xdr:cNvSpPr/>
        </xdr:nvSpPr>
        <xdr:spPr>
          <a:xfrm>
            <a:off x="1976440" y="166686"/>
            <a:ext cx="1424008" cy="326231"/>
          </a:xfrm>
          <a:prstGeom prst="roundRect">
            <a:avLst/>
          </a:prstGeom>
          <a:solidFill>
            <a:schemeClr val="bg1"/>
          </a:solidFill>
          <a:ln w="19050">
            <a:solidFill>
              <a:schemeClr val="bg2"/>
            </a:soli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200" b="1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Cambria" panose="02040503050406030204" pitchFamily="18" charset="0"/>
                <a:cs typeface="Arial" panose="020B0604020202020204" pitchFamily="34" charset="0"/>
              </a:rPr>
              <a:t>Tableau</a:t>
            </a:r>
            <a:r>
              <a:rPr lang="fr-FR" sz="1200" b="1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Cambria" panose="02040503050406030204" pitchFamily="18" charset="0"/>
                <a:cs typeface="Arial" panose="020B0604020202020204" pitchFamily="34" charset="0"/>
              </a:rPr>
              <a:t> de Bord</a:t>
            </a:r>
            <a:endParaRPr lang="fr-FR" sz="1200" b="1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Cambria" panose="02040503050406030204" pitchFamily="18" charset="0"/>
              <a:cs typeface="Arial" panose="020B0604020202020204" pitchFamily="34" charset="0"/>
            </a:endParaRPr>
          </a:p>
        </xdr:txBody>
      </xdr:sp>
      <xdr:sp macro="[0]!Produits" textlink="">
        <xdr:nvSpPr>
          <xdr:cNvPr id="21" name="Rectangle à coins arrondis 20"/>
          <xdr:cNvSpPr/>
        </xdr:nvSpPr>
        <xdr:spPr>
          <a:xfrm>
            <a:off x="4019147" y="166686"/>
            <a:ext cx="1424008" cy="326231"/>
          </a:xfrm>
          <a:prstGeom prst="roundRect">
            <a:avLst/>
          </a:prstGeom>
          <a:solidFill>
            <a:schemeClr val="bg1"/>
          </a:solidFill>
          <a:ln w="19050">
            <a:solidFill>
              <a:schemeClr val="bg2"/>
            </a:soli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fr-FR" sz="1200" b="1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Cambria" panose="02040503050406030204" pitchFamily="18" charset="0"/>
                <a:cs typeface="Arial" panose="020B0604020202020204" pitchFamily="34" charset="0"/>
              </a:rPr>
              <a:t>Produits</a:t>
            </a:r>
          </a:p>
        </xdr:txBody>
      </xdr:sp>
      <xdr:sp macro="[0]!Entrées_stock" textlink="">
        <xdr:nvSpPr>
          <xdr:cNvPr id="22" name="Rectangle à coins arrondis 21"/>
          <xdr:cNvSpPr/>
        </xdr:nvSpPr>
        <xdr:spPr>
          <a:xfrm>
            <a:off x="6073762" y="166686"/>
            <a:ext cx="1424008" cy="326231"/>
          </a:xfrm>
          <a:prstGeom prst="roundRect">
            <a:avLst/>
          </a:prstGeom>
          <a:solidFill>
            <a:srgbClr val="0070C0"/>
          </a:solidFill>
          <a:ln w="19050">
            <a:solidFill>
              <a:schemeClr val="bg2"/>
            </a:solidFill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fr-FR" sz="1200" b="1">
                <a:solidFill>
                  <a:schemeClr val="bg1"/>
                </a:solidFill>
                <a:latin typeface="Arial" panose="020B0604020202020204" pitchFamily="34" charset="0"/>
                <a:ea typeface="Cambria" panose="02040503050406030204" pitchFamily="18" charset="0"/>
                <a:cs typeface="Arial" panose="020B0604020202020204" pitchFamily="34" charset="0"/>
              </a:rPr>
              <a:t>Entrées_Stock</a:t>
            </a:r>
          </a:p>
        </xdr:txBody>
      </xdr:sp>
      <xdr:sp macro="[0]!ventes" textlink="">
        <xdr:nvSpPr>
          <xdr:cNvPr id="23" name="Rectangle à coins arrondis 22"/>
          <xdr:cNvSpPr/>
        </xdr:nvSpPr>
        <xdr:spPr>
          <a:xfrm>
            <a:off x="8318880" y="166686"/>
            <a:ext cx="1424008" cy="326231"/>
          </a:xfrm>
          <a:prstGeom prst="roundRect">
            <a:avLst/>
          </a:prstGeom>
          <a:solidFill>
            <a:schemeClr val="bg1"/>
          </a:solidFill>
          <a:ln w="19050">
            <a:solidFill>
              <a:schemeClr val="bg2"/>
            </a:soli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fr-FR" sz="1200" b="1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Cambria" panose="02040503050406030204" pitchFamily="18" charset="0"/>
                <a:cs typeface="Arial" panose="020B0604020202020204" pitchFamily="34" charset="0"/>
              </a:rPr>
              <a:t>Ventes</a:t>
            </a:r>
          </a:p>
        </xdr:txBody>
      </xdr:sp>
      <xdr:sp macro="[0]!sorties" textlink="">
        <xdr:nvSpPr>
          <xdr:cNvPr id="24" name="Rectangle à coins arrondis 23"/>
          <xdr:cNvSpPr/>
        </xdr:nvSpPr>
        <xdr:spPr>
          <a:xfrm>
            <a:off x="10468748" y="166686"/>
            <a:ext cx="1424008" cy="326231"/>
          </a:xfrm>
          <a:prstGeom prst="roundRect">
            <a:avLst/>
          </a:prstGeom>
          <a:solidFill>
            <a:schemeClr val="bg1"/>
          </a:solidFill>
          <a:ln w="19050">
            <a:solidFill>
              <a:schemeClr val="bg2"/>
            </a:soli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fr-FR" sz="1200" b="1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Cambria" panose="02040503050406030204" pitchFamily="18" charset="0"/>
                <a:cs typeface="Arial" panose="020B0604020202020204" pitchFamily="34" charset="0"/>
              </a:rPr>
              <a:t>Sorties</a:t>
            </a:r>
          </a:p>
        </xdr:txBody>
      </xdr:sp>
      <xdr:sp macro="[0]!Mouvements" textlink="">
        <xdr:nvSpPr>
          <xdr:cNvPr id="25" name="Rectangle à coins arrondis 24"/>
          <xdr:cNvSpPr/>
        </xdr:nvSpPr>
        <xdr:spPr>
          <a:xfrm>
            <a:off x="12654333" y="166686"/>
            <a:ext cx="1424008" cy="326231"/>
          </a:xfrm>
          <a:prstGeom prst="roundRect">
            <a:avLst/>
          </a:prstGeom>
          <a:solidFill>
            <a:schemeClr val="bg1"/>
          </a:solidFill>
          <a:ln w="19050">
            <a:solidFill>
              <a:schemeClr val="bg2"/>
            </a:soli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fr-FR" sz="1200" b="1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Cambria" panose="02040503050406030204" pitchFamily="18" charset="0"/>
                <a:cs typeface="Arial" panose="020B0604020202020204" pitchFamily="34" charset="0"/>
              </a:rPr>
              <a:t>Mouvements</a:t>
            </a:r>
          </a:p>
        </xdr:txBody>
      </xdr:sp>
    </xdr:grpSp>
    <xdr:clientData/>
  </xdr:twoCellAnchor>
  <xdr:twoCellAnchor editAs="absolute">
    <xdr:from>
      <xdr:col>1</xdr:col>
      <xdr:colOff>3</xdr:colOff>
      <xdr:row>0</xdr:row>
      <xdr:rowOff>59534</xdr:rowOff>
    </xdr:from>
    <xdr:to>
      <xdr:col>2</xdr:col>
      <xdr:colOff>488157</xdr:colOff>
      <xdr:row>2</xdr:row>
      <xdr:rowOff>158721</xdr:rowOff>
    </xdr:to>
    <xdr:pic>
      <xdr:nvPicPr>
        <xdr:cNvPr id="12" name="Image 11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8935" t="19598" r="27403" b="19648"/>
        <a:stretch/>
      </xdr:blipFill>
      <xdr:spPr>
        <a:xfrm>
          <a:off x="381003" y="59534"/>
          <a:ext cx="857248" cy="504000"/>
        </a:xfrm>
        <a:prstGeom prst="rect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11</xdr:col>
      <xdr:colOff>535783</xdr:colOff>
      <xdr:row>0</xdr:row>
      <xdr:rowOff>87433</xdr:rowOff>
    </xdr:from>
    <xdr:to>
      <xdr:col>12</xdr:col>
      <xdr:colOff>198756</xdr:colOff>
      <xdr:row>2</xdr:row>
      <xdr:rowOff>107593</xdr:rowOff>
    </xdr:to>
    <xdr:pic macro="[0]!actualiser">
      <xdr:nvPicPr>
        <xdr:cNvPr id="13" name="Image 1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9113858">
          <a:off x="14954252" y="87433"/>
          <a:ext cx="424973" cy="424973"/>
        </a:xfrm>
        <a:prstGeom prst="rect">
          <a:avLst/>
        </a:prstGeom>
      </xdr:spPr>
    </xdr:pic>
    <xdr:clientData/>
  </xdr:twoCellAnchor>
  <xdr:twoCellAnchor>
    <xdr:from>
      <xdr:col>5</xdr:col>
      <xdr:colOff>916780</xdr:colOff>
      <xdr:row>5</xdr:row>
      <xdr:rowOff>11903</xdr:rowOff>
    </xdr:from>
    <xdr:to>
      <xdr:col>6</xdr:col>
      <xdr:colOff>1014564</xdr:colOff>
      <xdr:row>6</xdr:row>
      <xdr:rowOff>131134</xdr:rowOff>
    </xdr:to>
    <xdr:sp macro="[0]!OverUserStock" textlink="">
      <xdr:nvSpPr>
        <xdr:cNvPr id="14" name="Rectangle à coins arrondis 13"/>
        <xdr:cNvSpPr/>
      </xdr:nvSpPr>
      <xdr:spPr>
        <a:xfrm>
          <a:off x="7274718" y="1023934"/>
          <a:ext cx="1550346" cy="321638"/>
        </a:xfrm>
        <a:prstGeom prst="roundRect">
          <a:avLst/>
        </a:prstGeom>
        <a:solidFill>
          <a:srgbClr val="00B050"/>
        </a:solidFill>
        <a:ln w="19050">
          <a:solidFill>
            <a:schemeClr val="bg2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200" b="1">
              <a:solidFill>
                <a:schemeClr val="bg1"/>
              </a:solidFill>
              <a:latin typeface="Arial" panose="020B0604020202020204" pitchFamily="34" charset="0"/>
              <a:ea typeface="Cambria" panose="02040503050406030204" pitchFamily="18" charset="0"/>
              <a:cs typeface="Arial" panose="020B0604020202020204" pitchFamily="34" charset="0"/>
            </a:rPr>
            <a:t>Formulaire</a:t>
          </a:r>
          <a:r>
            <a:rPr lang="fr-FR" sz="1200" b="1" baseline="0">
              <a:solidFill>
                <a:schemeClr val="bg1"/>
              </a:solidFill>
              <a:latin typeface="Arial" panose="020B0604020202020204" pitchFamily="34" charset="0"/>
              <a:ea typeface="Cambria" panose="02040503050406030204" pitchFamily="18" charset="0"/>
              <a:cs typeface="Arial" panose="020B0604020202020204" pitchFamily="34" charset="0"/>
            </a:rPr>
            <a:t> Stock</a:t>
          </a:r>
          <a:endParaRPr lang="fr-FR" sz="1200" b="1">
            <a:solidFill>
              <a:schemeClr val="bg1"/>
            </a:solidFill>
            <a:latin typeface="Arial" panose="020B0604020202020204" pitchFamily="34" charset="0"/>
            <a:ea typeface="Cambria" panose="02040503050406030204" pitchFamily="18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178593</xdr:rowOff>
    </xdr:from>
    <xdr:to>
      <xdr:col>14</xdr:col>
      <xdr:colOff>535781</xdr:colOff>
      <xdr:row>3</xdr:row>
      <xdr:rowOff>11907</xdr:rowOff>
    </xdr:to>
    <xdr:cxnSp macro="">
      <xdr:nvCxnSpPr>
        <xdr:cNvPr id="4" name="Connecteur droit 3"/>
        <xdr:cNvCxnSpPr/>
      </xdr:nvCxnSpPr>
      <xdr:spPr>
        <a:xfrm flipV="1">
          <a:off x="0" y="583406"/>
          <a:ext cx="17180719" cy="3572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0</xdr:row>
      <xdr:rowOff>166688</xdr:rowOff>
    </xdr:from>
    <xdr:to>
      <xdr:col>10</xdr:col>
      <xdr:colOff>362338</xdr:colOff>
      <xdr:row>2</xdr:row>
      <xdr:rowOff>88106</xdr:rowOff>
    </xdr:to>
    <xdr:grpSp>
      <xdr:nvGrpSpPr>
        <xdr:cNvPr id="12" name="Groupe 11"/>
        <xdr:cNvGrpSpPr/>
      </xdr:nvGrpSpPr>
      <xdr:grpSpPr>
        <a:xfrm>
          <a:off x="1690688" y="166688"/>
          <a:ext cx="12197150" cy="326231"/>
          <a:chOff x="1976440" y="166686"/>
          <a:chExt cx="12101901" cy="326231"/>
        </a:xfrm>
      </xdr:grpSpPr>
      <xdr:sp macro="[0]!Dashboard" textlink="">
        <xdr:nvSpPr>
          <xdr:cNvPr id="13" name="Rectangle à coins arrondis 12"/>
          <xdr:cNvSpPr/>
        </xdr:nvSpPr>
        <xdr:spPr>
          <a:xfrm>
            <a:off x="1976440" y="166686"/>
            <a:ext cx="1424008" cy="326231"/>
          </a:xfrm>
          <a:prstGeom prst="roundRect">
            <a:avLst/>
          </a:prstGeom>
          <a:solidFill>
            <a:schemeClr val="bg1"/>
          </a:solidFill>
          <a:ln w="19050">
            <a:solidFill>
              <a:schemeClr val="bg2"/>
            </a:soli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200" b="1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Cambria" panose="02040503050406030204" pitchFamily="18" charset="0"/>
                <a:cs typeface="Arial" panose="020B0604020202020204" pitchFamily="34" charset="0"/>
              </a:rPr>
              <a:t>Tableau</a:t>
            </a:r>
            <a:r>
              <a:rPr lang="fr-FR" sz="1200" b="1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Cambria" panose="02040503050406030204" pitchFamily="18" charset="0"/>
                <a:cs typeface="Arial" panose="020B0604020202020204" pitchFamily="34" charset="0"/>
              </a:rPr>
              <a:t> de Bord</a:t>
            </a:r>
            <a:endParaRPr lang="fr-FR" sz="1200" b="1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Cambria" panose="02040503050406030204" pitchFamily="18" charset="0"/>
              <a:cs typeface="Arial" panose="020B0604020202020204" pitchFamily="34" charset="0"/>
            </a:endParaRPr>
          </a:p>
        </xdr:txBody>
      </xdr:sp>
      <xdr:sp macro="[0]!Produits" textlink="">
        <xdr:nvSpPr>
          <xdr:cNvPr id="14" name="Rectangle à coins arrondis 13"/>
          <xdr:cNvSpPr/>
        </xdr:nvSpPr>
        <xdr:spPr>
          <a:xfrm>
            <a:off x="4019147" y="166686"/>
            <a:ext cx="1424008" cy="326231"/>
          </a:xfrm>
          <a:prstGeom prst="roundRect">
            <a:avLst/>
          </a:prstGeom>
          <a:solidFill>
            <a:schemeClr val="bg1"/>
          </a:solidFill>
          <a:ln w="19050">
            <a:solidFill>
              <a:schemeClr val="bg2"/>
            </a:soli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fr-FR" sz="1200" b="1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Cambria" panose="02040503050406030204" pitchFamily="18" charset="0"/>
                <a:cs typeface="Arial" panose="020B0604020202020204" pitchFamily="34" charset="0"/>
              </a:rPr>
              <a:t>Produits</a:t>
            </a:r>
          </a:p>
        </xdr:txBody>
      </xdr:sp>
      <xdr:sp macro="[0]!Entrées_stock" textlink="">
        <xdr:nvSpPr>
          <xdr:cNvPr id="15" name="Rectangle à coins arrondis 14"/>
          <xdr:cNvSpPr/>
        </xdr:nvSpPr>
        <xdr:spPr>
          <a:xfrm>
            <a:off x="6073762" y="166686"/>
            <a:ext cx="1424008" cy="326231"/>
          </a:xfrm>
          <a:prstGeom prst="roundRect">
            <a:avLst/>
          </a:prstGeom>
          <a:solidFill>
            <a:schemeClr val="bg1"/>
          </a:solidFill>
          <a:ln w="19050">
            <a:solidFill>
              <a:schemeClr val="bg2"/>
            </a:soli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fr-FR" sz="1200" b="1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Cambria" panose="02040503050406030204" pitchFamily="18" charset="0"/>
                <a:cs typeface="Arial" panose="020B0604020202020204" pitchFamily="34" charset="0"/>
              </a:rPr>
              <a:t>Entrées_Stock</a:t>
            </a:r>
          </a:p>
        </xdr:txBody>
      </xdr:sp>
      <xdr:sp macro="[0]!ventes" textlink="">
        <xdr:nvSpPr>
          <xdr:cNvPr id="16" name="Rectangle à coins arrondis 15"/>
          <xdr:cNvSpPr/>
        </xdr:nvSpPr>
        <xdr:spPr>
          <a:xfrm>
            <a:off x="8318880" y="166686"/>
            <a:ext cx="1424008" cy="326231"/>
          </a:xfrm>
          <a:prstGeom prst="roundRect">
            <a:avLst/>
          </a:prstGeom>
          <a:solidFill>
            <a:srgbClr val="0070C0"/>
          </a:solidFill>
          <a:ln w="19050">
            <a:solidFill>
              <a:schemeClr val="bg2"/>
            </a:solidFill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fr-FR" sz="1200" b="1">
                <a:solidFill>
                  <a:schemeClr val="bg1"/>
                </a:solidFill>
                <a:latin typeface="Arial" panose="020B0604020202020204" pitchFamily="34" charset="0"/>
                <a:ea typeface="Cambria" panose="02040503050406030204" pitchFamily="18" charset="0"/>
                <a:cs typeface="Arial" panose="020B0604020202020204" pitchFamily="34" charset="0"/>
              </a:rPr>
              <a:t>Ventes</a:t>
            </a:r>
          </a:p>
        </xdr:txBody>
      </xdr:sp>
      <xdr:sp macro="[0]!sorties" textlink="">
        <xdr:nvSpPr>
          <xdr:cNvPr id="17" name="Rectangle à coins arrondis 16"/>
          <xdr:cNvSpPr/>
        </xdr:nvSpPr>
        <xdr:spPr>
          <a:xfrm>
            <a:off x="10468748" y="166686"/>
            <a:ext cx="1424008" cy="326231"/>
          </a:xfrm>
          <a:prstGeom prst="roundRect">
            <a:avLst/>
          </a:prstGeom>
          <a:solidFill>
            <a:schemeClr val="bg1"/>
          </a:solidFill>
          <a:ln w="19050">
            <a:solidFill>
              <a:schemeClr val="bg2"/>
            </a:soli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fr-FR" sz="1200" b="1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Cambria" panose="02040503050406030204" pitchFamily="18" charset="0"/>
                <a:cs typeface="Arial" panose="020B0604020202020204" pitchFamily="34" charset="0"/>
              </a:rPr>
              <a:t>Sorties</a:t>
            </a:r>
          </a:p>
        </xdr:txBody>
      </xdr:sp>
      <xdr:sp macro="[0]!Mouvements" textlink="">
        <xdr:nvSpPr>
          <xdr:cNvPr id="18" name="Rectangle à coins arrondis 17"/>
          <xdr:cNvSpPr/>
        </xdr:nvSpPr>
        <xdr:spPr>
          <a:xfrm>
            <a:off x="12654333" y="166686"/>
            <a:ext cx="1424008" cy="326231"/>
          </a:xfrm>
          <a:prstGeom prst="roundRect">
            <a:avLst/>
          </a:prstGeom>
          <a:solidFill>
            <a:schemeClr val="bg1"/>
          </a:solidFill>
          <a:ln w="19050">
            <a:solidFill>
              <a:schemeClr val="bg2"/>
            </a:soli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fr-FR" sz="1200" b="1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Cambria" panose="02040503050406030204" pitchFamily="18" charset="0"/>
                <a:cs typeface="Arial" panose="020B0604020202020204" pitchFamily="34" charset="0"/>
              </a:rPr>
              <a:t>Mouvements</a:t>
            </a:r>
          </a:p>
        </xdr:txBody>
      </xdr:sp>
    </xdr:grpSp>
    <xdr:clientData/>
  </xdr:twoCellAnchor>
  <xdr:twoCellAnchor editAs="oneCell">
    <xdr:from>
      <xdr:col>0</xdr:col>
      <xdr:colOff>369097</xdr:colOff>
      <xdr:row>0</xdr:row>
      <xdr:rowOff>71440</xdr:rowOff>
    </xdr:from>
    <xdr:to>
      <xdr:col>2</xdr:col>
      <xdr:colOff>483395</xdr:colOff>
      <xdr:row>2</xdr:row>
      <xdr:rowOff>170627</xdr:rowOff>
    </xdr:to>
    <xdr:pic>
      <xdr:nvPicPr>
        <xdr:cNvPr id="19" name="Image 18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8935" t="19598" r="27403" b="19648"/>
        <a:stretch/>
      </xdr:blipFill>
      <xdr:spPr>
        <a:xfrm>
          <a:off x="369097" y="71440"/>
          <a:ext cx="857248" cy="504000"/>
        </a:xfrm>
        <a:prstGeom prst="rect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11</xdr:col>
      <xdr:colOff>666756</xdr:colOff>
      <xdr:row>0</xdr:row>
      <xdr:rowOff>119062</xdr:rowOff>
    </xdr:from>
    <xdr:to>
      <xdr:col>11</xdr:col>
      <xdr:colOff>1091729</xdr:colOff>
      <xdr:row>2</xdr:row>
      <xdr:rowOff>139222</xdr:rowOff>
    </xdr:to>
    <xdr:pic macro="[0]!actualiser">
      <xdr:nvPicPr>
        <xdr:cNvPr id="20" name="Image 19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9113858">
          <a:off x="14954256" y="119062"/>
          <a:ext cx="424973" cy="424973"/>
        </a:xfrm>
        <a:prstGeom prst="rect">
          <a:avLst/>
        </a:prstGeom>
      </xdr:spPr>
    </xdr:pic>
    <xdr:clientData/>
  </xdr:twoCellAnchor>
  <xdr:twoCellAnchor>
    <xdr:from>
      <xdr:col>5</xdr:col>
      <xdr:colOff>773901</xdr:colOff>
      <xdr:row>4</xdr:row>
      <xdr:rowOff>154778</xdr:rowOff>
    </xdr:from>
    <xdr:to>
      <xdr:col>6</xdr:col>
      <xdr:colOff>871685</xdr:colOff>
      <xdr:row>6</xdr:row>
      <xdr:rowOff>71603</xdr:rowOff>
    </xdr:to>
    <xdr:sp macro="[0]!OverUserVentes" textlink="">
      <xdr:nvSpPr>
        <xdr:cNvPr id="21" name="Rectangle à coins arrondis 20"/>
        <xdr:cNvSpPr/>
      </xdr:nvSpPr>
      <xdr:spPr>
        <a:xfrm>
          <a:off x="6905620" y="964403"/>
          <a:ext cx="1550346" cy="321638"/>
        </a:xfrm>
        <a:prstGeom prst="roundRect">
          <a:avLst/>
        </a:prstGeom>
        <a:solidFill>
          <a:srgbClr val="00B050"/>
        </a:solidFill>
        <a:ln w="19050">
          <a:solidFill>
            <a:schemeClr val="bg2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200" b="1">
              <a:solidFill>
                <a:schemeClr val="bg1"/>
              </a:solidFill>
              <a:latin typeface="Arial" panose="020B0604020202020204" pitchFamily="34" charset="0"/>
              <a:ea typeface="Cambria" panose="02040503050406030204" pitchFamily="18" charset="0"/>
              <a:cs typeface="Arial" panose="020B0604020202020204" pitchFamily="34" charset="0"/>
            </a:rPr>
            <a:t>Formulaire</a:t>
          </a:r>
          <a:r>
            <a:rPr lang="fr-FR" sz="1200" b="1" baseline="0">
              <a:solidFill>
                <a:schemeClr val="bg1"/>
              </a:solidFill>
              <a:latin typeface="Arial" panose="020B0604020202020204" pitchFamily="34" charset="0"/>
              <a:ea typeface="Cambria" panose="02040503050406030204" pitchFamily="18" charset="0"/>
              <a:cs typeface="Arial" panose="020B0604020202020204" pitchFamily="34" charset="0"/>
            </a:rPr>
            <a:t> Ventes</a:t>
          </a:r>
          <a:endParaRPr lang="fr-FR" sz="1200" b="1">
            <a:solidFill>
              <a:schemeClr val="bg1"/>
            </a:solidFill>
            <a:latin typeface="Arial" panose="020B0604020202020204" pitchFamily="34" charset="0"/>
            <a:ea typeface="Cambria" panose="02040503050406030204" pitchFamily="18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178593</xdr:rowOff>
    </xdr:from>
    <xdr:to>
      <xdr:col>15</xdr:col>
      <xdr:colOff>642938</xdr:colOff>
      <xdr:row>3</xdr:row>
      <xdr:rowOff>11907</xdr:rowOff>
    </xdr:to>
    <xdr:cxnSp macro="">
      <xdr:nvCxnSpPr>
        <xdr:cNvPr id="4" name="Connecteur droit 3"/>
        <xdr:cNvCxnSpPr/>
      </xdr:nvCxnSpPr>
      <xdr:spPr>
        <a:xfrm flipV="1">
          <a:off x="0" y="583406"/>
          <a:ext cx="17180719" cy="3572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0</xdr:row>
      <xdr:rowOff>166688</xdr:rowOff>
    </xdr:from>
    <xdr:to>
      <xdr:col>11</xdr:col>
      <xdr:colOff>469495</xdr:colOff>
      <xdr:row>2</xdr:row>
      <xdr:rowOff>88106</xdr:rowOff>
    </xdr:to>
    <xdr:grpSp>
      <xdr:nvGrpSpPr>
        <xdr:cNvPr id="12" name="Groupe 11"/>
        <xdr:cNvGrpSpPr/>
      </xdr:nvGrpSpPr>
      <xdr:grpSpPr>
        <a:xfrm>
          <a:off x="1678781" y="166688"/>
          <a:ext cx="12756745" cy="326231"/>
          <a:chOff x="1976440" y="166686"/>
          <a:chExt cx="12101901" cy="326231"/>
        </a:xfrm>
      </xdr:grpSpPr>
      <xdr:sp macro="[0]!Dashboard" textlink="">
        <xdr:nvSpPr>
          <xdr:cNvPr id="13" name="Rectangle à coins arrondis 12"/>
          <xdr:cNvSpPr/>
        </xdr:nvSpPr>
        <xdr:spPr>
          <a:xfrm>
            <a:off x="1976440" y="166686"/>
            <a:ext cx="1424008" cy="326231"/>
          </a:xfrm>
          <a:prstGeom prst="roundRect">
            <a:avLst/>
          </a:prstGeom>
          <a:solidFill>
            <a:schemeClr val="bg1"/>
          </a:solidFill>
          <a:ln w="19050">
            <a:solidFill>
              <a:schemeClr val="bg2"/>
            </a:soli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200" b="1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Cambria" panose="02040503050406030204" pitchFamily="18" charset="0"/>
                <a:cs typeface="Arial" panose="020B0604020202020204" pitchFamily="34" charset="0"/>
              </a:rPr>
              <a:t>Tableau</a:t>
            </a:r>
            <a:r>
              <a:rPr lang="fr-FR" sz="1200" b="1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Cambria" panose="02040503050406030204" pitchFamily="18" charset="0"/>
                <a:cs typeface="Arial" panose="020B0604020202020204" pitchFamily="34" charset="0"/>
              </a:rPr>
              <a:t> de Bord</a:t>
            </a:r>
            <a:endParaRPr lang="fr-FR" sz="1200" b="1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Cambria" panose="02040503050406030204" pitchFamily="18" charset="0"/>
              <a:cs typeface="Arial" panose="020B0604020202020204" pitchFamily="34" charset="0"/>
            </a:endParaRPr>
          </a:p>
        </xdr:txBody>
      </xdr:sp>
      <xdr:sp macro="[0]!Produits" textlink="">
        <xdr:nvSpPr>
          <xdr:cNvPr id="14" name="Rectangle à coins arrondis 13"/>
          <xdr:cNvSpPr/>
        </xdr:nvSpPr>
        <xdr:spPr>
          <a:xfrm>
            <a:off x="4019147" y="166686"/>
            <a:ext cx="1424008" cy="326231"/>
          </a:xfrm>
          <a:prstGeom prst="roundRect">
            <a:avLst/>
          </a:prstGeom>
          <a:solidFill>
            <a:schemeClr val="bg1"/>
          </a:solidFill>
          <a:ln w="19050">
            <a:solidFill>
              <a:schemeClr val="bg2"/>
            </a:soli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fr-FR" sz="1200" b="1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Cambria" panose="02040503050406030204" pitchFamily="18" charset="0"/>
                <a:cs typeface="Arial" panose="020B0604020202020204" pitchFamily="34" charset="0"/>
              </a:rPr>
              <a:t>Produits</a:t>
            </a:r>
          </a:p>
        </xdr:txBody>
      </xdr:sp>
      <xdr:sp macro="[0]!Entrées_stock" textlink="">
        <xdr:nvSpPr>
          <xdr:cNvPr id="15" name="Rectangle à coins arrondis 14"/>
          <xdr:cNvSpPr/>
        </xdr:nvSpPr>
        <xdr:spPr>
          <a:xfrm>
            <a:off x="6073762" y="166686"/>
            <a:ext cx="1424008" cy="326231"/>
          </a:xfrm>
          <a:prstGeom prst="roundRect">
            <a:avLst/>
          </a:prstGeom>
          <a:solidFill>
            <a:schemeClr val="bg1"/>
          </a:solidFill>
          <a:ln w="19050">
            <a:solidFill>
              <a:schemeClr val="bg2"/>
            </a:soli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fr-FR" sz="1200" b="1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Cambria" panose="02040503050406030204" pitchFamily="18" charset="0"/>
                <a:cs typeface="Arial" panose="020B0604020202020204" pitchFamily="34" charset="0"/>
              </a:rPr>
              <a:t>Entrées_Stock</a:t>
            </a:r>
          </a:p>
        </xdr:txBody>
      </xdr:sp>
      <xdr:sp macro="[0]!ventes" textlink="">
        <xdr:nvSpPr>
          <xdr:cNvPr id="16" name="Rectangle à coins arrondis 15"/>
          <xdr:cNvSpPr/>
        </xdr:nvSpPr>
        <xdr:spPr>
          <a:xfrm>
            <a:off x="8318880" y="166686"/>
            <a:ext cx="1424008" cy="326231"/>
          </a:xfrm>
          <a:prstGeom prst="roundRect">
            <a:avLst/>
          </a:prstGeom>
          <a:solidFill>
            <a:schemeClr val="bg1"/>
          </a:solidFill>
          <a:ln w="19050">
            <a:solidFill>
              <a:schemeClr val="bg2"/>
            </a:soli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fr-FR" sz="1200" b="1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Cambria" panose="02040503050406030204" pitchFamily="18" charset="0"/>
                <a:cs typeface="Arial" panose="020B0604020202020204" pitchFamily="34" charset="0"/>
              </a:rPr>
              <a:t>Ventes</a:t>
            </a:r>
          </a:p>
        </xdr:txBody>
      </xdr:sp>
      <xdr:sp macro="[0]!sorties" textlink="">
        <xdr:nvSpPr>
          <xdr:cNvPr id="17" name="Rectangle à coins arrondis 16"/>
          <xdr:cNvSpPr/>
        </xdr:nvSpPr>
        <xdr:spPr>
          <a:xfrm>
            <a:off x="10468748" y="166686"/>
            <a:ext cx="1424008" cy="326231"/>
          </a:xfrm>
          <a:prstGeom prst="roundRect">
            <a:avLst/>
          </a:prstGeom>
          <a:solidFill>
            <a:srgbClr val="0070C0"/>
          </a:solidFill>
          <a:ln w="19050">
            <a:solidFill>
              <a:schemeClr val="bg2"/>
            </a:solidFill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fr-FR" sz="1200" b="1">
                <a:solidFill>
                  <a:schemeClr val="bg1"/>
                </a:solidFill>
                <a:latin typeface="Arial" panose="020B0604020202020204" pitchFamily="34" charset="0"/>
                <a:ea typeface="Cambria" panose="02040503050406030204" pitchFamily="18" charset="0"/>
                <a:cs typeface="Arial" panose="020B0604020202020204" pitchFamily="34" charset="0"/>
              </a:rPr>
              <a:t>Sorties</a:t>
            </a:r>
          </a:p>
        </xdr:txBody>
      </xdr:sp>
      <xdr:sp macro="[0]!Mouvements" textlink="">
        <xdr:nvSpPr>
          <xdr:cNvPr id="18" name="Rectangle à coins arrondis 17"/>
          <xdr:cNvSpPr/>
        </xdr:nvSpPr>
        <xdr:spPr>
          <a:xfrm>
            <a:off x="12654333" y="166686"/>
            <a:ext cx="1424008" cy="326231"/>
          </a:xfrm>
          <a:prstGeom prst="roundRect">
            <a:avLst/>
          </a:prstGeom>
          <a:solidFill>
            <a:schemeClr val="bg1"/>
          </a:solidFill>
          <a:ln w="19050">
            <a:solidFill>
              <a:schemeClr val="bg2"/>
            </a:soli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fr-FR" sz="1200" b="1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Cambria" panose="02040503050406030204" pitchFamily="18" charset="0"/>
                <a:cs typeface="Arial" panose="020B0604020202020204" pitchFamily="34" charset="0"/>
              </a:rPr>
              <a:t>Mouvements</a:t>
            </a:r>
          </a:p>
        </xdr:txBody>
      </xdr:sp>
    </xdr:grpSp>
    <xdr:clientData/>
  </xdr:twoCellAnchor>
  <xdr:twoCellAnchor editAs="oneCell">
    <xdr:from>
      <xdr:col>0</xdr:col>
      <xdr:colOff>309567</xdr:colOff>
      <xdr:row>0</xdr:row>
      <xdr:rowOff>71440</xdr:rowOff>
    </xdr:from>
    <xdr:to>
      <xdr:col>2</xdr:col>
      <xdr:colOff>464346</xdr:colOff>
      <xdr:row>2</xdr:row>
      <xdr:rowOff>170627</xdr:rowOff>
    </xdr:to>
    <xdr:pic>
      <xdr:nvPicPr>
        <xdr:cNvPr id="19" name="Image 18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8935" t="19598" r="27403" b="19648"/>
        <a:stretch/>
      </xdr:blipFill>
      <xdr:spPr>
        <a:xfrm>
          <a:off x="309567" y="71440"/>
          <a:ext cx="857248" cy="504000"/>
        </a:xfrm>
        <a:prstGeom prst="rect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13</xdr:col>
      <xdr:colOff>238124</xdr:colOff>
      <xdr:row>0</xdr:row>
      <xdr:rowOff>119062</xdr:rowOff>
    </xdr:from>
    <xdr:to>
      <xdr:col>13</xdr:col>
      <xdr:colOff>663097</xdr:colOff>
      <xdr:row>2</xdr:row>
      <xdr:rowOff>139222</xdr:rowOff>
    </xdr:to>
    <xdr:pic macro="[0]!actualiser">
      <xdr:nvPicPr>
        <xdr:cNvPr id="20" name="Image 19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9113858">
          <a:off x="15025687" y="119062"/>
          <a:ext cx="424973" cy="424973"/>
        </a:xfrm>
        <a:prstGeom prst="rect">
          <a:avLst/>
        </a:prstGeom>
      </xdr:spPr>
    </xdr:pic>
    <xdr:clientData/>
  </xdr:twoCellAnchor>
  <xdr:twoCellAnchor>
    <xdr:from>
      <xdr:col>5</xdr:col>
      <xdr:colOff>654844</xdr:colOff>
      <xdr:row>5</xdr:row>
      <xdr:rowOff>0</xdr:rowOff>
    </xdr:from>
    <xdr:to>
      <xdr:col>6</xdr:col>
      <xdr:colOff>800252</xdr:colOff>
      <xdr:row>6</xdr:row>
      <xdr:rowOff>119231</xdr:rowOff>
    </xdr:to>
    <xdr:sp macro="[0]!OverUserSorties" textlink="">
      <xdr:nvSpPr>
        <xdr:cNvPr id="21" name="Rectangle à coins arrondis 20"/>
        <xdr:cNvSpPr/>
      </xdr:nvSpPr>
      <xdr:spPr>
        <a:xfrm>
          <a:off x="6238875" y="1012031"/>
          <a:ext cx="1550346" cy="321638"/>
        </a:xfrm>
        <a:prstGeom prst="roundRect">
          <a:avLst/>
        </a:prstGeom>
        <a:solidFill>
          <a:srgbClr val="00B050"/>
        </a:solidFill>
        <a:ln w="19050">
          <a:solidFill>
            <a:schemeClr val="bg2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200" b="1">
              <a:solidFill>
                <a:schemeClr val="bg1"/>
              </a:solidFill>
              <a:latin typeface="Arial" panose="020B0604020202020204" pitchFamily="34" charset="0"/>
              <a:ea typeface="Cambria" panose="02040503050406030204" pitchFamily="18" charset="0"/>
              <a:cs typeface="Arial" panose="020B0604020202020204" pitchFamily="34" charset="0"/>
            </a:rPr>
            <a:t>Formulaire</a:t>
          </a:r>
          <a:r>
            <a:rPr lang="fr-FR" sz="1200" b="1" baseline="0">
              <a:solidFill>
                <a:schemeClr val="bg1"/>
              </a:solidFill>
              <a:latin typeface="Arial" panose="020B0604020202020204" pitchFamily="34" charset="0"/>
              <a:ea typeface="Cambria" panose="02040503050406030204" pitchFamily="18" charset="0"/>
              <a:cs typeface="Arial" panose="020B0604020202020204" pitchFamily="34" charset="0"/>
            </a:rPr>
            <a:t> Sortie</a:t>
          </a:r>
          <a:endParaRPr lang="fr-FR" sz="1200" b="1">
            <a:solidFill>
              <a:schemeClr val="bg1"/>
            </a:solidFill>
            <a:latin typeface="Arial" panose="020B0604020202020204" pitchFamily="34" charset="0"/>
            <a:ea typeface="Cambria" panose="02040503050406030204" pitchFamily="18" charset="0"/>
            <a:cs typeface="Arial" panose="020B0604020202020204" pitchFamily="34" charset="0"/>
          </a:endParaRPr>
        </a:p>
      </xdr:txBody>
    </xdr:sp>
    <xdr:clientData/>
  </xdr:twoCellAnchor>
  <xdr:twoCellAnchor editAs="oneCell">
    <xdr:from>
      <xdr:col>12</xdr:col>
      <xdr:colOff>404814</xdr:colOff>
      <xdr:row>0</xdr:row>
      <xdr:rowOff>119062</xdr:rowOff>
    </xdr:from>
    <xdr:to>
      <xdr:col>13</xdr:col>
      <xdr:colOff>67787</xdr:colOff>
      <xdr:row>2</xdr:row>
      <xdr:rowOff>140623</xdr:rowOff>
    </xdr:to>
    <xdr:pic macro="[0]!actualiser">
      <xdr:nvPicPr>
        <xdr:cNvPr id="22" name="Image 2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9113858">
          <a:off x="15132845" y="119062"/>
          <a:ext cx="424973" cy="42637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168088</xdr:rowOff>
    </xdr:from>
    <xdr:to>
      <xdr:col>10</xdr:col>
      <xdr:colOff>416719</xdr:colOff>
      <xdr:row>3</xdr:row>
      <xdr:rowOff>2102</xdr:rowOff>
    </xdr:to>
    <xdr:cxnSp macro="">
      <xdr:nvCxnSpPr>
        <xdr:cNvPr id="4" name="Connecteur droit 3"/>
        <xdr:cNvCxnSpPr/>
      </xdr:nvCxnSpPr>
      <xdr:spPr>
        <a:xfrm flipV="1">
          <a:off x="0" y="571500"/>
          <a:ext cx="15152454" cy="3572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2</xdr:col>
      <xdr:colOff>593913</xdr:colOff>
      <xdr:row>0</xdr:row>
      <xdr:rowOff>168088</xdr:rowOff>
    </xdr:from>
    <xdr:to>
      <xdr:col>8</xdr:col>
      <xdr:colOff>246079</xdr:colOff>
      <xdr:row>2</xdr:row>
      <xdr:rowOff>90907</xdr:rowOff>
    </xdr:to>
    <xdr:grpSp>
      <xdr:nvGrpSpPr>
        <xdr:cNvPr id="18" name="Groupe 17"/>
        <xdr:cNvGrpSpPr/>
      </xdr:nvGrpSpPr>
      <xdr:grpSpPr>
        <a:xfrm>
          <a:off x="1355913" y="168088"/>
          <a:ext cx="12106104" cy="327632"/>
          <a:chOff x="1976440" y="166686"/>
          <a:chExt cx="12101901" cy="326231"/>
        </a:xfrm>
      </xdr:grpSpPr>
      <xdr:sp macro="[0]!Dashboard" textlink="">
        <xdr:nvSpPr>
          <xdr:cNvPr id="19" name="Rectangle à coins arrondis 18"/>
          <xdr:cNvSpPr/>
        </xdr:nvSpPr>
        <xdr:spPr>
          <a:xfrm>
            <a:off x="1976440" y="166686"/>
            <a:ext cx="1424008" cy="326231"/>
          </a:xfrm>
          <a:prstGeom prst="roundRect">
            <a:avLst/>
          </a:prstGeom>
          <a:solidFill>
            <a:schemeClr val="bg1"/>
          </a:solidFill>
          <a:ln w="19050">
            <a:solidFill>
              <a:schemeClr val="bg2"/>
            </a:soli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200" b="1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Cambria" panose="02040503050406030204" pitchFamily="18" charset="0"/>
                <a:cs typeface="Arial" panose="020B0604020202020204" pitchFamily="34" charset="0"/>
              </a:rPr>
              <a:t>Tableau</a:t>
            </a:r>
            <a:r>
              <a:rPr lang="fr-FR" sz="1200" b="1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Cambria" panose="02040503050406030204" pitchFamily="18" charset="0"/>
                <a:cs typeface="Arial" panose="020B0604020202020204" pitchFamily="34" charset="0"/>
              </a:rPr>
              <a:t> de Bord</a:t>
            </a:r>
            <a:endParaRPr lang="fr-FR" sz="1200" b="1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Cambria" panose="02040503050406030204" pitchFamily="18" charset="0"/>
              <a:cs typeface="Arial" panose="020B0604020202020204" pitchFamily="34" charset="0"/>
            </a:endParaRPr>
          </a:p>
        </xdr:txBody>
      </xdr:sp>
      <xdr:sp macro="[0]!Produits" textlink="">
        <xdr:nvSpPr>
          <xdr:cNvPr id="20" name="Rectangle à coins arrondis 19"/>
          <xdr:cNvSpPr/>
        </xdr:nvSpPr>
        <xdr:spPr>
          <a:xfrm>
            <a:off x="4019147" y="166686"/>
            <a:ext cx="1424008" cy="326231"/>
          </a:xfrm>
          <a:prstGeom prst="roundRect">
            <a:avLst/>
          </a:prstGeom>
          <a:solidFill>
            <a:schemeClr val="bg1"/>
          </a:solidFill>
          <a:ln w="19050">
            <a:solidFill>
              <a:schemeClr val="bg2"/>
            </a:soli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fr-FR" sz="1200" b="1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Cambria" panose="02040503050406030204" pitchFamily="18" charset="0"/>
                <a:cs typeface="Arial" panose="020B0604020202020204" pitchFamily="34" charset="0"/>
              </a:rPr>
              <a:t>Produits</a:t>
            </a:r>
          </a:p>
        </xdr:txBody>
      </xdr:sp>
      <xdr:sp macro="[0]!Entrées_stock" textlink="">
        <xdr:nvSpPr>
          <xdr:cNvPr id="21" name="Rectangle à coins arrondis 20"/>
          <xdr:cNvSpPr/>
        </xdr:nvSpPr>
        <xdr:spPr>
          <a:xfrm>
            <a:off x="6073762" y="166686"/>
            <a:ext cx="1424008" cy="326231"/>
          </a:xfrm>
          <a:prstGeom prst="roundRect">
            <a:avLst/>
          </a:prstGeom>
          <a:solidFill>
            <a:schemeClr val="bg1"/>
          </a:solidFill>
          <a:ln w="19050">
            <a:solidFill>
              <a:schemeClr val="bg2"/>
            </a:soli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fr-FR" sz="1200" b="1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Cambria" panose="02040503050406030204" pitchFamily="18" charset="0"/>
                <a:cs typeface="Arial" panose="020B0604020202020204" pitchFamily="34" charset="0"/>
              </a:rPr>
              <a:t>Entrées_Stock</a:t>
            </a:r>
          </a:p>
        </xdr:txBody>
      </xdr:sp>
      <xdr:sp macro="[0]!ventes" textlink="">
        <xdr:nvSpPr>
          <xdr:cNvPr id="22" name="Rectangle à coins arrondis 21"/>
          <xdr:cNvSpPr/>
        </xdr:nvSpPr>
        <xdr:spPr>
          <a:xfrm>
            <a:off x="8318880" y="166686"/>
            <a:ext cx="1424008" cy="326231"/>
          </a:xfrm>
          <a:prstGeom prst="roundRect">
            <a:avLst/>
          </a:prstGeom>
          <a:solidFill>
            <a:schemeClr val="bg1"/>
          </a:solidFill>
          <a:ln w="19050">
            <a:solidFill>
              <a:schemeClr val="bg2"/>
            </a:soli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fr-FR" sz="1200" b="1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Cambria" panose="02040503050406030204" pitchFamily="18" charset="0"/>
                <a:cs typeface="Arial" panose="020B0604020202020204" pitchFamily="34" charset="0"/>
              </a:rPr>
              <a:t>Ventes</a:t>
            </a:r>
          </a:p>
        </xdr:txBody>
      </xdr:sp>
      <xdr:sp macro="[0]!sorties" textlink="">
        <xdr:nvSpPr>
          <xdr:cNvPr id="23" name="Rectangle à coins arrondis 22"/>
          <xdr:cNvSpPr/>
        </xdr:nvSpPr>
        <xdr:spPr>
          <a:xfrm>
            <a:off x="10468748" y="166686"/>
            <a:ext cx="1424008" cy="326231"/>
          </a:xfrm>
          <a:prstGeom prst="roundRect">
            <a:avLst/>
          </a:prstGeom>
          <a:solidFill>
            <a:schemeClr val="bg1"/>
          </a:solidFill>
          <a:ln w="19050">
            <a:solidFill>
              <a:schemeClr val="bg2"/>
            </a:soli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fr-FR" sz="1200" b="1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Cambria" panose="02040503050406030204" pitchFamily="18" charset="0"/>
                <a:cs typeface="Arial" panose="020B0604020202020204" pitchFamily="34" charset="0"/>
              </a:rPr>
              <a:t>Sorties</a:t>
            </a:r>
          </a:p>
        </xdr:txBody>
      </xdr:sp>
      <xdr:sp macro="[0]!Mouvements" textlink="">
        <xdr:nvSpPr>
          <xdr:cNvPr id="24" name="Rectangle à coins arrondis 23"/>
          <xdr:cNvSpPr/>
        </xdr:nvSpPr>
        <xdr:spPr>
          <a:xfrm>
            <a:off x="12654333" y="166686"/>
            <a:ext cx="1424008" cy="326231"/>
          </a:xfrm>
          <a:prstGeom prst="roundRect">
            <a:avLst/>
          </a:prstGeom>
          <a:solidFill>
            <a:srgbClr val="0070C0"/>
          </a:solidFill>
          <a:ln w="19050">
            <a:solidFill>
              <a:schemeClr val="bg2"/>
            </a:solidFill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fr-FR" sz="1200" b="1">
                <a:solidFill>
                  <a:schemeClr val="bg1"/>
                </a:solidFill>
                <a:latin typeface="Arial" panose="020B0604020202020204" pitchFamily="34" charset="0"/>
                <a:ea typeface="Cambria" panose="02040503050406030204" pitchFamily="18" charset="0"/>
                <a:cs typeface="Arial" panose="020B0604020202020204" pitchFamily="34" charset="0"/>
              </a:rPr>
              <a:t>Mouvements</a:t>
            </a:r>
          </a:p>
        </xdr:txBody>
      </xdr:sp>
    </xdr:grpSp>
    <xdr:clientData/>
  </xdr:twoCellAnchor>
  <xdr:twoCellAnchor editAs="oneCell">
    <xdr:from>
      <xdr:col>0</xdr:col>
      <xdr:colOff>179296</xdr:colOff>
      <xdr:row>0</xdr:row>
      <xdr:rowOff>56028</xdr:rowOff>
    </xdr:from>
    <xdr:to>
      <xdr:col>2</xdr:col>
      <xdr:colOff>274544</xdr:colOff>
      <xdr:row>2</xdr:row>
      <xdr:rowOff>156616</xdr:rowOff>
    </xdr:to>
    <xdr:pic>
      <xdr:nvPicPr>
        <xdr:cNvPr id="10" name="Image 9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8935" t="19598" r="27403" b="19648"/>
        <a:stretch/>
      </xdr:blipFill>
      <xdr:spPr>
        <a:xfrm>
          <a:off x="179296" y="56028"/>
          <a:ext cx="857248" cy="504000"/>
        </a:xfrm>
        <a:prstGeom prst="rect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9</xdr:col>
      <xdr:colOff>246530</xdr:colOff>
      <xdr:row>0</xdr:row>
      <xdr:rowOff>87433</xdr:rowOff>
    </xdr:from>
    <xdr:to>
      <xdr:col>9</xdr:col>
      <xdr:colOff>671503</xdr:colOff>
      <xdr:row>2</xdr:row>
      <xdr:rowOff>108994</xdr:rowOff>
    </xdr:to>
    <xdr:pic macro="[0]!actualiser">
      <xdr:nvPicPr>
        <xdr:cNvPr id="11" name="Image 10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9113858">
          <a:off x="14220265" y="87433"/>
          <a:ext cx="424973" cy="424973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177801</xdr:colOff>
      <xdr:row>7</xdr:row>
      <xdr:rowOff>142875</xdr:rowOff>
    </xdr:from>
    <xdr:to>
      <xdr:col>4</xdr:col>
      <xdr:colOff>266700</xdr:colOff>
      <xdr:row>10</xdr:row>
      <xdr:rowOff>91506</xdr:rowOff>
    </xdr:to>
    <xdr:sp macro="" textlink="">
      <xdr:nvSpPr>
        <xdr:cNvPr id="22" name="Rectangle à coins arrondis 21"/>
        <xdr:cNvSpPr/>
      </xdr:nvSpPr>
      <xdr:spPr>
        <a:xfrm>
          <a:off x="177801" y="1476375"/>
          <a:ext cx="2641599" cy="520131"/>
        </a:xfrm>
        <a:prstGeom prst="roundRect">
          <a:avLst/>
        </a:prstGeom>
        <a:solidFill>
          <a:schemeClr val="bg1">
            <a:lumMod val="50000"/>
          </a:schemeClr>
        </a:solidFill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2800" b="1">
              <a:solidFill>
                <a:schemeClr val="bg1"/>
              </a:solidFill>
              <a:latin typeface="Georgia" panose="02040502050405020303" pitchFamily="18" charset="0"/>
              <a:ea typeface="+mn-ea"/>
              <a:cs typeface="+mn-cs"/>
            </a:rPr>
            <a:t>MOIS</a:t>
          </a:r>
        </a:p>
      </xdr:txBody>
    </xdr:sp>
    <xdr:clientData/>
  </xdr:twoCellAnchor>
  <xdr:twoCellAnchor>
    <xdr:from>
      <xdr:col>9</xdr:col>
      <xdr:colOff>266700</xdr:colOff>
      <xdr:row>20</xdr:row>
      <xdr:rowOff>95250</xdr:rowOff>
    </xdr:from>
    <xdr:to>
      <xdr:col>33</xdr:col>
      <xdr:colOff>760602</xdr:colOff>
      <xdr:row>39</xdr:row>
      <xdr:rowOff>95250</xdr:rowOff>
    </xdr:to>
    <xdr:grpSp>
      <xdr:nvGrpSpPr>
        <xdr:cNvPr id="2" name="Groupe 1"/>
        <xdr:cNvGrpSpPr/>
      </xdr:nvGrpSpPr>
      <xdr:grpSpPr>
        <a:xfrm>
          <a:off x="6324600" y="3638550"/>
          <a:ext cx="18781902" cy="3581400"/>
          <a:chOff x="6324600" y="2209800"/>
          <a:chExt cx="15426098" cy="3848100"/>
        </a:xfrm>
      </xdr:grpSpPr>
      <xdr:sp macro="" textlink="">
        <xdr:nvSpPr>
          <xdr:cNvPr id="30" name="Organigramme : Alternative 29"/>
          <xdr:cNvSpPr/>
        </xdr:nvSpPr>
        <xdr:spPr>
          <a:xfrm>
            <a:off x="6324600" y="2209800"/>
            <a:ext cx="15426098" cy="3848100"/>
          </a:xfrm>
          <a:prstGeom prst="flowChartAlternateProcess">
            <a:avLst/>
          </a:prstGeom>
          <a:solidFill>
            <a:schemeClr val="bg1"/>
          </a:solidFill>
          <a:ln w="1905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graphicFrame macro="">
        <xdr:nvGraphicFramePr>
          <xdr:cNvPr id="29" name="Graphique 28"/>
          <xdr:cNvGraphicFramePr>
            <a:graphicFrameLocks/>
          </xdr:cNvGraphicFramePr>
        </xdr:nvGraphicFramePr>
        <xdr:xfrm>
          <a:off x="6705600" y="2432234"/>
          <a:ext cx="14992350" cy="326371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</xdr:grpSp>
    <xdr:clientData/>
  </xdr:twoCellAnchor>
  <xdr:twoCellAnchor editAs="oneCell">
    <xdr:from>
      <xdr:col>0</xdr:col>
      <xdr:colOff>180975</xdr:colOff>
      <xdr:row>11</xdr:row>
      <xdr:rowOff>57149</xdr:rowOff>
    </xdr:from>
    <xdr:to>
      <xdr:col>8</xdr:col>
      <xdr:colOff>533401</xdr:colOff>
      <xdr:row>19</xdr:row>
      <xdr:rowOff>171449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4" name="Dates 2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s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0975" y="2152649"/>
              <a:ext cx="5648326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Chronologie : fonctionne dans Excel 2013 ou version ultérieure. Ne pas déplacer ni redimensionner.</a:t>
              </a:r>
            </a:p>
          </xdr:txBody>
        </xdr:sp>
      </mc:Fallback>
    </mc:AlternateContent>
    <xdr:clientData/>
  </xdr:twoCellAnchor>
  <xdr:twoCellAnchor>
    <xdr:from>
      <xdr:col>0</xdr:col>
      <xdr:colOff>114300</xdr:colOff>
      <xdr:row>25</xdr:row>
      <xdr:rowOff>38100</xdr:rowOff>
    </xdr:from>
    <xdr:to>
      <xdr:col>8</xdr:col>
      <xdr:colOff>666750</xdr:colOff>
      <xdr:row>39</xdr:row>
      <xdr:rowOff>133350</xdr:rowOff>
    </xdr:to>
    <xdr:sp macro="" textlink="Data_Dashboard!BI2">
      <xdr:nvSpPr>
        <xdr:cNvPr id="13" name="Organigramme : Alternative 12"/>
        <xdr:cNvSpPr/>
      </xdr:nvSpPr>
      <xdr:spPr>
        <a:xfrm>
          <a:off x="114300" y="4533900"/>
          <a:ext cx="5848350" cy="2724150"/>
        </a:xfrm>
        <a:prstGeom prst="flowChartAlternateProcess">
          <a:avLst/>
        </a:prstGeom>
        <a:solidFill>
          <a:schemeClr val="bg1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l"/>
          <a:fld id="{47B9FD6B-76B1-492C-83A1-E1F3FEDA875A}" type="TxLink">
            <a:rPr lang="en-US" sz="60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l"/>
            <a:t>149 300 Fcfa</a:t>
          </a:fld>
          <a:endParaRPr lang="en-US" sz="6000" b="1"/>
        </a:p>
      </xdr:txBody>
    </xdr:sp>
    <xdr:clientData/>
  </xdr:twoCellAnchor>
  <xdr:twoCellAnchor>
    <xdr:from>
      <xdr:col>0</xdr:col>
      <xdr:colOff>85726</xdr:colOff>
      <xdr:row>20</xdr:row>
      <xdr:rowOff>152401</xdr:rowOff>
    </xdr:from>
    <xdr:to>
      <xdr:col>8</xdr:col>
      <xdr:colOff>668565</xdr:colOff>
      <xdr:row>31</xdr:row>
      <xdr:rowOff>180813</xdr:rowOff>
    </xdr:to>
    <xdr:grpSp>
      <xdr:nvGrpSpPr>
        <xdr:cNvPr id="27" name="Groupe 26"/>
        <xdr:cNvGrpSpPr/>
      </xdr:nvGrpSpPr>
      <xdr:grpSpPr>
        <a:xfrm>
          <a:off x="85726" y="3695701"/>
          <a:ext cx="5878739" cy="2123912"/>
          <a:chOff x="79375" y="2405063"/>
          <a:chExt cx="5869215" cy="2143125"/>
        </a:xfrm>
        <a:solidFill>
          <a:srgbClr val="00B050"/>
        </a:solidFill>
      </xdr:grpSpPr>
      <xdr:sp macro="" textlink="">
        <xdr:nvSpPr>
          <xdr:cNvPr id="23" name="Rectangle à coins arrondis 22"/>
          <xdr:cNvSpPr/>
        </xdr:nvSpPr>
        <xdr:spPr>
          <a:xfrm>
            <a:off x="79375" y="2405063"/>
            <a:ext cx="5869215" cy="2143125"/>
          </a:xfrm>
          <a:prstGeom prst="roundRect">
            <a:avLst/>
          </a:prstGeom>
          <a:grpFill/>
          <a:ln w="28575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l"/>
            <a:r>
              <a:rPr lang="fr-FR" sz="3200" b="1">
                <a:solidFill>
                  <a:schemeClr val="bg1"/>
                </a:solidFill>
                <a:latin typeface="Georgia" panose="02040502050405020303" pitchFamily="18" charset="0"/>
              </a:rPr>
              <a:t>CHIFFRE</a:t>
            </a:r>
            <a:r>
              <a:rPr lang="fr-FR" sz="3200" b="1" baseline="0">
                <a:solidFill>
                  <a:schemeClr val="bg1"/>
                </a:solidFill>
                <a:latin typeface="Georgia" panose="02040502050405020303" pitchFamily="18" charset="0"/>
              </a:rPr>
              <a:t> D'AFFAIRE</a:t>
            </a:r>
            <a:endParaRPr lang="fr-FR" sz="3200" b="1">
              <a:solidFill>
                <a:schemeClr val="bg1"/>
              </a:solidFill>
              <a:latin typeface="Georgia" panose="02040502050405020303" pitchFamily="18" charset="0"/>
            </a:endParaRPr>
          </a:p>
        </xdr:txBody>
      </xdr:sp>
      <xdr:pic>
        <xdr:nvPicPr>
          <xdr:cNvPr id="24" name="Image 23"/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BEBA8EAE-BF5A-486C-A8C5-ECC9F3942E4B}">
                <a14:imgProps xmlns:a14="http://schemas.microsoft.com/office/drawing/2010/main">
                  <a14:imgLayer r:embed="rId3">
                    <a14:imgEffect>
                      <a14:brightnessContrast bright="40000" contrast="4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3459" y="2767016"/>
            <a:ext cx="585108" cy="762656"/>
          </a:xfrm>
          <a:prstGeom prst="rect">
            <a:avLst/>
          </a:prstGeom>
          <a:grpFill/>
        </xdr:spPr>
      </xdr:pic>
    </xdr:grpSp>
    <xdr:clientData/>
  </xdr:twoCellAnchor>
  <xdr:twoCellAnchor>
    <xdr:from>
      <xdr:col>0</xdr:col>
      <xdr:colOff>133350</xdr:colOff>
      <xdr:row>46</xdr:row>
      <xdr:rowOff>57150</xdr:rowOff>
    </xdr:from>
    <xdr:to>
      <xdr:col>8</xdr:col>
      <xdr:colOff>685800</xdr:colOff>
      <xdr:row>59</xdr:row>
      <xdr:rowOff>76200</xdr:rowOff>
    </xdr:to>
    <xdr:sp macro="" textlink="Data_Dashboard!BL2">
      <xdr:nvSpPr>
        <xdr:cNvPr id="14" name="Organigramme : Alternative 13"/>
        <xdr:cNvSpPr/>
      </xdr:nvSpPr>
      <xdr:spPr>
        <a:xfrm>
          <a:off x="133350" y="8515350"/>
          <a:ext cx="5848350" cy="2495550"/>
        </a:xfrm>
        <a:prstGeom prst="flowChartAlternateProcess">
          <a:avLst/>
        </a:prstGeom>
        <a:solidFill>
          <a:schemeClr val="bg1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l"/>
          <a:fld id="{0ABD281F-3B01-4633-AE80-A81456AFB772}" type="TxLink">
            <a:rPr lang="en-US" sz="60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l"/>
            <a:t>101 700 Fcfa</a:t>
          </a:fld>
          <a:endParaRPr lang="fr-FR" sz="60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123826</xdr:colOff>
      <xdr:row>40</xdr:row>
      <xdr:rowOff>147638</xdr:rowOff>
    </xdr:from>
    <xdr:to>
      <xdr:col>8</xdr:col>
      <xdr:colOff>693965</xdr:colOff>
      <xdr:row>51</xdr:row>
      <xdr:rowOff>31562</xdr:rowOff>
    </xdr:to>
    <xdr:grpSp>
      <xdr:nvGrpSpPr>
        <xdr:cNvPr id="28" name="Groupe 27"/>
        <xdr:cNvGrpSpPr/>
      </xdr:nvGrpSpPr>
      <xdr:grpSpPr>
        <a:xfrm>
          <a:off x="123826" y="7462838"/>
          <a:ext cx="5866039" cy="1979424"/>
          <a:chOff x="119063" y="7739063"/>
          <a:chExt cx="5856515" cy="2202328"/>
        </a:xfrm>
        <a:solidFill>
          <a:srgbClr val="00B050"/>
        </a:solidFill>
      </xdr:grpSpPr>
      <xdr:sp macro="" textlink="">
        <xdr:nvSpPr>
          <xdr:cNvPr id="25" name="Rectangle à coins arrondis 24"/>
          <xdr:cNvSpPr/>
        </xdr:nvSpPr>
        <xdr:spPr>
          <a:xfrm>
            <a:off x="119063" y="7739063"/>
            <a:ext cx="5856515" cy="2202328"/>
          </a:xfrm>
          <a:prstGeom prst="roundRect">
            <a:avLst/>
          </a:prstGeom>
          <a:grpFill/>
          <a:ln w="28575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l"/>
            <a:r>
              <a:rPr lang="fr-FR" sz="3200" b="1">
                <a:solidFill>
                  <a:schemeClr val="bg1"/>
                </a:solidFill>
                <a:latin typeface="Georgia" panose="02040502050405020303" pitchFamily="18" charset="0"/>
              </a:rPr>
              <a:t>DEPENSES</a:t>
            </a:r>
          </a:p>
        </xdr:txBody>
      </xdr:sp>
      <xdr:pic>
        <xdr:nvPicPr>
          <xdr:cNvPr id="26" name="Image 25"/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BEBA8EAE-BF5A-486C-A8C5-ECC9F3942E4B}">
                <a14:imgProps xmlns:a14="http://schemas.microsoft.com/office/drawing/2010/main">
                  <a14:imgLayer r:embed="rId3">
                    <a14:imgEffect>
                      <a14:brightnessContrast bright="40000" contrast="4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10662" y="7945397"/>
            <a:ext cx="585108" cy="903328"/>
          </a:xfrm>
          <a:prstGeom prst="rect">
            <a:avLst/>
          </a:prstGeom>
          <a:grpFill/>
        </xdr:spPr>
      </xdr:pic>
    </xdr:grpSp>
    <xdr:clientData/>
  </xdr:twoCellAnchor>
  <xdr:twoCellAnchor>
    <xdr:from>
      <xdr:col>9</xdr:col>
      <xdr:colOff>171450</xdr:colOff>
      <xdr:row>7</xdr:row>
      <xdr:rowOff>171450</xdr:rowOff>
    </xdr:from>
    <xdr:to>
      <xdr:col>34</xdr:col>
      <xdr:colOff>361950</xdr:colOff>
      <xdr:row>61</xdr:row>
      <xdr:rowOff>171450</xdr:rowOff>
    </xdr:to>
    <xdr:sp macro="" textlink="">
      <xdr:nvSpPr>
        <xdr:cNvPr id="15" name="Rectangle à coins arrondis 14"/>
        <xdr:cNvSpPr/>
      </xdr:nvSpPr>
      <xdr:spPr>
        <a:xfrm>
          <a:off x="6229350" y="1504950"/>
          <a:ext cx="19240500" cy="9982200"/>
        </a:xfrm>
        <a:prstGeom prst="roundRect">
          <a:avLst>
            <a:gd name="adj" fmla="val 2810"/>
          </a:avLst>
        </a:prstGeom>
        <a:noFill/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9</xdr:col>
      <xdr:colOff>361950</xdr:colOff>
      <xdr:row>9</xdr:row>
      <xdr:rowOff>76200</xdr:rowOff>
    </xdr:from>
    <xdr:to>
      <xdr:col>34</xdr:col>
      <xdr:colOff>19050</xdr:colOff>
      <xdr:row>19</xdr:row>
      <xdr:rowOff>38100</xdr:rowOff>
    </xdr:to>
    <xdr:sp macro="" textlink="">
      <xdr:nvSpPr>
        <xdr:cNvPr id="17" name="Rectangle à coins arrondis 16"/>
        <xdr:cNvSpPr/>
      </xdr:nvSpPr>
      <xdr:spPr>
        <a:xfrm>
          <a:off x="6419850" y="1790700"/>
          <a:ext cx="18707100" cy="1600200"/>
        </a:xfrm>
        <a:prstGeom prst="roundRect">
          <a:avLst>
            <a:gd name="adj" fmla="val 34524"/>
          </a:avLst>
        </a:prstGeom>
        <a:solidFill>
          <a:schemeClr val="bg1">
            <a:lumMod val="95000"/>
          </a:schemeClr>
        </a:solidFill>
        <a:ln w="2857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5400" b="1">
              <a:solidFill>
                <a:srgbClr val="00B050"/>
              </a:solidFill>
              <a:latin typeface="Cambria" panose="02040503050406030204" pitchFamily="18" charset="0"/>
              <a:ea typeface="Cambria" panose="02040503050406030204" pitchFamily="18" charset="0"/>
            </a:rPr>
            <a:t>Analyse</a:t>
          </a:r>
          <a:r>
            <a:rPr lang="fr-FR" sz="5400" b="1" baseline="0">
              <a:solidFill>
                <a:srgbClr val="00B050"/>
              </a:solidFill>
              <a:latin typeface="Cambria" panose="02040503050406030204" pitchFamily="18" charset="0"/>
              <a:ea typeface="Cambria" panose="02040503050406030204" pitchFamily="18" charset="0"/>
            </a:rPr>
            <a:t> de la marge commerciale</a:t>
          </a:r>
          <a:endParaRPr lang="fr-FR" sz="5400" b="1">
            <a:solidFill>
              <a:srgbClr val="00B050"/>
            </a:solidFill>
            <a:latin typeface="Cambria" panose="02040503050406030204" pitchFamily="18" charset="0"/>
            <a:ea typeface="Cambria" panose="02040503050406030204" pitchFamily="18" charset="0"/>
          </a:endParaRPr>
        </a:p>
      </xdr:txBody>
    </xdr:sp>
    <xdr:clientData/>
  </xdr:twoCellAnchor>
  <xdr:twoCellAnchor editAs="absolute">
    <xdr:from>
      <xdr:col>3</xdr:col>
      <xdr:colOff>342900</xdr:colOff>
      <xdr:row>1</xdr:row>
      <xdr:rowOff>114300</xdr:rowOff>
    </xdr:from>
    <xdr:to>
      <xdr:col>30</xdr:col>
      <xdr:colOff>466554</xdr:colOff>
      <xdr:row>4</xdr:row>
      <xdr:rowOff>133350</xdr:rowOff>
    </xdr:to>
    <xdr:grpSp>
      <xdr:nvGrpSpPr>
        <xdr:cNvPr id="36" name="Groupe 35"/>
        <xdr:cNvGrpSpPr/>
      </xdr:nvGrpSpPr>
      <xdr:grpSpPr>
        <a:xfrm>
          <a:off x="2133600" y="304800"/>
          <a:ext cx="20392854" cy="590550"/>
          <a:chOff x="1976440" y="166686"/>
          <a:chExt cx="12101901" cy="326231"/>
        </a:xfrm>
      </xdr:grpSpPr>
      <xdr:sp macro="[0]!Dashboard" textlink="">
        <xdr:nvSpPr>
          <xdr:cNvPr id="37" name="Rectangle à coins arrondis 36"/>
          <xdr:cNvSpPr/>
        </xdr:nvSpPr>
        <xdr:spPr>
          <a:xfrm>
            <a:off x="1976440" y="166686"/>
            <a:ext cx="1424008" cy="326231"/>
          </a:xfrm>
          <a:prstGeom prst="roundRect">
            <a:avLst/>
          </a:prstGeom>
          <a:solidFill>
            <a:sysClr val="window" lastClr="FFFFFF"/>
          </a:solidFill>
          <a:ln w="19050" cap="flat" cmpd="sng" algn="ctr">
            <a:solidFill>
              <a:srgbClr val="E7E6E6"/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800" b="1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Cambria" panose="02040503050406030204" pitchFamily="18" charset="0"/>
                <a:cs typeface="Arial" panose="020B0604020202020204" pitchFamily="34" charset="0"/>
              </a:rPr>
              <a:t>Tableau de Bord</a:t>
            </a:r>
          </a:p>
        </xdr:txBody>
      </xdr:sp>
      <xdr:sp macro="[0]!Produits" textlink="">
        <xdr:nvSpPr>
          <xdr:cNvPr id="38" name="Rectangle à coins arrondis 37"/>
          <xdr:cNvSpPr/>
        </xdr:nvSpPr>
        <xdr:spPr>
          <a:xfrm>
            <a:off x="4019147" y="166686"/>
            <a:ext cx="1424008" cy="326231"/>
          </a:xfrm>
          <a:prstGeom prst="roundRect">
            <a:avLst/>
          </a:prstGeom>
          <a:solidFill>
            <a:sysClr val="window" lastClr="FFFFFF"/>
          </a:solidFill>
          <a:ln w="19050" cap="flat" cmpd="sng" algn="ctr">
            <a:solidFill>
              <a:srgbClr val="E7E6E6"/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800" b="1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Cambria" panose="02040503050406030204" pitchFamily="18" charset="0"/>
                <a:cs typeface="Arial" panose="020B0604020202020204" pitchFamily="34" charset="0"/>
              </a:rPr>
              <a:t>Produits</a:t>
            </a:r>
          </a:p>
        </xdr:txBody>
      </xdr:sp>
      <xdr:sp macro="[0]!Entrées_stock" textlink="">
        <xdr:nvSpPr>
          <xdr:cNvPr id="39" name="Rectangle à coins arrondis 38"/>
          <xdr:cNvSpPr/>
        </xdr:nvSpPr>
        <xdr:spPr>
          <a:xfrm>
            <a:off x="6073762" y="166686"/>
            <a:ext cx="1424008" cy="326231"/>
          </a:xfrm>
          <a:prstGeom prst="roundRect">
            <a:avLst/>
          </a:prstGeom>
          <a:solidFill>
            <a:sysClr val="window" lastClr="FFFFFF"/>
          </a:solidFill>
          <a:ln w="19050" cap="flat" cmpd="sng" algn="ctr">
            <a:solidFill>
              <a:srgbClr val="E7E6E6"/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800" b="1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Cambria" panose="02040503050406030204" pitchFamily="18" charset="0"/>
                <a:cs typeface="Arial" panose="020B0604020202020204" pitchFamily="34" charset="0"/>
              </a:rPr>
              <a:t>Entrées_Stock</a:t>
            </a:r>
          </a:p>
        </xdr:txBody>
      </xdr:sp>
      <xdr:sp macro="[0]!ventes" textlink="">
        <xdr:nvSpPr>
          <xdr:cNvPr id="40" name="Rectangle à coins arrondis 39"/>
          <xdr:cNvSpPr/>
        </xdr:nvSpPr>
        <xdr:spPr>
          <a:xfrm>
            <a:off x="8318880" y="166686"/>
            <a:ext cx="1424008" cy="326231"/>
          </a:xfrm>
          <a:prstGeom prst="roundRect">
            <a:avLst/>
          </a:prstGeom>
          <a:solidFill>
            <a:sysClr val="window" lastClr="FFFFFF"/>
          </a:solidFill>
          <a:ln w="19050" cap="flat" cmpd="sng" algn="ctr">
            <a:solidFill>
              <a:srgbClr val="E7E6E6"/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800" b="1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Cambria" panose="02040503050406030204" pitchFamily="18" charset="0"/>
                <a:cs typeface="Arial" panose="020B0604020202020204" pitchFamily="34" charset="0"/>
              </a:rPr>
              <a:t>Ventes</a:t>
            </a:r>
          </a:p>
        </xdr:txBody>
      </xdr:sp>
      <xdr:sp macro="[0]!sorties" textlink="">
        <xdr:nvSpPr>
          <xdr:cNvPr id="41" name="Rectangle à coins arrondis 40"/>
          <xdr:cNvSpPr/>
        </xdr:nvSpPr>
        <xdr:spPr>
          <a:xfrm>
            <a:off x="10468748" y="166686"/>
            <a:ext cx="1424008" cy="326231"/>
          </a:xfrm>
          <a:prstGeom prst="roundRect">
            <a:avLst/>
          </a:prstGeom>
          <a:solidFill>
            <a:sysClr val="window" lastClr="FFFFFF"/>
          </a:solidFill>
          <a:ln w="19050" cap="flat" cmpd="sng" algn="ctr">
            <a:solidFill>
              <a:srgbClr val="E7E6E6"/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800" b="1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Cambria" panose="02040503050406030204" pitchFamily="18" charset="0"/>
                <a:cs typeface="Arial" panose="020B0604020202020204" pitchFamily="34" charset="0"/>
              </a:rPr>
              <a:t>Sorties</a:t>
            </a:r>
          </a:p>
        </xdr:txBody>
      </xdr:sp>
      <xdr:sp macro="[0]!Mouvements" textlink="">
        <xdr:nvSpPr>
          <xdr:cNvPr id="42" name="Rectangle à coins arrondis 41"/>
          <xdr:cNvSpPr/>
        </xdr:nvSpPr>
        <xdr:spPr>
          <a:xfrm>
            <a:off x="12654333" y="166686"/>
            <a:ext cx="1424008" cy="326231"/>
          </a:xfrm>
          <a:prstGeom prst="roundRect">
            <a:avLst/>
          </a:prstGeom>
          <a:solidFill>
            <a:srgbClr val="0070C0"/>
          </a:solidFill>
          <a:ln w="19050" cap="flat" cmpd="sng" algn="ctr">
            <a:solidFill>
              <a:srgbClr val="E7E6E6"/>
            </a:solidFill>
            <a:prstDash val="solid"/>
            <a:miter lim="800000"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800" b="1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Arial" panose="020B0604020202020204" pitchFamily="34" charset="0"/>
                <a:ea typeface="Cambria" panose="02040503050406030204" pitchFamily="18" charset="0"/>
                <a:cs typeface="Arial" panose="020B0604020202020204" pitchFamily="34" charset="0"/>
              </a:rPr>
              <a:t>Mouvements</a:t>
            </a:r>
          </a:p>
        </xdr:txBody>
      </xdr:sp>
    </xdr:grpSp>
    <xdr:clientData/>
  </xdr:twoCellAnchor>
  <xdr:twoCellAnchor editAs="oneCell">
    <xdr:from>
      <xdr:col>0</xdr:col>
      <xdr:colOff>76200</xdr:colOff>
      <xdr:row>0</xdr:row>
      <xdr:rowOff>57150</xdr:rowOff>
    </xdr:from>
    <xdr:to>
      <xdr:col>2</xdr:col>
      <xdr:colOff>683857</xdr:colOff>
      <xdr:row>5</xdr:row>
      <xdr:rowOff>65298</xdr:rowOff>
    </xdr:to>
    <xdr:pic>
      <xdr:nvPicPr>
        <xdr:cNvPr id="43" name="Image 42"/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8935" t="19598" r="27403" b="19648"/>
        <a:stretch/>
      </xdr:blipFill>
      <xdr:spPr>
        <a:xfrm>
          <a:off x="76200" y="57150"/>
          <a:ext cx="1636357" cy="960648"/>
        </a:xfrm>
        <a:prstGeom prst="rect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0</xdr:col>
      <xdr:colOff>19050</xdr:colOff>
      <xdr:row>5</xdr:row>
      <xdr:rowOff>188820</xdr:rowOff>
    </xdr:from>
    <xdr:to>
      <xdr:col>34</xdr:col>
      <xdr:colOff>742950</xdr:colOff>
      <xdr:row>6</xdr:row>
      <xdr:rowOff>0</xdr:rowOff>
    </xdr:to>
    <xdr:cxnSp macro="">
      <xdr:nvCxnSpPr>
        <xdr:cNvPr id="44" name="Connecteur droit 43"/>
        <xdr:cNvCxnSpPr/>
      </xdr:nvCxnSpPr>
      <xdr:spPr>
        <a:xfrm>
          <a:off x="19050" y="1141320"/>
          <a:ext cx="25831800" cy="168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419100</xdr:colOff>
      <xdr:row>7</xdr:row>
      <xdr:rowOff>142875</xdr:rowOff>
    </xdr:from>
    <xdr:to>
      <xdr:col>8</xdr:col>
      <xdr:colOff>590551</xdr:colOff>
      <xdr:row>10</xdr:row>
      <xdr:rowOff>91506</xdr:rowOff>
    </xdr:to>
    <xdr:sp macro="" textlink="Data_Dashboard!BI4">
      <xdr:nvSpPr>
        <xdr:cNvPr id="45" name="Rectangle à coins arrondis 44"/>
        <xdr:cNvSpPr/>
      </xdr:nvSpPr>
      <xdr:spPr>
        <a:xfrm>
          <a:off x="2971800" y="1476375"/>
          <a:ext cx="2914651" cy="520131"/>
        </a:xfrm>
        <a:prstGeom prst="roundRect">
          <a:avLst/>
        </a:prstGeom>
        <a:solidFill>
          <a:schemeClr val="bg1"/>
        </a:solidFill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fld id="{642587A7-B757-4D94-A2F6-94632EE7FFB5}" type="TxLink">
            <a:rPr lang="en-US" sz="28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marL="0" indent="0" algn="ctr"/>
            <a:t>janv</a:t>
          </a:fld>
          <a:endParaRPr lang="fr-FR" sz="2800" b="1">
            <a:solidFill>
              <a:schemeClr val="bg1"/>
            </a:solidFill>
            <a:latin typeface="Georgia" panose="02040502050405020303" pitchFamily="18" charset="0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266700</xdr:colOff>
      <xdr:row>40</xdr:row>
      <xdr:rowOff>95250</xdr:rowOff>
    </xdr:from>
    <xdr:to>
      <xdr:col>34</xdr:col>
      <xdr:colOff>38100</xdr:colOff>
      <xdr:row>59</xdr:row>
      <xdr:rowOff>57150</xdr:rowOff>
    </xdr:to>
    <xdr:grpSp>
      <xdr:nvGrpSpPr>
        <xdr:cNvPr id="3" name="Groupe 2"/>
        <xdr:cNvGrpSpPr/>
      </xdr:nvGrpSpPr>
      <xdr:grpSpPr>
        <a:xfrm>
          <a:off x="6324600" y="7410450"/>
          <a:ext cx="18821400" cy="3581400"/>
          <a:chOff x="6324600" y="7124700"/>
          <a:chExt cx="18154649" cy="3067050"/>
        </a:xfrm>
      </xdr:grpSpPr>
      <xdr:sp macro="" textlink="">
        <xdr:nvSpPr>
          <xdr:cNvPr id="31" name="Organigramme : Alternative 30"/>
          <xdr:cNvSpPr/>
        </xdr:nvSpPr>
        <xdr:spPr>
          <a:xfrm>
            <a:off x="6324600" y="7124700"/>
            <a:ext cx="18154649" cy="3067050"/>
          </a:xfrm>
          <a:prstGeom prst="flowChartAlternateProcess">
            <a:avLst/>
          </a:prstGeom>
          <a:solidFill>
            <a:schemeClr val="bg1"/>
          </a:solidFill>
          <a:ln w="1905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graphicFrame macro="">
        <xdr:nvGraphicFramePr>
          <xdr:cNvPr id="47" name="Graphique 46"/>
          <xdr:cNvGraphicFramePr>
            <a:graphicFrameLocks/>
          </xdr:cNvGraphicFramePr>
        </xdr:nvGraphicFramePr>
        <xdr:xfrm>
          <a:off x="6686550" y="7258050"/>
          <a:ext cx="17164050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</xdr:grp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CISSE GSM" refreshedDate="46256.681962268522" createdVersion="5" refreshedVersion="5" minRefreshableVersion="3" recordCount="136">
  <cacheSource type="worksheet">
    <worksheetSource name="HistoriqueVentes"/>
  </cacheSource>
  <cacheFields count="11">
    <cacheField name="Dates" numFmtId="14">
      <sharedItems containsSemiMixedTypes="0" containsNonDate="0" containsDate="1" containsString="0" minDate="2026-01-11T00:00:00" maxDate="2026-08-22T00:00:00" count="55">
        <d v="2026-08-21T00:00:00"/>
        <d v="2026-08-17T00:00:00"/>
        <d v="2026-08-02T00:00:00"/>
        <d v="2026-07-17T00:00:00"/>
        <d v="2026-06-10T00:00:00"/>
        <d v="2026-06-01T00:00:00"/>
        <d v="2026-05-23T00:00:00"/>
        <d v="2026-05-15T00:00:00"/>
        <d v="2026-05-09T00:00:00"/>
        <d v="2026-04-29T00:00:00"/>
        <d v="2026-04-23T00:00:00"/>
        <d v="2026-04-15T00:00:00"/>
        <d v="2026-04-09T00:00:00"/>
        <d v="2026-04-04T00:00:00"/>
        <d v="2026-04-01T00:00:00"/>
        <d v="2026-03-31T00:00:00"/>
        <d v="2026-03-28T00:00:00"/>
        <d v="2026-03-27T00:00:00"/>
        <d v="2026-03-24T00:00:00"/>
        <d v="2026-03-20T00:00:00"/>
        <d v="2026-03-19T00:00:00"/>
        <d v="2026-03-15T00:00:00"/>
        <d v="2026-03-14T00:00:00"/>
        <d v="2026-03-12T00:00:00"/>
        <d v="2026-03-10T00:00:00"/>
        <d v="2026-03-07T00:00:00"/>
        <d v="2026-03-06T00:00:00"/>
        <d v="2026-03-03T00:00:00"/>
        <d v="2026-03-01T00:00:00"/>
        <d v="2026-02-28T00:00:00"/>
        <d v="2026-02-27T00:00:00"/>
        <d v="2026-02-22T00:00:00"/>
        <d v="2026-02-21T00:00:00"/>
        <d v="2026-02-20T00:00:00"/>
        <d v="2026-02-19T00:00:00"/>
        <d v="2026-01-14T00:00:00"/>
        <d v="2026-02-13T00:00:00"/>
        <d v="2026-02-12T00:00:00"/>
        <d v="2026-02-09T00:00:00"/>
        <d v="2026-02-08T00:00:00"/>
        <d v="2026-02-07T00:00:00"/>
        <d v="2026-02-06T00:00:00"/>
        <d v="2026-02-03T00:00:00"/>
        <d v="2026-01-31T00:00:00"/>
        <d v="2026-01-30T00:00:00"/>
        <d v="2026-01-29T00:00:00"/>
        <d v="2026-01-28T00:00:00"/>
        <d v="2026-01-27T00:00:00"/>
        <d v="2026-01-24T00:00:00"/>
        <d v="2026-01-20T00:00:00"/>
        <d v="2026-01-19T00:00:00"/>
        <d v="2026-01-16T00:00:00"/>
        <d v="2026-01-15T00:00:00"/>
        <d v="2026-01-13T00:00:00"/>
        <d v="2026-01-11T00:00:00"/>
      </sharedItems>
      <fieldGroup par="10" base="0">
        <rangePr groupBy="days" startDate="2026-01-11T00:00:00" endDate="2026-08-22T00:00:00"/>
        <groupItems count="368">
          <s v="&lt;11/01/2026"/>
          <s v="01-janv"/>
          <s v="02-janv"/>
          <s v="03-janv"/>
          <s v="04-janv"/>
          <s v="05-janv"/>
          <s v="06-janv"/>
          <s v="07-janv"/>
          <s v="08-janv"/>
          <s v="09-janv"/>
          <s v="10-janv"/>
          <s v="11-janv"/>
          <s v="12-janv"/>
          <s v="13-janv"/>
          <s v="14-janv"/>
          <s v="15-janv"/>
          <s v="16-janv"/>
          <s v="17-janv"/>
          <s v="18-janv"/>
          <s v="19-janv"/>
          <s v="20-janv"/>
          <s v="21-janv"/>
          <s v="22-janv"/>
          <s v="23-janv"/>
          <s v="24-janv"/>
          <s v="25-janv"/>
          <s v="26-janv"/>
          <s v="27-janv"/>
          <s v="28-janv"/>
          <s v="29-janv"/>
          <s v="30-janv"/>
          <s v="31-janv"/>
          <s v="01-févr"/>
          <s v="02-févr"/>
          <s v="03-févr"/>
          <s v="04-févr"/>
          <s v="05-févr"/>
          <s v="06-févr"/>
          <s v="07-févr"/>
          <s v="08-févr"/>
          <s v="09-févr"/>
          <s v="10-févr"/>
          <s v="11-févr"/>
          <s v="12-févr"/>
          <s v="13-févr"/>
          <s v="14-févr"/>
          <s v="15-févr"/>
          <s v="16-févr"/>
          <s v="17-févr"/>
          <s v="18-févr"/>
          <s v="19-févr"/>
          <s v="20-févr"/>
          <s v="21-févr"/>
          <s v="22-févr"/>
          <s v="23-févr"/>
          <s v="24-févr"/>
          <s v="25-févr"/>
          <s v="26-févr"/>
          <s v="27-févr"/>
          <s v="28-févr"/>
          <s v="29-févr"/>
          <s v="01-mars"/>
          <s v="02-mars"/>
          <s v="03-mars"/>
          <s v="04-mars"/>
          <s v="05-mars"/>
          <s v="06-mars"/>
          <s v="07-mars"/>
          <s v="08-mars"/>
          <s v="09-mars"/>
          <s v="10-mars"/>
          <s v="11-mars"/>
          <s v="12-mars"/>
          <s v="13-mars"/>
          <s v="14-mars"/>
          <s v="15-mars"/>
          <s v="16-mars"/>
          <s v="17-mars"/>
          <s v="18-mars"/>
          <s v="19-mars"/>
          <s v="20-mars"/>
          <s v="21-mars"/>
          <s v="22-mars"/>
          <s v="23-mars"/>
          <s v="24-mars"/>
          <s v="25-mars"/>
          <s v="26-mars"/>
          <s v="27-mars"/>
          <s v="28-mars"/>
          <s v="29-mars"/>
          <s v="30-mars"/>
          <s v="31-mars"/>
          <s v="01-avr"/>
          <s v="02-avr"/>
          <s v="03-avr"/>
          <s v="04-avr"/>
          <s v="05-avr"/>
          <s v="06-avr"/>
          <s v="07-avr"/>
          <s v="08-avr"/>
          <s v="09-avr"/>
          <s v="10-avr"/>
          <s v="11-avr"/>
          <s v="12-avr"/>
          <s v="13-avr"/>
          <s v="14-avr"/>
          <s v="15-avr"/>
          <s v="16-avr"/>
          <s v="17-avr"/>
          <s v="18-avr"/>
          <s v="19-avr"/>
          <s v="20-avr"/>
          <s v="21-avr"/>
          <s v="22-avr"/>
          <s v="23-avr"/>
          <s v="24-avr"/>
          <s v="25-avr"/>
          <s v="26-avr"/>
          <s v="27-avr"/>
          <s v="28-avr"/>
          <s v="29-avr"/>
          <s v="30-avr"/>
          <s v="01-mai"/>
          <s v="02-mai"/>
          <s v="03-mai"/>
          <s v="04-mai"/>
          <s v="05-mai"/>
          <s v="06-mai"/>
          <s v="07-mai"/>
          <s v="08-mai"/>
          <s v="09-mai"/>
          <s v="10-mai"/>
          <s v="11-mai"/>
          <s v="12-mai"/>
          <s v="13-mai"/>
          <s v="14-mai"/>
          <s v="15-mai"/>
          <s v="16-mai"/>
          <s v="17-mai"/>
          <s v="18-mai"/>
          <s v="19-mai"/>
          <s v="20-mai"/>
          <s v="21-mai"/>
          <s v="22-mai"/>
          <s v="23-mai"/>
          <s v="24-mai"/>
          <s v="25-mai"/>
          <s v="26-mai"/>
          <s v="27-mai"/>
          <s v="28-mai"/>
          <s v="29-mai"/>
          <s v="30-mai"/>
          <s v="31-mai"/>
          <s v="01-juin"/>
          <s v="02-juin"/>
          <s v="03-juin"/>
          <s v="04-juin"/>
          <s v="05-juin"/>
          <s v="06-juin"/>
          <s v="07-juin"/>
          <s v="08-juin"/>
          <s v="09-juin"/>
          <s v="10-juin"/>
          <s v="11-juin"/>
          <s v="12-juin"/>
          <s v="13-juin"/>
          <s v="14-juin"/>
          <s v="15-juin"/>
          <s v="16-juin"/>
          <s v="17-juin"/>
          <s v="18-juin"/>
          <s v="19-juin"/>
          <s v="20-juin"/>
          <s v="21-juin"/>
          <s v="22-juin"/>
          <s v="23-juin"/>
          <s v="24-juin"/>
          <s v="25-juin"/>
          <s v="26-juin"/>
          <s v="27-juin"/>
          <s v="28-juin"/>
          <s v="29-juin"/>
          <s v="30-juin"/>
          <s v="01-juil"/>
          <s v="02-juil"/>
          <s v="03-juil"/>
          <s v="04-juil"/>
          <s v="05-juil"/>
          <s v="06-juil"/>
          <s v="07-juil"/>
          <s v="08-juil"/>
          <s v="09-juil"/>
          <s v="10-juil"/>
          <s v="11-juil"/>
          <s v="12-juil"/>
          <s v="13-juil"/>
          <s v="14-juil"/>
          <s v="15-juil"/>
          <s v="16-juil"/>
          <s v="17-juil"/>
          <s v="18-juil"/>
          <s v="19-juil"/>
          <s v="20-juil"/>
          <s v="21-juil"/>
          <s v="22-juil"/>
          <s v="23-juil"/>
          <s v="24-juil"/>
          <s v="25-juil"/>
          <s v="26-juil"/>
          <s v="27-juil"/>
          <s v="28-juil"/>
          <s v="29-juil"/>
          <s v="30-juil"/>
          <s v="31-juil"/>
          <s v="01-août"/>
          <s v="02-août"/>
          <s v="03-août"/>
          <s v="04-août"/>
          <s v="05-août"/>
          <s v="06-août"/>
          <s v="07-août"/>
          <s v="08-août"/>
          <s v="09-août"/>
          <s v="10-août"/>
          <s v="11-août"/>
          <s v="12-août"/>
          <s v="13-août"/>
          <s v="14-août"/>
          <s v="15-août"/>
          <s v="16-août"/>
          <s v="17-août"/>
          <s v="18-août"/>
          <s v="19-août"/>
          <s v="20-août"/>
          <s v="21-août"/>
          <s v="22-août"/>
          <s v="23-août"/>
          <s v="24-août"/>
          <s v="25-août"/>
          <s v="26-août"/>
          <s v="27-août"/>
          <s v="28-août"/>
          <s v="29-août"/>
          <s v="30-août"/>
          <s v="31-août"/>
          <s v="01-sept"/>
          <s v="02-sept"/>
          <s v="03-sept"/>
          <s v="04-sept"/>
          <s v="05-sept"/>
          <s v="06-sept"/>
          <s v="07-sept"/>
          <s v="08-sept"/>
          <s v="09-sept"/>
          <s v="10-sept"/>
          <s v="11-sept"/>
          <s v="12-sept"/>
          <s v="13-sept"/>
          <s v="14-sept"/>
          <s v="15-sept"/>
          <s v="16-sept"/>
          <s v="17-sept"/>
          <s v="18-sept"/>
          <s v="19-sept"/>
          <s v="20-sept"/>
          <s v="21-sept"/>
          <s v="22-sept"/>
          <s v="23-sept"/>
          <s v="24-sept"/>
          <s v="25-sept"/>
          <s v="26-sept"/>
          <s v="27-sept"/>
          <s v="28-sept"/>
          <s v="29-sept"/>
          <s v="30-sept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éc"/>
          <s v="02-déc"/>
          <s v="03-déc"/>
          <s v="04-déc"/>
          <s v="05-déc"/>
          <s v="06-déc"/>
          <s v="07-déc"/>
          <s v="08-déc"/>
          <s v="09-déc"/>
          <s v="10-déc"/>
          <s v="11-déc"/>
          <s v="12-déc"/>
          <s v="13-déc"/>
          <s v="14-déc"/>
          <s v="15-déc"/>
          <s v="16-déc"/>
          <s v="17-déc"/>
          <s v="18-déc"/>
          <s v="19-déc"/>
          <s v="20-déc"/>
          <s v="21-déc"/>
          <s v="22-déc"/>
          <s v="23-déc"/>
          <s v="24-déc"/>
          <s v="25-déc"/>
          <s v="26-déc"/>
          <s v="27-déc"/>
          <s v="28-déc"/>
          <s v="29-déc"/>
          <s v="30-déc"/>
          <s v="31-déc"/>
          <s v="&gt;22/08/2026"/>
        </groupItems>
      </fieldGroup>
    </cacheField>
    <cacheField name="Code produit" numFmtId="0">
      <sharedItems/>
    </cacheField>
    <cacheField name="Désignation" numFmtId="0">
      <sharedItems count="26">
        <s v="Paracétamol 500 mg"/>
        <s v="Alcool médical"/>
        <s v="Vitamine C 500 mg"/>
        <s v="Metronidazole 500 mg"/>
        <s v="Amoxicilline 500 mg"/>
        <s v="Ibuprofène 400 mg"/>
        <s v="Gaviscon"/>
        <s v="Gentamicine injectable"/>
        <s v="Diclofénac injectable"/>
        <s v="Aspirine 500 mg"/>
        <s v="Efferalgan sirop"/>
        <s v="Bétadine"/>
        <s v="Albendazole 400 mg"/>
        <s v="Ventoline inhalateur"/>
        <s v="Spasfon injectable"/>
        <s v="Sérum physiologique"/>
        <s v="Paracétamol 1000 mg"/>
        <s v="Ciprofloxacine 500 mg"/>
        <s v="Amoxicilline 1 g"/>
        <s v="Oméprazole 40 mg"/>
        <s v="Vitamine C 1000 mg"/>
        <s v="Azithromycine 500 mg"/>
        <s v="Amoxicilline sirop"/>
        <s v="Ceftriaxone injectable"/>
        <s v="Vitamine D3"/>
        <s v="Salbutamol inhalateur"/>
      </sharedItems>
    </cacheField>
    <cacheField name="Lot" numFmtId="0">
      <sharedItems/>
    </cacheField>
    <cacheField name="Prix de ventes" numFmtId="164">
      <sharedItems containsSemiMixedTypes="0" containsString="0" containsNumber="1" containsInteger="1" minValue="500" maxValue="3500"/>
    </cacheField>
    <cacheField name="Quantité" numFmtId="0">
      <sharedItems containsSemiMixedTypes="0" containsString="0" containsNumber="1" containsInteger="1" minValue="1" maxValue="80"/>
    </cacheField>
    <cacheField name="Montant" numFmtId="164">
      <sharedItems containsSemiMixedTypes="0" containsString="0" containsNumber="1" containsInteger="1" minValue="500" maxValue="105000"/>
    </cacheField>
    <cacheField name="Dates de péremption" numFmtId="14">
      <sharedItems containsSemiMixedTypes="0" containsNonDate="0" containsDate="1" containsString="0" minDate="2026-05-31T00:00:00" maxDate="2027-07-01T00:00:00"/>
    </cacheField>
    <cacheField name="Prix d'achat" numFmtId="0">
      <sharedItems containsSemiMixedTypes="0" containsString="0" containsNumber="1" containsInteger="1" minValue="300" maxValue="2500"/>
    </cacheField>
    <cacheField name="depenses lie au ventes" numFmtId="0">
      <sharedItems containsSemiMixedTypes="0" containsString="0" containsNumber="1" containsInteger="1" minValue="300" maxValue="75000"/>
    </cacheField>
    <cacheField name="Mois" numFmtId="0" databaseField="0">
      <fieldGroup base="0">
        <rangePr groupBy="months" startDate="2026-01-11T00:00:00" endDate="2026-08-22T00:00:00"/>
        <groupItems count="14">
          <s v="&lt;11/01/2026"/>
          <s v="janv"/>
          <s v="févr"/>
          <s v="mars"/>
          <s v="avr"/>
          <s v="mai"/>
          <s v="juin"/>
          <s v="juil"/>
          <s v="août"/>
          <s v="sept"/>
          <s v="oct"/>
          <s v="nov"/>
          <s v="déc"/>
          <s v="&gt;22/08/2026"/>
        </groupItems>
      </fieldGroup>
    </cacheField>
  </cacheFields>
  <extLst>
    <ext xmlns:x14="http://schemas.microsoft.com/office/spreadsheetml/2009/9/main" uri="{725AE2AE-9491-48be-B2B4-4EB974FC3084}">
      <x14:pivotCacheDefinition pivotCacheId="2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CISSE GSM" refreshedDate="46256.681963773146" createdVersion="5" refreshedVersion="5" minRefreshableVersion="3" recordCount="196">
  <cacheSource type="worksheet">
    <worksheetSource name="Stock_par_lots"/>
  </cacheSource>
  <cacheFields count="7">
    <cacheField name="Désignation" numFmtId="0">
      <sharedItems containsMixedTypes="1" containsNumber="1" containsInteger="1" minValue="0" maxValue="0" count="28">
        <s v="Albendazole 400 mg"/>
        <s v="Alcool médical"/>
        <s v="Amoxicilline 1 g"/>
        <s v="Amoxicilline 500 mg"/>
        <s v="Amoxicilline sirop"/>
        <s v="Aspirine 500 mg"/>
        <s v="Azithromycine 500 mg"/>
        <s v="Bétadine"/>
        <s v="Ciprofloxacine 500 mg"/>
        <s v="Diclofénac injectable"/>
        <s v="Efferalgan sirop"/>
        <s v="Gaviscon"/>
        <s v="Gentamicine injectable"/>
        <s v="Ibuprofène 400 mg"/>
        <s v="Oméprazole 40 mg"/>
        <s v="Paracétamol 1000 mg"/>
        <s v="Paracétamol 500 mg"/>
        <s v="Salbutamol inhalateur"/>
        <s v="Sérum physiologique"/>
        <s v="Spasfon injectable"/>
        <s v="Ventoline inhalateur"/>
        <s v="Vitamine C 1000 mg"/>
        <s v="Vitamine C 500 mg"/>
        <s v="Vitamine D3"/>
        <s v="Metronidazole 500 mg"/>
        <s v="Ceftriaxone injectable"/>
        <s v=""/>
        <n v="0" u="1"/>
      </sharedItems>
    </cacheField>
    <cacheField name="Lot" numFmtId="0">
      <sharedItems containsMixedTypes="1" containsNumber="1" containsInteger="1" minValue="0" maxValue="0" count="5">
        <s v="LOT-001"/>
        <s v="LOT-002"/>
        <s v="LOT-003"/>
        <s v=""/>
        <n v="0" u="1"/>
      </sharedItems>
    </cacheField>
    <cacheField name="Stock restant" numFmtId="0">
      <sharedItems containsMixedTypes="1" containsNumber="1" containsInteger="1" minValue="0" maxValue="95"/>
    </cacheField>
    <cacheField name="Date de péremption" numFmtId="14">
      <sharedItems containsDate="1" containsMixedTypes="1" minDate="2026-05-31T00:00:00" maxDate="2028-01-01T00:00:00"/>
    </cacheField>
    <cacheField name="jours restants" numFmtId="1">
      <sharedItems containsMixedTypes="1" containsNumber="1" containsInteger="1" minValue="-83" maxValue="496"/>
    </cacheField>
    <cacheField name="Status" numFmtId="1">
      <sharedItems/>
    </cacheField>
    <cacheField name="Alerte de péremption" numFmtId="0">
      <sharedItems count="2">
        <s v=""/>
        <s v="Proche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CISSE GSM" refreshedDate="46256.681964004631" createdVersion="5" refreshedVersion="5" minRefreshableVersion="3" recordCount="26">
  <cacheSource type="worksheet">
    <worksheetSource name="tblDataDashboard"/>
  </cacheSource>
  <cacheFields count="12">
    <cacheField name="Code" numFmtId="0">
      <sharedItems/>
    </cacheField>
    <cacheField name="Désignation" numFmtId="0">
      <sharedItems count="52">
        <s v="Paracétamol 500 mg"/>
        <s v="Paracétamol 1000 mg"/>
        <s v="Ibuprofène 400 mg"/>
        <s v="Aspirine 500 mg"/>
        <s v="Amoxicilline 500 mg"/>
        <s v="Amoxicilline 1 g"/>
        <s v="Azithromycine 500 mg"/>
        <s v="Ceftriaxone injectable"/>
        <s v="Ciprofloxacine 500 mg"/>
        <s v="Metronidazole 500 mg"/>
        <s v="Vitamine C 500 mg"/>
        <s v="Vitamine C 1000 mg"/>
        <s v="Vitamine D3"/>
        <s v="Efferalgan sirop"/>
        <s v="Spasfon injectable"/>
        <s v="Gaviscon"/>
        <s v="Oméprazole 40 mg"/>
        <s v="Albendazole 400 mg"/>
        <s v="Salbutamol inhalateur"/>
        <s v="Ventoline inhalateur"/>
        <s v="Amoxicilline sirop"/>
        <s v="Gentamicine injectable"/>
        <s v="Diclofénac injectable"/>
        <s v="Sérum physiologique"/>
        <s v="Bétadine"/>
        <s v="Alcool médical"/>
        <s v="Artésunate" u="1"/>
        <s v="Spasfon comprimé" u="1"/>
        <s v="Métronidazole 500 mg" u="1"/>
        <s v="Glucose perfusion" u="1"/>
        <s v="Vitamine B Complexe" u="1"/>
        <s v="Doliprane sirop" u="1"/>
        <s v="Efferalgan comprimé" u="1"/>
        <s v="Insuline rapide" u="1"/>
        <s v="Dexaméthasone" u="1"/>
        <s v="Maalox" u="1"/>
        <s v="Smecta" u="1"/>
        <s v="Metformine 850 mg" u="1"/>
        <s v="Imodium 2 mg" u="1"/>
        <s v="Loratadine 10 mg" u="1"/>
        <s v="Oméprazole 20 mg" u="1"/>
        <s v="Coartem" u="1"/>
        <s v="Metformine 500 mg" u="1"/>
        <s v="Cetirizine 10 mg" u="1"/>
        <s v="Diclofénac 50 mg" u="1"/>
        <s v="Sirop contre la toux" u="1"/>
        <s v="Magnésium" u="1"/>
        <s v="Prednisolone" u="1"/>
        <s v="Glibenclamide" u="1"/>
        <s v="Cotrimoxazole 480 mg" u="1"/>
        <s v="Quinine injectable" u="1"/>
        <s v="Mébendazole" u="1"/>
      </sharedItems>
    </cacheField>
    <cacheField name="Catégorie" numFmtId="0">
      <sharedItems count="17">
        <s v="Antalgique"/>
        <s v="Anti-inflammatoire"/>
        <s v="Antibiotique"/>
        <s v="Vitamine"/>
        <s v="Antispasmodique"/>
        <s v="Gastro-intestinal"/>
        <s v="Antiparasitaire"/>
        <s v="Respiratoire"/>
        <s v="Solution"/>
        <s v="Antiseptique"/>
        <s v="Antipaludéen" u="1"/>
        <s v="Corticoïde" u="1"/>
        <s v="Système digestif" u="1"/>
        <s v="Antidiabétique" u="1"/>
        <s v="Antidiarrhéique" u="1"/>
        <s v="Antiulcéreux" u="1"/>
        <s v="Antihistaminique" u="1"/>
      </sharedItems>
    </cacheField>
    <cacheField name="Stock actuel" numFmtId="0">
      <sharedItems containsSemiMixedTypes="0" containsString="0" containsNumber="1" containsInteger="1" minValue="0" maxValue="186"/>
    </cacheField>
    <cacheField name="Stock minimum" numFmtId="0">
      <sharedItems containsSemiMixedTypes="0" containsString="0" containsNumber="1" containsInteger="1" minValue="15" maxValue="50"/>
    </cacheField>
    <cacheField name="Prix vente" numFmtId="164">
      <sharedItems containsSemiMixedTypes="0" containsString="0" containsNumber="1" containsInteger="1" minValue="500" maxValue="3500"/>
    </cacheField>
    <cacheField name="Valeur stock" numFmtId="164">
      <sharedItems containsSemiMixedTypes="0" containsString="0" containsNumber="1" containsInteger="1" minValue="0" maxValue="353400"/>
    </cacheField>
    <cacheField name="Ventes mois" numFmtId="0">
      <sharedItems containsSemiMixedTypes="0" containsString="0" containsNumber="1" containsInteger="1" minValue="0" maxValue="104"/>
    </cacheField>
    <cacheField name="CA mois" numFmtId="164">
      <sharedItems containsSemiMixedTypes="0" containsString="0" containsNumber="1" containsInteger="1" minValue="0" maxValue="83200"/>
    </cacheField>
    <cacheField name="Rupture" numFmtId="0">
      <sharedItems/>
    </cacheField>
    <cacheField name="Alerte stock" numFmtId="0">
      <sharedItems/>
    </cacheField>
    <cacheField name="Commande" numFmtId="0">
      <sharedItems containsSemiMixedTypes="0" containsString="0" containsNumber="1" containsInteger="1" minValue="0" maxValue="3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CISSE GSM" refreshedDate="46256.681964583331" createdVersion="5" refreshedVersion="5" minRefreshableVersion="3" recordCount="208">
  <cacheSource type="worksheet">
    <worksheetSource name="HistoriqueMouvements"/>
  </cacheSource>
  <cacheFields count="7">
    <cacheField name="Dates" numFmtId="14">
      <sharedItems containsSemiMixedTypes="0" containsNonDate="0" containsDate="1" containsString="0" minDate="2026-01-01T00:00:00" maxDate="2026-08-22T00:00:00"/>
    </cacheField>
    <cacheField name="Code produit" numFmtId="14">
      <sharedItems/>
    </cacheField>
    <cacheField name="Désignation" numFmtId="0">
      <sharedItems containsBlank="1" count="54">
        <s v="Paracétamol 500 mg"/>
        <s v="Diclofénac injectable"/>
        <s v="Salbutamol inhalateur"/>
        <s v="Spasfon injectable"/>
        <s v="Alcool médical"/>
        <s v="Vitamine C 500 mg"/>
        <s v="Metronidazole 500 mg"/>
        <s v="Amoxicilline 500 mg"/>
        <s v="Ibuprofène 400 mg"/>
        <s v="Aspirine 500 mg"/>
        <s v="Gaviscon"/>
        <s v="Gentamicine injectable"/>
        <s v="Sérum physiologique"/>
        <s v="Ciprofloxacine 500 mg"/>
        <s v="Bétadine"/>
        <s v="Efferalgan sirop"/>
        <s v="Albendazole 400 mg"/>
        <s v="Ventoline inhalateur"/>
        <s v="Vitamine C 1000 mg"/>
        <s v="Paracétamol 1000 mg"/>
        <s v="Azithromycine 500 mg"/>
        <s v="Amoxicilline 1 g"/>
        <s v="Oméprazole 40 mg"/>
        <s v="Ceftriaxone injectable"/>
        <s v="Amoxicilline sirop"/>
        <s v="Vitamine D3"/>
        <s v="Artésunate" u="1"/>
        <m u="1"/>
        <s v="Spasfon comprimé" u="1"/>
        <s v="Métronidazole 500 mg" u="1"/>
        <s v="Glucose perfusion" u="1"/>
        <s v="Vitamine B Complexe" u="1"/>
        <s v="Doliprane sirop" u="1"/>
        <s v="Efferalgan comprimé" u="1"/>
        <s v="Insuline rapide" u="1"/>
        <s v="Dexaméthasone" u="1"/>
        <s v="Maalox" u="1"/>
        <s v="Smecta" u="1"/>
        <s v="Metformine 850 mg" u="1"/>
        <s v="Imodium 2 mg" u="1"/>
        <s v="Loratadine 10 mg" u="1"/>
        <s v="Oméprazole 20 mg" u="1"/>
        <s v="Coartem" u="1"/>
        <s v="Mixagrip" u="1"/>
        <s v="Metformine 500 mg" u="1"/>
        <s v="Cetirizine 10 mg" u="1"/>
        <s v="Diclofénac 50 mg" u="1"/>
        <s v="Sirop contre la toux" u="1"/>
        <s v="Magnésium" u="1"/>
        <s v="Prednisolone" u="1"/>
        <s v="Glibenclamide" u="1"/>
        <s v="Cotrimoxazole 480 mg" u="1"/>
        <s v="Quinine injectable" u="1"/>
        <s v="Mébendazole" u="1"/>
      </sharedItems>
    </cacheField>
    <cacheField name="Lot" numFmtId="0">
      <sharedItems containsBlank="1" count="10">
        <s v="LOT-002"/>
        <s v="LOT-003"/>
        <s v="LOT-001"/>
        <m u="1"/>
        <s v="LOT-1001" u="1"/>
        <s v="L003" u="1"/>
        <s v="L002" u="1"/>
        <s v="L001" u="1"/>
        <s v="LOT-101" u="1"/>
        <s v="LOT-004" u="1"/>
      </sharedItems>
    </cacheField>
    <cacheField name="Types" numFmtId="0">
      <sharedItems/>
    </cacheField>
    <cacheField name="Qantités" numFmtId="1">
      <sharedItems containsSemiMixedTypes="0" containsString="0" containsNumber="1" containsInteger="1" minValue="-80" maxValue="200"/>
    </cacheField>
    <cacheField name="Dates de péremption" numFmtId="14">
      <sharedItems containsSemiMixedTypes="0" containsNonDate="0" containsDate="1" containsString="0" minDate="2026-02-27T00:00:00" maxDate="2028-01-01T00:00:00" count="22">
        <d v="2026-11-30T00:00:00"/>
        <d v="2027-12-31T00:00:00"/>
        <d v="2026-10-30T00:00:00"/>
        <d v="2026-05-31T00:00:00"/>
        <d v="2026-12-31T00:00:00"/>
        <d v="2026-10-05T00:00:00"/>
        <d v="2027-06-30T00:00:00"/>
        <d v="2026-10-15T00:00:00"/>
        <d v="2026-11-25T00:00:00"/>
        <d v="2026-11-15T00:00:00"/>
        <d v="2026-10-10T00:00:00"/>
        <d v="2026-09-10T00:00:00"/>
        <d v="2026-12-15T00:00:00"/>
        <d v="2026-12-30T00:00:00"/>
        <d v="2026-04-19T00:00:00" u="1"/>
        <d v="2026-03-10T00:00:00" u="1"/>
        <d v="2026-04-15T00:00:00" u="1"/>
        <d v="2026-06-30T00:00:00" u="1"/>
        <d v="2026-03-20T00:00:00" u="1"/>
        <d v="2026-04-25T00:00:00" u="1"/>
        <d v="2026-02-27T00:00:00" u="1"/>
        <d v="2027-01-01T00:00:00" u="1"/>
      </sharedItems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36">
  <r>
    <x v="0"/>
    <s v="PR026"/>
    <x v="0"/>
    <s v="LOT-002"/>
    <n v="800"/>
    <n v="4"/>
    <n v="3200"/>
    <d v="2026-11-30T00:00:00"/>
    <n v="500"/>
    <n v="2000"/>
  </r>
  <r>
    <x v="0"/>
    <s v="PR026"/>
    <x v="0"/>
    <s v="LOT-002"/>
    <n v="800"/>
    <n v="2"/>
    <n v="1600"/>
    <d v="2026-11-30T00:00:00"/>
    <n v="500"/>
    <n v="1000"/>
  </r>
  <r>
    <x v="1"/>
    <s v="PR001"/>
    <x v="1"/>
    <s v="LOT-002"/>
    <n v="1500"/>
    <n v="25"/>
    <n v="37500"/>
    <d v="2026-10-30T00:00:00"/>
    <n v="1000"/>
    <n v="25000"/>
  </r>
  <r>
    <x v="1"/>
    <s v="PR001"/>
    <x v="1"/>
    <s v="LOT-001"/>
    <n v="1500"/>
    <n v="7"/>
    <n v="10500"/>
    <d v="2026-05-31T00:00:00"/>
    <n v="1000"/>
    <n v="7000"/>
  </r>
  <r>
    <x v="2"/>
    <s v="PR016"/>
    <x v="2"/>
    <s v="LOT-002"/>
    <n v="500"/>
    <n v="3"/>
    <n v="1500"/>
    <d v="2026-12-31T00:00:00"/>
    <n v="300"/>
    <n v="900"/>
  </r>
  <r>
    <x v="2"/>
    <s v="PR016"/>
    <x v="2"/>
    <s v="LOT-001"/>
    <n v="500"/>
    <n v="15"/>
    <n v="7500"/>
    <d v="2026-10-05T00:00:00"/>
    <n v="300"/>
    <n v="4500"/>
  </r>
  <r>
    <x v="2"/>
    <s v="PR017"/>
    <x v="3"/>
    <s v="LOT-001"/>
    <n v="800"/>
    <n v="18"/>
    <n v="14400"/>
    <d v="2027-06-30T00:00:00"/>
    <n v="500"/>
    <n v="9000"/>
  </r>
  <r>
    <x v="2"/>
    <s v="PR022"/>
    <x v="4"/>
    <s v="LOT-001"/>
    <n v="2200"/>
    <n v="29"/>
    <n v="63800"/>
    <d v="2027-06-30T00:00:00"/>
    <n v="1500"/>
    <n v="43500"/>
  </r>
  <r>
    <x v="2"/>
    <s v="PR022"/>
    <x v="4"/>
    <s v="LOT-002"/>
    <n v="2200"/>
    <n v="1"/>
    <n v="2200"/>
    <d v="2026-10-15T00:00:00"/>
    <n v="1500"/>
    <n v="1500"/>
  </r>
  <r>
    <x v="2"/>
    <s v="PR026"/>
    <x v="0"/>
    <s v="LOT-002"/>
    <n v="800"/>
    <n v="48"/>
    <n v="38400"/>
    <d v="2026-11-30T00:00:00"/>
    <n v="500"/>
    <n v="24000"/>
  </r>
  <r>
    <x v="2"/>
    <s v="PR024"/>
    <x v="5"/>
    <s v="LOT-002"/>
    <n v="1100"/>
    <n v="10"/>
    <n v="11000"/>
    <d v="2026-11-30T00:00:00"/>
    <n v="700"/>
    <n v="7000"/>
  </r>
  <r>
    <x v="2"/>
    <s v="PR024"/>
    <x v="5"/>
    <s v="LOT-001"/>
    <n v="1100"/>
    <n v="15"/>
    <n v="16500"/>
    <d v="2026-10-05T00:00:00"/>
    <n v="700"/>
    <n v="10500"/>
  </r>
  <r>
    <x v="2"/>
    <s v="PR026"/>
    <x v="0"/>
    <s v="LOT-002"/>
    <n v="800"/>
    <n v="27"/>
    <n v="21600"/>
    <d v="2026-11-30T00:00:00"/>
    <n v="500"/>
    <n v="13500"/>
  </r>
  <r>
    <x v="2"/>
    <s v="PR026"/>
    <x v="0"/>
    <s v="LOT-003"/>
    <n v="800"/>
    <n v="23"/>
    <n v="18400"/>
    <d v="2026-10-30T00:00:00"/>
    <n v="500"/>
    <n v="11500"/>
  </r>
  <r>
    <x v="3"/>
    <s v="PR011"/>
    <x v="6"/>
    <s v="LOT-001"/>
    <n v="2300"/>
    <n v="23"/>
    <n v="52900"/>
    <d v="2026-05-31T00:00:00"/>
    <n v="1500"/>
    <n v="34500"/>
  </r>
  <r>
    <x v="3"/>
    <s v="PR026"/>
    <x v="0"/>
    <s v="LOT-001"/>
    <n v="800"/>
    <n v="9"/>
    <n v="7200"/>
    <d v="2026-05-31T00:00:00"/>
    <n v="500"/>
    <n v="4500"/>
  </r>
  <r>
    <x v="3"/>
    <s v="PR005"/>
    <x v="7"/>
    <s v="LOT-001"/>
    <n v="1800"/>
    <n v="11"/>
    <n v="19800"/>
    <d v="2026-10-05T00:00:00"/>
    <n v="1200"/>
    <n v="13200"/>
  </r>
  <r>
    <x v="3"/>
    <s v="PR004"/>
    <x v="8"/>
    <s v="LOT-002"/>
    <n v="1800"/>
    <n v="8"/>
    <n v="14400"/>
    <d v="2026-11-15T00:00:00"/>
    <n v="1200"/>
    <n v="9600"/>
  </r>
  <r>
    <x v="3"/>
    <s v="PR024"/>
    <x v="5"/>
    <s v="LOT-001"/>
    <n v="1100"/>
    <n v="21"/>
    <n v="23100"/>
    <d v="2026-10-05T00:00:00"/>
    <n v="700"/>
    <n v="14700"/>
  </r>
  <r>
    <x v="3"/>
    <s v="PR001"/>
    <x v="1"/>
    <s v="LOT-001"/>
    <n v="1500"/>
    <n v="3"/>
    <n v="4500"/>
    <d v="2026-05-31T00:00:00"/>
    <n v="1000"/>
    <n v="3000"/>
  </r>
  <r>
    <x v="3"/>
    <s v="PR022"/>
    <x v="4"/>
    <s v="LOT-002"/>
    <n v="2200"/>
    <n v="9"/>
    <n v="19800"/>
    <d v="2026-10-15T00:00:00"/>
    <n v="1500"/>
    <n v="13500"/>
  </r>
  <r>
    <x v="3"/>
    <s v="PR026"/>
    <x v="0"/>
    <s v="LOT-001"/>
    <n v="800"/>
    <n v="3"/>
    <n v="2400"/>
    <d v="2026-05-31T00:00:00"/>
    <n v="500"/>
    <n v="1500"/>
  </r>
  <r>
    <x v="3"/>
    <s v="PR017"/>
    <x v="3"/>
    <s v="LOT-001"/>
    <n v="800"/>
    <n v="13"/>
    <n v="10400"/>
    <d v="2027-06-30T00:00:00"/>
    <n v="500"/>
    <n v="6500"/>
  </r>
  <r>
    <x v="4"/>
    <s v="PR017"/>
    <x v="3"/>
    <s v="LOT-001"/>
    <n v="800"/>
    <n v="14"/>
    <n v="11200"/>
    <d v="2027-06-30T00:00:00"/>
    <n v="500"/>
    <n v="7000"/>
  </r>
  <r>
    <x v="4"/>
    <s v="PR017"/>
    <x v="3"/>
    <s v="LOT-002"/>
    <n v="800"/>
    <n v="15"/>
    <n v="12000"/>
    <d v="2026-11-30T00:00:00"/>
    <n v="500"/>
    <n v="7500"/>
  </r>
  <r>
    <x v="4"/>
    <s v="PR023"/>
    <x v="9"/>
    <s v="LOT-001"/>
    <n v="900"/>
    <n v="20"/>
    <n v="18000"/>
    <d v="2026-12-31T00:00:00"/>
    <n v="600"/>
    <n v="12000"/>
  </r>
  <r>
    <x v="4"/>
    <s v="PR013"/>
    <x v="10"/>
    <s v="LOT-001"/>
    <n v="2100"/>
    <n v="30"/>
    <n v="63000"/>
    <d v="2026-10-05T00:00:00"/>
    <n v="1400"/>
    <n v="42000"/>
  </r>
  <r>
    <x v="4"/>
    <s v="PR026"/>
    <x v="0"/>
    <s v="LOT-001"/>
    <n v="800"/>
    <n v="80"/>
    <n v="64000"/>
    <d v="2026-05-31T00:00:00"/>
    <n v="500"/>
    <n v="40000"/>
  </r>
  <r>
    <x v="5"/>
    <s v="PR016"/>
    <x v="2"/>
    <s v="LOT-001"/>
    <n v="500"/>
    <n v="5"/>
    <n v="2500"/>
    <d v="2026-10-05T00:00:00"/>
    <n v="300"/>
    <n v="1500"/>
  </r>
  <r>
    <x v="5"/>
    <s v="PR002"/>
    <x v="11"/>
    <s v="LOT-001"/>
    <n v="2200"/>
    <n v="2"/>
    <n v="4400"/>
    <d v="2027-06-30T00:00:00"/>
    <n v="1500"/>
    <n v="3000"/>
  </r>
  <r>
    <x v="5"/>
    <s v="PR022"/>
    <x v="4"/>
    <s v="LOT-002"/>
    <n v="2200"/>
    <n v="5"/>
    <n v="11000"/>
    <d v="2026-10-15T00:00:00"/>
    <n v="1500"/>
    <n v="7500"/>
  </r>
  <r>
    <x v="5"/>
    <s v="PR009"/>
    <x v="12"/>
    <s v="LOT-002"/>
    <n v="800"/>
    <n v="10"/>
    <n v="8000"/>
    <d v="2026-12-15T00:00:00"/>
    <n v="500"/>
    <n v="5000"/>
  </r>
  <r>
    <x v="5"/>
    <s v="PR023"/>
    <x v="9"/>
    <s v="LOT-001"/>
    <n v="900"/>
    <n v="15"/>
    <n v="13500"/>
    <d v="2026-12-31T00:00:00"/>
    <n v="600"/>
    <n v="9000"/>
  </r>
  <r>
    <x v="5"/>
    <s v="PR007"/>
    <x v="13"/>
    <s v="LOT-001"/>
    <n v="3500"/>
    <n v="3"/>
    <n v="10500"/>
    <d v="2026-12-31T00:00:00"/>
    <n v="2500"/>
    <n v="7500"/>
  </r>
  <r>
    <x v="6"/>
    <s v="PR002"/>
    <x v="11"/>
    <s v="LOT-001"/>
    <n v="2200"/>
    <n v="2"/>
    <n v="4400"/>
    <d v="2027-06-30T00:00:00"/>
    <n v="1500"/>
    <n v="3000"/>
  </r>
  <r>
    <x v="6"/>
    <s v="PR012"/>
    <x v="14"/>
    <s v="LOT-001"/>
    <n v="1900"/>
    <n v="4"/>
    <n v="7600"/>
    <d v="2026-09-10T00:00:00"/>
    <n v="1300"/>
    <n v="5200"/>
  </r>
  <r>
    <x v="6"/>
    <s v="PR026"/>
    <x v="0"/>
    <s v="LOT-001"/>
    <n v="800"/>
    <n v="42"/>
    <n v="33600"/>
    <d v="2026-05-31T00:00:00"/>
    <n v="500"/>
    <n v="21000"/>
  </r>
  <r>
    <x v="6"/>
    <s v="PR002"/>
    <x v="11"/>
    <s v="LOT-001"/>
    <n v="2200"/>
    <n v="2"/>
    <n v="4400"/>
    <d v="2027-06-30T00:00:00"/>
    <n v="1500"/>
    <n v="3000"/>
  </r>
  <r>
    <x v="6"/>
    <s v="PR026"/>
    <x v="0"/>
    <s v="LOT-001"/>
    <n v="800"/>
    <n v="4"/>
    <n v="3200"/>
    <d v="2026-05-31T00:00:00"/>
    <n v="500"/>
    <n v="2000"/>
  </r>
  <r>
    <x v="6"/>
    <s v="PR017"/>
    <x v="3"/>
    <s v="LOT-002"/>
    <n v="800"/>
    <n v="1"/>
    <n v="800"/>
    <d v="2026-11-30T00:00:00"/>
    <n v="500"/>
    <n v="500"/>
  </r>
  <r>
    <x v="6"/>
    <s v="PR007"/>
    <x v="13"/>
    <s v="LOT-001"/>
    <n v="3500"/>
    <n v="1"/>
    <n v="3500"/>
    <d v="2026-12-31T00:00:00"/>
    <n v="2500"/>
    <n v="2500"/>
  </r>
  <r>
    <x v="6"/>
    <s v="PR003"/>
    <x v="15"/>
    <s v="LOT-001"/>
    <n v="1200"/>
    <n v="3"/>
    <n v="3600"/>
    <d v="2026-05-31T00:00:00"/>
    <n v="800"/>
    <n v="2400"/>
  </r>
  <r>
    <x v="6"/>
    <s v="PR012"/>
    <x v="14"/>
    <s v="LOT-001"/>
    <n v="1900"/>
    <n v="4"/>
    <n v="7600"/>
    <d v="2026-09-10T00:00:00"/>
    <n v="1300"/>
    <n v="5200"/>
  </r>
  <r>
    <x v="6"/>
    <s v="PR025"/>
    <x v="16"/>
    <s v="LOT-001"/>
    <n v="1200"/>
    <n v="4"/>
    <n v="4800"/>
    <d v="2026-09-10T00:00:00"/>
    <n v="800"/>
    <n v="3200"/>
  </r>
  <r>
    <x v="6"/>
    <s v="PR005"/>
    <x v="7"/>
    <s v="LOT-001"/>
    <n v="1800"/>
    <n v="1"/>
    <n v="1800"/>
    <d v="2026-10-05T00:00:00"/>
    <n v="1200"/>
    <n v="1200"/>
  </r>
  <r>
    <x v="6"/>
    <s v="PR022"/>
    <x v="4"/>
    <s v="LOT-002"/>
    <n v="2200"/>
    <n v="1"/>
    <n v="2200"/>
    <d v="2026-10-15T00:00:00"/>
    <n v="1500"/>
    <n v="1500"/>
  </r>
  <r>
    <x v="6"/>
    <s v="PR002"/>
    <x v="11"/>
    <s v="LOT-001"/>
    <n v="2200"/>
    <n v="1"/>
    <n v="2200"/>
    <d v="2027-06-30T00:00:00"/>
    <n v="1500"/>
    <n v="1500"/>
  </r>
  <r>
    <x v="6"/>
    <s v="PR009"/>
    <x v="12"/>
    <s v="LOT-002"/>
    <n v="800"/>
    <n v="2"/>
    <n v="1600"/>
    <d v="2026-12-15T00:00:00"/>
    <n v="500"/>
    <n v="1000"/>
  </r>
  <r>
    <x v="6"/>
    <s v="PR024"/>
    <x v="5"/>
    <s v="LOT-001"/>
    <n v="1100"/>
    <n v="3"/>
    <n v="3300"/>
    <d v="2026-10-05T00:00:00"/>
    <n v="700"/>
    <n v="2100"/>
  </r>
  <r>
    <x v="6"/>
    <s v="PR018"/>
    <x v="17"/>
    <s v="LOT-001"/>
    <n v="1100"/>
    <n v="3"/>
    <n v="3300"/>
    <d v="2026-12-31T00:00:00"/>
    <n v="700"/>
    <n v="2100"/>
  </r>
  <r>
    <x v="6"/>
    <s v="PR021"/>
    <x v="18"/>
    <s v="LOT-001"/>
    <n v="2600"/>
    <n v="3"/>
    <n v="7800"/>
    <d v="2026-05-31T00:00:00"/>
    <n v="1800"/>
    <n v="5400"/>
  </r>
  <r>
    <x v="7"/>
    <s v="PR010"/>
    <x v="19"/>
    <s v="LOT-001"/>
    <n v="3500"/>
    <n v="1"/>
    <n v="3500"/>
    <d v="2027-06-30T00:00:00"/>
    <n v="2500"/>
    <n v="2500"/>
  </r>
  <r>
    <x v="8"/>
    <s v="PR010"/>
    <x v="19"/>
    <s v="LOT-001"/>
    <n v="3500"/>
    <n v="1"/>
    <n v="3500"/>
    <d v="2027-06-30T00:00:00"/>
    <n v="2500"/>
    <n v="2500"/>
  </r>
  <r>
    <x v="8"/>
    <s v="PR001"/>
    <x v="1"/>
    <s v="LOT-001"/>
    <n v="1500"/>
    <n v="2"/>
    <n v="3000"/>
    <d v="2026-05-31T00:00:00"/>
    <n v="1000"/>
    <n v="2000"/>
  </r>
  <r>
    <x v="8"/>
    <s v="PR017"/>
    <x v="3"/>
    <s v="LOT-002"/>
    <n v="800"/>
    <n v="9"/>
    <n v="7200"/>
    <d v="2026-11-30T00:00:00"/>
    <n v="500"/>
    <n v="4500"/>
  </r>
  <r>
    <x v="8"/>
    <s v="PR010"/>
    <x v="19"/>
    <s v="LOT-001"/>
    <n v="3500"/>
    <n v="5"/>
    <n v="17500"/>
    <d v="2027-06-30T00:00:00"/>
    <n v="2500"/>
    <n v="12500"/>
  </r>
  <r>
    <x v="9"/>
    <s v="PR013"/>
    <x v="10"/>
    <s v="LOT-001"/>
    <n v="2100"/>
    <n v="7"/>
    <n v="14700"/>
    <d v="2026-10-05T00:00:00"/>
    <n v="1400"/>
    <n v="9800"/>
  </r>
  <r>
    <x v="9"/>
    <s v="PR002"/>
    <x v="11"/>
    <s v="LOT-001"/>
    <n v="2200"/>
    <n v="2"/>
    <n v="4400"/>
    <d v="2027-06-30T00:00:00"/>
    <n v="1500"/>
    <n v="3000"/>
  </r>
  <r>
    <x v="9"/>
    <s v="PR013"/>
    <x v="10"/>
    <s v="LOT-001"/>
    <n v="2100"/>
    <n v="1"/>
    <n v="2100"/>
    <d v="2026-10-05T00:00:00"/>
    <n v="1400"/>
    <n v="1400"/>
  </r>
  <r>
    <x v="9"/>
    <s v="PR011"/>
    <x v="6"/>
    <s v="LOT-001"/>
    <n v="2300"/>
    <n v="1"/>
    <n v="2300"/>
    <d v="2026-05-31T00:00:00"/>
    <n v="1500"/>
    <n v="1500"/>
  </r>
  <r>
    <x v="10"/>
    <s v="PR004"/>
    <x v="8"/>
    <s v="LOT-001"/>
    <n v="1800"/>
    <n v="5"/>
    <n v="9000"/>
    <d v="2026-12-31T00:00:00"/>
    <n v="1200"/>
    <n v="6000"/>
  </r>
  <r>
    <x v="10"/>
    <s v="PR010"/>
    <x v="19"/>
    <s v="LOT-001"/>
    <n v="3500"/>
    <n v="30"/>
    <n v="105000"/>
    <d v="2027-06-30T00:00:00"/>
    <n v="2500"/>
    <n v="75000"/>
  </r>
  <r>
    <x v="10"/>
    <s v="PR010"/>
    <x v="19"/>
    <s v="LOT-002"/>
    <n v="3500"/>
    <n v="10"/>
    <n v="35000"/>
    <d v="2026-10-30T00:00:00"/>
    <n v="2500"/>
    <n v="25000"/>
  </r>
  <r>
    <x v="10"/>
    <s v="PR015"/>
    <x v="20"/>
    <s v="LOT-001"/>
    <n v="600"/>
    <n v="5"/>
    <n v="3000"/>
    <d v="2026-09-10T00:00:00"/>
    <n v="400"/>
    <n v="2000"/>
  </r>
  <r>
    <x v="10"/>
    <s v="PR023"/>
    <x v="9"/>
    <s v="LOT-001"/>
    <n v="900"/>
    <n v="9"/>
    <n v="8100"/>
    <d v="2026-12-31T00:00:00"/>
    <n v="600"/>
    <n v="5400"/>
  </r>
  <r>
    <x v="11"/>
    <s v="PR023"/>
    <x v="9"/>
    <s v="LOT-001"/>
    <n v="900"/>
    <n v="5"/>
    <n v="4500"/>
    <d v="2026-12-31T00:00:00"/>
    <n v="600"/>
    <n v="3000"/>
  </r>
  <r>
    <x v="11"/>
    <s v="PR003"/>
    <x v="15"/>
    <s v="LOT-001"/>
    <n v="1200"/>
    <n v="5"/>
    <n v="6000"/>
    <d v="2026-05-31T00:00:00"/>
    <n v="800"/>
    <n v="4000"/>
  </r>
  <r>
    <x v="11"/>
    <s v="PR020"/>
    <x v="21"/>
    <s v="LOT-001"/>
    <n v="1800"/>
    <n v="9"/>
    <n v="16200"/>
    <d v="2026-09-10T00:00:00"/>
    <n v="1200"/>
    <n v="10800"/>
  </r>
  <r>
    <x v="12"/>
    <s v="PR013"/>
    <x v="10"/>
    <s v="LOT-001"/>
    <n v="2100"/>
    <n v="2"/>
    <n v="4200"/>
    <d v="2026-10-05T00:00:00"/>
    <n v="1400"/>
    <n v="2800"/>
  </r>
  <r>
    <x v="12"/>
    <s v="PR020"/>
    <x v="21"/>
    <s v="LOT-001"/>
    <n v="1800"/>
    <n v="10"/>
    <n v="18000"/>
    <d v="2026-09-10T00:00:00"/>
    <n v="1200"/>
    <n v="12000"/>
  </r>
  <r>
    <x v="12"/>
    <s v="PR022"/>
    <x v="4"/>
    <s v="LOT-002"/>
    <n v="2200"/>
    <n v="1"/>
    <n v="2200"/>
    <d v="2026-10-15T00:00:00"/>
    <n v="1500"/>
    <n v="1500"/>
  </r>
  <r>
    <x v="13"/>
    <s v="PR006"/>
    <x v="22"/>
    <s v="LOT-001"/>
    <n v="2600"/>
    <n v="5"/>
    <n v="13000"/>
    <d v="2026-09-10T00:00:00"/>
    <n v="1800"/>
    <n v="9000"/>
  </r>
  <r>
    <x v="14"/>
    <s v="PR001"/>
    <x v="1"/>
    <s v="LOT-001"/>
    <n v="1500"/>
    <n v="10"/>
    <n v="15000"/>
    <d v="2026-05-31T00:00:00"/>
    <n v="1000"/>
    <n v="10000"/>
  </r>
  <r>
    <x v="14"/>
    <s v="PR002"/>
    <x v="11"/>
    <s v="LOT-001"/>
    <n v="2200"/>
    <n v="1"/>
    <n v="2200"/>
    <d v="2027-06-30T00:00:00"/>
    <n v="1500"/>
    <n v="1500"/>
  </r>
  <r>
    <x v="14"/>
    <s v="PR026"/>
    <x v="0"/>
    <s v="LOT-001"/>
    <n v="800"/>
    <n v="26"/>
    <n v="20800"/>
    <d v="2026-05-31T00:00:00"/>
    <n v="500"/>
    <n v="13000"/>
  </r>
  <r>
    <x v="15"/>
    <s v="PR004"/>
    <x v="8"/>
    <s v="LOT-001"/>
    <n v="1800"/>
    <n v="8"/>
    <n v="14400"/>
    <d v="2026-12-31T00:00:00"/>
    <n v="1200"/>
    <n v="9600"/>
  </r>
  <r>
    <x v="16"/>
    <s v="PR019"/>
    <x v="23"/>
    <s v="LOT-001"/>
    <n v="2600"/>
    <n v="6"/>
    <n v="15600"/>
    <d v="2026-10-05T00:00:00"/>
    <n v="1800"/>
    <n v="10800"/>
  </r>
  <r>
    <x v="16"/>
    <s v="PR021"/>
    <x v="18"/>
    <s v="LOT-001"/>
    <n v="2600"/>
    <n v="1"/>
    <n v="2600"/>
    <d v="2026-05-31T00:00:00"/>
    <n v="1800"/>
    <n v="1800"/>
  </r>
  <r>
    <x v="17"/>
    <s v="PR016"/>
    <x v="2"/>
    <s v="LOT-001"/>
    <n v="500"/>
    <n v="1"/>
    <n v="500"/>
    <d v="2026-10-05T00:00:00"/>
    <n v="300"/>
    <n v="300"/>
  </r>
  <r>
    <x v="17"/>
    <s v="PR022"/>
    <x v="4"/>
    <s v="LOT-002"/>
    <n v="2200"/>
    <n v="8"/>
    <n v="17600"/>
    <d v="2026-10-15T00:00:00"/>
    <n v="1500"/>
    <n v="12000"/>
  </r>
  <r>
    <x v="18"/>
    <s v="PR020"/>
    <x v="21"/>
    <s v="LOT-001"/>
    <n v="1800"/>
    <n v="3"/>
    <n v="5400"/>
    <d v="2026-09-10T00:00:00"/>
    <n v="1200"/>
    <n v="3600"/>
  </r>
  <r>
    <x v="19"/>
    <s v="PR022"/>
    <x v="4"/>
    <s v="LOT-002"/>
    <n v="2200"/>
    <n v="2"/>
    <n v="4400"/>
    <d v="2026-10-15T00:00:00"/>
    <n v="1500"/>
    <n v="3000"/>
  </r>
  <r>
    <x v="20"/>
    <s v="PR019"/>
    <x v="23"/>
    <s v="LOT-001"/>
    <n v="2600"/>
    <n v="2"/>
    <n v="5200"/>
    <d v="2026-10-05T00:00:00"/>
    <n v="1800"/>
    <n v="3600"/>
  </r>
  <r>
    <x v="20"/>
    <s v="PR020"/>
    <x v="21"/>
    <s v="LOT-001"/>
    <n v="1800"/>
    <n v="6"/>
    <n v="10800"/>
    <d v="2026-09-10T00:00:00"/>
    <n v="1200"/>
    <n v="7200"/>
  </r>
  <r>
    <x v="20"/>
    <s v="PR015"/>
    <x v="20"/>
    <s v="LOT-001"/>
    <n v="600"/>
    <n v="8"/>
    <n v="4800"/>
    <d v="2026-09-10T00:00:00"/>
    <n v="400"/>
    <n v="3200"/>
  </r>
  <r>
    <x v="21"/>
    <s v="PR018"/>
    <x v="17"/>
    <s v="LOT-001"/>
    <n v="1100"/>
    <n v="1"/>
    <n v="1100"/>
    <d v="2026-12-31T00:00:00"/>
    <n v="700"/>
    <n v="700"/>
  </r>
  <r>
    <x v="21"/>
    <s v="PR010"/>
    <x v="19"/>
    <s v="LOT-002"/>
    <n v="3500"/>
    <n v="7"/>
    <n v="24500"/>
    <d v="2026-10-30T00:00:00"/>
    <n v="2500"/>
    <n v="17500"/>
  </r>
  <r>
    <x v="21"/>
    <s v="PR014"/>
    <x v="24"/>
    <s v="LOT-001"/>
    <n v="1400"/>
    <n v="3"/>
    <n v="4200"/>
    <d v="2026-12-31T00:00:00"/>
    <n v="900"/>
    <n v="2700"/>
  </r>
  <r>
    <x v="21"/>
    <s v="PR025"/>
    <x v="16"/>
    <s v="LOT-001"/>
    <n v="1200"/>
    <n v="2"/>
    <n v="2400"/>
    <d v="2026-09-10T00:00:00"/>
    <n v="800"/>
    <n v="1600"/>
  </r>
  <r>
    <x v="22"/>
    <s v="PR020"/>
    <x v="21"/>
    <s v="LOT-001"/>
    <n v="1800"/>
    <n v="5"/>
    <n v="9000"/>
    <d v="2026-09-10T00:00:00"/>
    <n v="1200"/>
    <n v="6000"/>
  </r>
  <r>
    <x v="23"/>
    <s v="PR011"/>
    <x v="6"/>
    <s v="LOT-001"/>
    <n v="2300"/>
    <n v="2"/>
    <n v="4600"/>
    <d v="2026-05-31T00:00:00"/>
    <n v="1500"/>
    <n v="3000"/>
  </r>
  <r>
    <x v="24"/>
    <s v="PR008"/>
    <x v="25"/>
    <s v="LOT-001"/>
    <n v="3200"/>
    <n v="17"/>
    <n v="54400"/>
    <d v="2026-05-31T00:00:00"/>
    <n v="2200"/>
    <n v="37400"/>
  </r>
  <r>
    <x v="24"/>
    <s v="PR007"/>
    <x v="13"/>
    <s v="LOT-001"/>
    <n v="3500"/>
    <n v="1"/>
    <n v="3500"/>
    <d v="2026-12-31T00:00:00"/>
    <n v="2500"/>
    <n v="2500"/>
  </r>
  <r>
    <x v="25"/>
    <s v="PR016"/>
    <x v="2"/>
    <s v="LOT-001"/>
    <n v="500"/>
    <n v="2"/>
    <n v="1000"/>
    <d v="2026-10-05T00:00:00"/>
    <n v="300"/>
    <n v="600"/>
  </r>
  <r>
    <x v="26"/>
    <s v="PR012"/>
    <x v="14"/>
    <s v="LOT-001"/>
    <n v="1900"/>
    <n v="2"/>
    <n v="3800"/>
    <d v="2026-09-10T00:00:00"/>
    <n v="1300"/>
    <n v="2600"/>
  </r>
  <r>
    <x v="26"/>
    <s v="PR026"/>
    <x v="0"/>
    <s v="LOT-001"/>
    <n v="800"/>
    <n v="32"/>
    <n v="25600"/>
    <d v="2026-05-31T00:00:00"/>
    <n v="500"/>
    <n v="16000"/>
  </r>
  <r>
    <x v="27"/>
    <s v="PR004"/>
    <x v="8"/>
    <s v="LOT-001"/>
    <n v="1800"/>
    <n v="6"/>
    <n v="10800"/>
    <d v="2026-12-31T00:00:00"/>
    <n v="1200"/>
    <n v="7200"/>
  </r>
  <r>
    <x v="28"/>
    <s v="PR014"/>
    <x v="24"/>
    <s v="LOT-001"/>
    <n v="1400"/>
    <n v="4"/>
    <n v="5600"/>
    <d v="2026-12-31T00:00:00"/>
    <n v="900"/>
    <n v="3600"/>
  </r>
  <r>
    <x v="29"/>
    <s v="PR016"/>
    <x v="2"/>
    <s v="LOT-001"/>
    <n v="500"/>
    <n v="5"/>
    <n v="2500"/>
    <d v="2026-10-05T00:00:00"/>
    <n v="300"/>
    <n v="1500"/>
  </r>
  <r>
    <x v="29"/>
    <s v="PR014"/>
    <x v="24"/>
    <s v="LOT-001"/>
    <n v="1400"/>
    <n v="5"/>
    <n v="7000"/>
    <d v="2026-12-31T00:00:00"/>
    <n v="900"/>
    <n v="4500"/>
  </r>
  <r>
    <x v="30"/>
    <s v="PR009"/>
    <x v="12"/>
    <s v="LOT-001"/>
    <n v="800"/>
    <n v="5"/>
    <n v="4000"/>
    <d v="2026-12-31T00:00:00"/>
    <n v="500"/>
    <n v="2500"/>
  </r>
  <r>
    <x v="31"/>
    <s v="PR011"/>
    <x v="6"/>
    <s v="LOT-001"/>
    <n v="2300"/>
    <n v="1"/>
    <n v="2300"/>
    <d v="2026-05-31T00:00:00"/>
    <n v="1500"/>
    <n v="1500"/>
  </r>
  <r>
    <x v="32"/>
    <s v="PR017"/>
    <x v="3"/>
    <s v="LOT-001"/>
    <n v="800"/>
    <n v="7"/>
    <n v="5600"/>
    <d v="2027-06-30T00:00:00"/>
    <n v="500"/>
    <n v="3500"/>
  </r>
  <r>
    <x v="33"/>
    <s v="PR009"/>
    <x v="12"/>
    <s v="LOT-001"/>
    <n v="800"/>
    <n v="1"/>
    <n v="800"/>
    <d v="2026-12-31T00:00:00"/>
    <n v="500"/>
    <n v="500"/>
  </r>
  <r>
    <x v="34"/>
    <s v="PR016"/>
    <x v="2"/>
    <s v="LOT-001"/>
    <n v="500"/>
    <n v="1"/>
    <n v="500"/>
    <d v="2026-10-05T00:00:00"/>
    <n v="300"/>
    <n v="300"/>
  </r>
  <r>
    <x v="35"/>
    <s v="PR019"/>
    <x v="23"/>
    <s v="LOT-001"/>
    <n v="2600"/>
    <n v="5"/>
    <n v="13000"/>
    <d v="2026-10-05T00:00:00"/>
    <n v="1800"/>
    <n v="9000"/>
  </r>
  <r>
    <x v="36"/>
    <s v="PR020"/>
    <x v="21"/>
    <s v="LOT-001"/>
    <n v="1800"/>
    <n v="4"/>
    <n v="7200"/>
    <d v="2026-09-10T00:00:00"/>
    <n v="1200"/>
    <n v="4800"/>
  </r>
  <r>
    <x v="36"/>
    <s v="PR012"/>
    <x v="14"/>
    <s v="LOT-001"/>
    <n v="1900"/>
    <n v="4"/>
    <n v="7600"/>
    <d v="2026-09-10T00:00:00"/>
    <n v="1300"/>
    <n v="5200"/>
  </r>
  <r>
    <x v="37"/>
    <s v="PR005"/>
    <x v="7"/>
    <s v="LOT-001"/>
    <n v="1800"/>
    <n v="2"/>
    <n v="3600"/>
    <d v="2026-10-05T00:00:00"/>
    <n v="1200"/>
    <n v="2400"/>
  </r>
  <r>
    <x v="38"/>
    <s v="PR019"/>
    <x v="23"/>
    <s v="LOT-001"/>
    <n v="2600"/>
    <n v="3"/>
    <n v="7800"/>
    <d v="2026-10-05T00:00:00"/>
    <n v="1800"/>
    <n v="5400"/>
  </r>
  <r>
    <x v="39"/>
    <s v="PR022"/>
    <x v="4"/>
    <s v="LOT-001"/>
    <n v="2200"/>
    <n v="4"/>
    <n v="8800"/>
    <d v="2027-06-30T00:00:00"/>
    <n v="1500"/>
    <n v="6000"/>
  </r>
  <r>
    <x v="40"/>
    <s v="PR019"/>
    <x v="23"/>
    <s v="LOT-001"/>
    <n v="2600"/>
    <n v="3"/>
    <n v="7800"/>
    <d v="2026-10-05T00:00:00"/>
    <n v="1800"/>
    <n v="5400"/>
  </r>
  <r>
    <x v="40"/>
    <s v="PR022"/>
    <x v="4"/>
    <s v="LOT-001"/>
    <n v="2200"/>
    <n v="1"/>
    <n v="2200"/>
    <d v="2027-06-30T00:00:00"/>
    <n v="1500"/>
    <n v="1500"/>
  </r>
  <r>
    <x v="41"/>
    <s v="PR019"/>
    <x v="23"/>
    <s v="LOT-001"/>
    <n v="2600"/>
    <n v="2"/>
    <n v="5200"/>
    <d v="2026-10-05T00:00:00"/>
    <n v="1800"/>
    <n v="3600"/>
  </r>
  <r>
    <x v="42"/>
    <s v="PR018"/>
    <x v="17"/>
    <s v="LOT-001"/>
    <n v="1100"/>
    <n v="2"/>
    <n v="2200"/>
    <d v="2026-12-31T00:00:00"/>
    <n v="700"/>
    <n v="1400"/>
  </r>
  <r>
    <x v="42"/>
    <s v="PR011"/>
    <x v="6"/>
    <s v="LOT-001"/>
    <n v="2300"/>
    <n v="2"/>
    <n v="4600"/>
    <d v="2026-05-31T00:00:00"/>
    <n v="1500"/>
    <n v="3000"/>
  </r>
  <r>
    <x v="42"/>
    <s v="PR024"/>
    <x v="5"/>
    <s v="LOT-001"/>
    <n v="1100"/>
    <n v="1"/>
    <n v="1100"/>
    <d v="2026-10-05T00:00:00"/>
    <n v="700"/>
    <n v="700"/>
  </r>
  <r>
    <x v="43"/>
    <s v="PR002"/>
    <x v="11"/>
    <s v="LOT-001"/>
    <n v="2200"/>
    <n v="2"/>
    <n v="4400"/>
    <d v="2027-06-30T00:00:00"/>
    <n v="1500"/>
    <n v="3000"/>
  </r>
  <r>
    <x v="43"/>
    <s v="PR009"/>
    <x v="12"/>
    <s v="LOT-001"/>
    <n v="800"/>
    <n v="4"/>
    <n v="3200"/>
    <d v="2026-12-31T00:00:00"/>
    <n v="500"/>
    <n v="2000"/>
  </r>
  <r>
    <x v="44"/>
    <s v="PR010"/>
    <x v="19"/>
    <s v="LOT-001"/>
    <n v="3500"/>
    <n v="7"/>
    <n v="24500"/>
    <d v="2027-06-30T00:00:00"/>
    <n v="2500"/>
    <n v="17500"/>
  </r>
  <r>
    <x v="45"/>
    <s v="PR001"/>
    <x v="1"/>
    <s v="LOT-001"/>
    <n v="1500"/>
    <n v="10"/>
    <n v="15000"/>
    <d v="2026-05-31T00:00:00"/>
    <n v="1000"/>
    <n v="10000"/>
  </r>
  <r>
    <x v="46"/>
    <s v="PR020"/>
    <x v="21"/>
    <s v="LOT-001"/>
    <n v="1800"/>
    <n v="2"/>
    <n v="3600"/>
    <d v="2026-09-10T00:00:00"/>
    <n v="1200"/>
    <n v="2400"/>
  </r>
  <r>
    <x v="46"/>
    <s v="PR009"/>
    <x v="12"/>
    <s v="LOT-001"/>
    <n v="800"/>
    <n v="2"/>
    <n v="1600"/>
    <d v="2026-12-31T00:00:00"/>
    <n v="500"/>
    <n v="1000"/>
  </r>
  <r>
    <x v="46"/>
    <s v="PR008"/>
    <x v="25"/>
    <s v="LOT-001"/>
    <n v="3200"/>
    <n v="2"/>
    <n v="6400"/>
    <d v="2026-05-31T00:00:00"/>
    <n v="2200"/>
    <n v="4400"/>
  </r>
  <r>
    <x v="46"/>
    <s v="PR005"/>
    <x v="7"/>
    <s v="LOT-001"/>
    <n v="1800"/>
    <n v="1"/>
    <n v="1800"/>
    <d v="2026-10-05T00:00:00"/>
    <n v="1200"/>
    <n v="1200"/>
  </r>
  <r>
    <x v="47"/>
    <s v="PR023"/>
    <x v="9"/>
    <s v="LOT-001"/>
    <n v="900"/>
    <n v="5"/>
    <n v="4500"/>
    <d v="2026-12-31T00:00:00"/>
    <n v="600"/>
    <n v="3000"/>
  </r>
  <r>
    <x v="47"/>
    <s v="PR009"/>
    <x v="12"/>
    <s v="LOT-001"/>
    <n v="800"/>
    <n v="1"/>
    <n v="800"/>
    <d v="2026-12-31T00:00:00"/>
    <n v="500"/>
    <n v="500"/>
  </r>
  <r>
    <x v="48"/>
    <s v="PR018"/>
    <x v="17"/>
    <s v="LOT-001"/>
    <n v="1100"/>
    <n v="2"/>
    <n v="2200"/>
    <d v="2026-12-31T00:00:00"/>
    <n v="700"/>
    <n v="1400"/>
  </r>
  <r>
    <x v="48"/>
    <s v="PR013"/>
    <x v="10"/>
    <s v="LOT-001"/>
    <n v="2100"/>
    <n v="6"/>
    <n v="12600"/>
    <d v="2026-10-05T00:00:00"/>
    <n v="1400"/>
    <n v="8400"/>
  </r>
  <r>
    <x v="49"/>
    <s v="PR003"/>
    <x v="15"/>
    <s v="LOT-001"/>
    <n v="1200"/>
    <n v="5"/>
    <n v="6000"/>
    <d v="2026-05-31T00:00:00"/>
    <n v="800"/>
    <n v="4000"/>
  </r>
  <r>
    <x v="50"/>
    <s v="PR008"/>
    <x v="25"/>
    <s v="LOT-001"/>
    <n v="3200"/>
    <n v="6"/>
    <n v="19200"/>
    <d v="2026-05-31T00:00:00"/>
    <n v="2200"/>
    <n v="13200"/>
  </r>
  <r>
    <x v="51"/>
    <s v="PR010"/>
    <x v="19"/>
    <s v="LOT-001"/>
    <n v="3500"/>
    <n v="1"/>
    <n v="3500"/>
    <d v="2027-06-30T00:00:00"/>
    <n v="2500"/>
    <n v="2500"/>
  </r>
  <r>
    <x v="52"/>
    <s v="PR006"/>
    <x v="22"/>
    <s v="LOT-001"/>
    <n v="2600"/>
    <n v="3"/>
    <n v="7800"/>
    <d v="2026-09-10T00:00:00"/>
    <n v="1800"/>
    <n v="5400"/>
  </r>
  <r>
    <x v="35"/>
    <s v="PR011"/>
    <x v="6"/>
    <s v="LOT-001"/>
    <n v="2300"/>
    <n v="2"/>
    <n v="4600"/>
    <d v="2026-05-31T00:00:00"/>
    <n v="1500"/>
    <n v="3000"/>
  </r>
  <r>
    <x v="53"/>
    <s v="PR001"/>
    <x v="1"/>
    <s v="LOT-001"/>
    <n v="1500"/>
    <n v="8"/>
    <n v="12000"/>
    <d v="2026-05-31T00:00:00"/>
    <n v="1000"/>
    <n v="8000"/>
  </r>
  <r>
    <x v="54"/>
    <s v="PR006"/>
    <x v="22"/>
    <s v="LOT-001"/>
    <n v="2600"/>
    <n v="1"/>
    <n v="2600"/>
    <d v="2026-09-10T00:00:00"/>
    <n v="1800"/>
    <n v="180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96">
  <r>
    <x v="0"/>
    <x v="0"/>
    <n v="7"/>
    <d v="2026-12-31T00:00:00"/>
    <n v="131"/>
    <s v="Conforme"/>
    <x v="0"/>
  </r>
  <r>
    <x v="0"/>
    <x v="1"/>
    <n v="17"/>
    <d v="2026-12-15T00:00:00"/>
    <n v="115"/>
    <s v="Conforme"/>
    <x v="0"/>
  </r>
  <r>
    <x v="1"/>
    <x v="0"/>
    <n v="0"/>
    <d v="2026-05-31T00:00:00"/>
    <s v=""/>
    <s v=""/>
    <x v="0"/>
  </r>
  <r>
    <x v="1"/>
    <x v="1"/>
    <n v="23"/>
    <d v="2026-10-30T00:00:00"/>
    <n v="69"/>
    <s v="Conforme"/>
    <x v="0"/>
  </r>
  <r>
    <x v="2"/>
    <x v="0"/>
    <n v="36"/>
    <d v="2026-05-31T00:00:00"/>
    <n v="-83"/>
    <s v="Expiré"/>
    <x v="0"/>
  </r>
  <r>
    <x v="3"/>
    <x v="0"/>
    <n v="26"/>
    <d v="2027-06-30T00:00:00"/>
    <n v="312"/>
    <s v="Conforme"/>
    <x v="0"/>
  </r>
  <r>
    <x v="3"/>
    <x v="1"/>
    <n v="0"/>
    <d v="2026-10-15T00:00:00"/>
    <s v=""/>
    <s v=""/>
    <x v="0"/>
  </r>
  <r>
    <x v="4"/>
    <x v="0"/>
    <n v="30"/>
    <d v="2026-09-10T00:00:00"/>
    <n v="19"/>
    <s v="Urgente"/>
    <x v="1"/>
  </r>
  <r>
    <x v="4"/>
    <x v="1"/>
    <n v="40"/>
    <d v="2026-11-30T00:00:00"/>
    <n v="100"/>
    <s v="Conforme"/>
    <x v="0"/>
  </r>
  <r>
    <x v="5"/>
    <x v="0"/>
    <n v="66"/>
    <d v="2026-12-31T00:00:00"/>
    <n v="131"/>
    <s v="Conforme"/>
    <x v="0"/>
  </r>
  <r>
    <x v="5"/>
    <x v="1"/>
    <n v="50"/>
    <d v="2026-11-25T00:00:00"/>
    <n v="95"/>
    <s v="Conforme"/>
    <x v="0"/>
  </r>
  <r>
    <x v="6"/>
    <x v="0"/>
    <n v="21"/>
    <d v="2026-09-10T00:00:00"/>
    <n v="19"/>
    <s v="Urgente"/>
    <x v="1"/>
  </r>
  <r>
    <x v="6"/>
    <x v="1"/>
    <n v="20"/>
    <d v="2026-11-30T00:00:00"/>
    <n v="100"/>
    <s v="Conforme"/>
    <x v="0"/>
  </r>
  <r>
    <x v="7"/>
    <x v="0"/>
    <n v="18"/>
    <d v="2027-06-30T00:00:00"/>
    <n v="312"/>
    <s v="Conforme"/>
    <x v="0"/>
  </r>
  <r>
    <x v="7"/>
    <x v="1"/>
    <n v="60"/>
    <d v="2026-09-10T00:00:00"/>
    <n v="19"/>
    <s v="Urgente"/>
    <x v="1"/>
  </r>
  <r>
    <x v="8"/>
    <x v="0"/>
    <n v="12"/>
    <d v="2026-12-31T00:00:00"/>
    <n v="131"/>
    <s v="Conforme"/>
    <x v="0"/>
  </r>
  <r>
    <x v="8"/>
    <x v="1"/>
    <n v="45"/>
    <d v="2026-09-10T00:00:00"/>
    <n v="19"/>
    <s v="Urgente"/>
    <x v="1"/>
  </r>
  <r>
    <x v="9"/>
    <x v="2"/>
    <n v="20"/>
    <d v="2027-12-31T00:00:00"/>
    <n v="496"/>
    <s v="Conforme"/>
    <x v="0"/>
  </r>
  <r>
    <x v="9"/>
    <x v="0"/>
    <n v="59"/>
    <d v="2026-12-31T00:00:00"/>
    <n v="131"/>
    <s v="Conforme"/>
    <x v="0"/>
  </r>
  <r>
    <x v="9"/>
    <x v="1"/>
    <n v="12"/>
    <d v="2026-11-15T00:00:00"/>
    <n v="85"/>
    <s v="Conforme"/>
    <x v="0"/>
  </r>
  <r>
    <x v="10"/>
    <x v="0"/>
    <n v="29"/>
    <d v="2026-10-05T00:00:00"/>
    <n v="44"/>
    <s v="Surveillance"/>
    <x v="1"/>
  </r>
  <r>
    <x v="10"/>
    <x v="1"/>
    <n v="50"/>
    <d v="2026-12-15T00:00:00"/>
    <n v="115"/>
    <s v="Conforme"/>
    <x v="0"/>
  </r>
  <r>
    <x v="11"/>
    <x v="0"/>
    <n v="19"/>
    <d v="2026-05-31T00:00:00"/>
    <n v="-83"/>
    <s v="Expiré"/>
    <x v="0"/>
  </r>
  <r>
    <x v="11"/>
    <x v="1"/>
    <n v="67"/>
    <d v="2026-09-10T00:00:00"/>
    <n v="19"/>
    <s v="Urgente"/>
    <x v="1"/>
  </r>
  <r>
    <x v="12"/>
    <x v="0"/>
    <n v="3"/>
    <d v="2026-10-05T00:00:00"/>
    <n v="44"/>
    <s v="Surveillance"/>
    <x v="1"/>
  </r>
  <r>
    <x v="12"/>
    <x v="1"/>
    <n v="15"/>
    <d v="2026-11-30T00:00:00"/>
    <n v="100"/>
    <s v="Conforme"/>
    <x v="0"/>
  </r>
  <r>
    <x v="13"/>
    <x v="0"/>
    <n v="0"/>
    <d v="2026-10-05T00:00:00"/>
    <s v=""/>
    <s v=""/>
    <x v="0"/>
  </r>
  <r>
    <x v="13"/>
    <x v="1"/>
    <n v="30"/>
    <d v="2026-11-30T00:00:00"/>
    <n v="100"/>
    <s v="Conforme"/>
    <x v="0"/>
  </r>
  <r>
    <x v="14"/>
    <x v="0"/>
    <n v="0"/>
    <d v="2027-06-30T00:00:00"/>
    <s v=""/>
    <s v=""/>
    <x v="0"/>
  </r>
  <r>
    <x v="14"/>
    <x v="1"/>
    <n v="0"/>
    <d v="2026-10-30T00:00:00"/>
    <s v=""/>
    <s v=""/>
    <x v="0"/>
  </r>
  <r>
    <x v="15"/>
    <x v="0"/>
    <n v="33"/>
    <d v="2026-09-10T00:00:00"/>
    <n v="19"/>
    <s v="Urgente"/>
    <x v="1"/>
  </r>
  <r>
    <x v="15"/>
    <x v="1"/>
    <n v="50"/>
    <d v="2026-11-30T00:00:00"/>
    <n v="100"/>
    <s v="Conforme"/>
    <x v="0"/>
  </r>
  <r>
    <x v="16"/>
    <x v="2"/>
    <n v="0"/>
    <d v="2026-10-30T00:00:00"/>
    <s v=""/>
    <s v=""/>
    <x v="0"/>
  </r>
  <r>
    <x v="16"/>
    <x v="0"/>
    <n v="0"/>
    <d v="2026-05-31T00:00:00"/>
    <s v=""/>
    <s v=""/>
    <x v="0"/>
  </r>
  <r>
    <x v="16"/>
    <x v="1"/>
    <n v="17"/>
    <d v="2026-11-30T00:00:00"/>
    <n v="100"/>
    <s v="Conforme"/>
    <x v="0"/>
  </r>
  <r>
    <x v="17"/>
    <x v="2"/>
    <n v="30"/>
    <d v="2027-12-31T00:00:00"/>
    <n v="496"/>
    <s v="Conforme"/>
    <x v="0"/>
  </r>
  <r>
    <x v="17"/>
    <x v="0"/>
    <n v="34"/>
    <d v="2026-05-31T00:00:00"/>
    <n v="-83"/>
    <s v="Expiré"/>
    <x v="0"/>
  </r>
  <r>
    <x v="17"/>
    <x v="1"/>
    <n v="30"/>
    <d v="2026-12-15T00:00:00"/>
    <n v="115"/>
    <s v="Conforme"/>
    <x v="0"/>
  </r>
  <r>
    <x v="18"/>
    <x v="0"/>
    <n v="31"/>
    <d v="2026-05-31T00:00:00"/>
    <n v="-83"/>
    <s v="Expiré"/>
    <x v="0"/>
  </r>
  <r>
    <x v="18"/>
    <x v="1"/>
    <n v="32"/>
    <d v="2026-10-10T00:00:00"/>
    <n v="49"/>
    <s v="Surveillance"/>
    <x v="1"/>
  </r>
  <r>
    <x v="19"/>
    <x v="2"/>
    <n v="45"/>
    <d v="2027-12-31T00:00:00"/>
    <n v="496"/>
    <s v="Conforme"/>
    <x v="0"/>
  </r>
  <r>
    <x v="19"/>
    <x v="0"/>
    <n v="46"/>
    <d v="2026-09-10T00:00:00"/>
    <n v="19"/>
    <s v="Urgente"/>
    <x v="1"/>
  </r>
  <r>
    <x v="19"/>
    <x v="1"/>
    <n v="95"/>
    <d v="2026-09-10T00:00:00"/>
    <n v="19"/>
    <s v="Urgente"/>
    <x v="1"/>
  </r>
  <r>
    <x v="20"/>
    <x v="0"/>
    <n v="40"/>
    <d v="2026-12-31T00:00:00"/>
    <n v="131"/>
    <s v="Conforme"/>
    <x v="0"/>
  </r>
  <r>
    <x v="21"/>
    <x v="0"/>
    <n v="17"/>
    <d v="2026-09-10T00:00:00"/>
    <n v="19"/>
    <s v="Urgente"/>
    <x v="1"/>
  </r>
  <r>
    <x v="21"/>
    <x v="1"/>
    <n v="30"/>
    <d v="2026-12-31T00:00:00"/>
    <n v="131"/>
    <s v="Conforme"/>
    <x v="0"/>
  </r>
  <r>
    <x v="22"/>
    <x v="0"/>
    <n v="0"/>
    <d v="2026-10-05T00:00:00"/>
    <s v=""/>
    <s v=""/>
    <x v="0"/>
  </r>
  <r>
    <x v="22"/>
    <x v="1"/>
    <n v="27"/>
    <d v="2026-12-31T00:00:00"/>
    <n v="131"/>
    <s v="Conforme"/>
    <x v="0"/>
  </r>
  <r>
    <x v="23"/>
    <x v="0"/>
    <n v="18"/>
    <d v="2026-12-31T00:00:00"/>
    <n v="131"/>
    <s v="Conforme"/>
    <x v="0"/>
  </r>
  <r>
    <x v="24"/>
    <x v="0"/>
    <n v="20"/>
    <d v="2027-06-30T00:00:00"/>
    <n v="312"/>
    <s v="Conforme"/>
    <x v="0"/>
  </r>
  <r>
    <x v="24"/>
    <x v="1"/>
    <n v="0"/>
    <d v="2026-11-30T00:00:00"/>
    <s v=""/>
    <s v=""/>
    <x v="0"/>
  </r>
  <r>
    <x v="25"/>
    <x v="0"/>
    <n v="38"/>
    <d v="2026-10-05T00:00:00"/>
    <n v="44"/>
    <s v="Surveillance"/>
    <x v="1"/>
  </r>
  <r>
    <x v="25"/>
    <x v="1"/>
    <n v="29"/>
    <d v="2026-12-30T00:00:00"/>
    <n v="130"/>
    <s v="Conforme"/>
    <x v="0"/>
  </r>
  <r>
    <x v="26"/>
    <x v="3"/>
    <s v=""/>
    <s v=""/>
    <s v=""/>
    <s v="Conforme"/>
    <x v="0"/>
  </r>
  <r>
    <x v="26"/>
    <x v="3"/>
    <s v=""/>
    <s v=""/>
    <s v=""/>
    <s v="Conforme"/>
    <x v="0"/>
  </r>
  <r>
    <x v="26"/>
    <x v="3"/>
    <s v=""/>
    <s v=""/>
    <s v=""/>
    <s v="Conforme"/>
    <x v="0"/>
  </r>
  <r>
    <x v="26"/>
    <x v="3"/>
    <s v=""/>
    <s v=""/>
    <s v=""/>
    <s v="Conforme"/>
    <x v="0"/>
  </r>
  <r>
    <x v="26"/>
    <x v="3"/>
    <s v=""/>
    <s v=""/>
    <s v=""/>
    <s v="Conforme"/>
    <x v="0"/>
  </r>
  <r>
    <x v="26"/>
    <x v="3"/>
    <s v=""/>
    <s v=""/>
    <s v=""/>
    <s v="Conforme"/>
    <x v="0"/>
  </r>
  <r>
    <x v="26"/>
    <x v="3"/>
    <s v=""/>
    <s v=""/>
    <s v=""/>
    <s v="Conforme"/>
    <x v="0"/>
  </r>
  <r>
    <x v="26"/>
    <x v="3"/>
    <s v=""/>
    <s v=""/>
    <s v=""/>
    <s v="Conforme"/>
    <x v="0"/>
  </r>
  <r>
    <x v="26"/>
    <x v="3"/>
    <s v=""/>
    <s v=""/>
    <s v=""/>
    <s v="Conforme"/>
    <x v="0"/>
  </r>
  <r>
    <x v="26"/>
    <x v="3"/>
    <s v=""/>
    <s v=""/>
    <s v=""/>
    <s v="Conforme"/>
    <x v="0"/>
  </r>
  <r>
    <x v="26"/>
    <x v="3"/>
    <s v=""/>
    <s v=""/>
    <s v=""/>
    <s v="Conforme"/>
    <x v="0"/>
  </r>
  <r>
    <x v="26"/>
    <x v="3"/>
    <s v=""/>
    <s v=""/>
    <s v=""/>
    <s v="Conforme"/>
    <x v="0"/>
  </r>
  <r>
    <x v="26"/>
    <x v="3"/>
    <s v=""/>
    <s v=""/>
    <s v=""/>
    <s v="Conforme"/>
    <x v="0"/>
  </r>
  <r>
    <x v="26"/>
    <x v="3"/>
    <s v=""/>
    <s v=""/>
    <s v=""/>
    <s v="Conforme"/>
    <x v="0"/>
  </r>
  <r>
    <x v="26"/>
    <x v="3"/>
    <s v=""/>
    <s v=""/>
    <s v=""/>
    <s v="Conforme"/>
    <x v="0"/>
  </r>
  <r>
    <x v="26"/>
    <x v="3"/>
    <s v=""/>
    <s v=""/>
    <s v=""/>
    <s v="Conforme"/>
    <x v="0"/>
  </r>
  <r>
    <x v="26"/>
    <x v="3"/>
    <s v=""/>
    <s v=""/>
    <s v=""/>
    <s v="Conforme"/>
    <x v="0"/>
  </r>
  <r>
    <x v="26"/>
    <x v="3"/>
    <s v=""/>
    <s v=""/>
    <s v=""/>
    <s v="Conforme"/>
    <x v="0"/>
  </r>
  <r>
    <x v="26"/>
    <x v="3"/>
    <s v=""/>
    <s v=""/>
    <s v=""/>
    <s v="Conforme"/>
    <x v="0"/>
  </r>
  <r>
    <x v="26"/>
    <x v="3"/>
    <s v=""/>
    <s v=""/>
    <s v=""/>
    <s v="Conforme"/>
    <x v="0"/>
  </r>
  <r>
    <x v="26"/>
    <x v="3"/>
    <s v=""/>
    <s v=""/>
    <s v=""/>
    <s v="Conforme"/>
    <x v="0"/>
  </r>
  <r>
    <x v="26"/>
    <x v="3"/>
    <s v=""/>
    <s v=""/>
    <s v=""/>
    <s v="Conforme"/>
    <x v="0"/>
  </r>
  <r>
    <x v="26"/>
    <x v="3"/>
    <s v=""/>
    <s v=""/>
    <s v=""/>
    <s v="Conforme"/>
    <x v="0"/>
  </r>
  <r>
    <x v="26"/>
    <x v="3"/>
    <s v=""/>
    <s v=""/>
    <s v=""/>
    <s v="Conforme"/>
    <x v="0"/>
  </r>
  <r>
    <x v="26"/>
    <x v="3"/>
    <s v=""/>
    <s v=""/>
    <s v=""/>
    <s v="Conforme"/>
    <x v="0"/>
  </r>
  <r>
    <x v="26"/>
    <x v="3"/>
    <s v=""/>
    <s v=""/>
    <s v=""/>
    <s v="Conforme"/>
    <x v="0"/>
  </r>
  <r>
    <x v="26"/>
    <x v="3"/>
    <s v=""/>
    <s v=""/>
    <s v=""/>
    <s v="Conforme"/>
    <x v="0"/>
  </r>
  <r>
    <x v="26"/>
    <x v="3"/>
    <s v=""/>
    <s v=""/>
    <s v=""/>
    <s v="Conforme"/>
    <x v="0"/>
  </r>
  <r>
    <x v="26"/>
    <x v="3"/>
    <s v=""/>
    <s v=""/>
    <s v=""/>
    <s v="Conforme"/>
    <x v="0"/>
  </r>
  <r>
    <x v="26"/>
    <x v="3"/>
    <s v=""/>
    <s v=""/>
    <s v=""/>
    <s v="Conforme"/>
    <x v="0"/>
  </r>
  <r>
    <x v="26"/>
    <x v="3"/>
    <s v=""/>
    <s v=""/>
    <s v=""/>
    <s v="Conforme"/>
    <x v="0"/>
  </r>
  <r>
    <x v="26"/>
    <x v="3"/>
    <s v=""/>
    <s v=""/>
    <s v=""/>
    <s v="Conforme"/>
    <x v="0"/>
  </r>
  <r>
    <x v="26"/>
    <x v="3"/>
    <s v=""/>
    <s v=""/>
    <s v=""/>
    <s v="Conforme"/>
    <x v="0"/>
  </r>
  <r>
    <x v="26"/>
    <x v="3"/>
    <s v=""/>
    <s v=""/>
    <s v=""/>
    <s v="Conforme"/>
    <x v="0"/>
  </r>
  <r>
    <x v="26"/>
    <x v="3"/>
    <s v=""/>
    <s v=""/>
    <s v=""/>
    <s v="Conforme"/>
    <x v="0"/>
  </r>
  <r>
    <x v="26"/>
    <x v="3"/>
    <s v=""/>
    <s v=""/>
    <s v=""/>
    <s v="Conforme"/>
    <x v="0"/>
  </r>
  <r>
    <x v="26"/>
    <x v="3"/>
    <s v=""/>
    <s v=""/>
    <s v=""/>
    <s v="Conforme"/>
    <x v="0"/>
  </r>
  <r>
    <x v="26"/>
    <x v="3"/>
    <s v=""/>
    <s v=""/>
    <s v=""/>
    <s v="Conforme"/>
    <x v="0"/>
  </r>
  <r>
    <x v="26"/>
    <x v="3"/>
    <s v=""/>
    <s v=""/>
    <s v=""/>
    <s v="Conforme"/>
    <x v="0"/>
  </r>
  <r>
    <x v="26"/>
    <x v="3"/>
    <s v=""/>
    <s v=""/>
    <s v=""/>
    <s v="Conforme"/>
    <x v="0"/>
  </r>
  <r>
    <x v="26"/>
    <x v="3"/>
    <s v=""/>
    <s v=""/>
    <s v=""/>
    <s v="Conforme"/>
    <x v="0"/>
  </r>
  <r>
    <x v="26"/>
    <x v="3"/>
    <s v=""/>
    <s v=""/>
    <s v=""/>
    <s v="Conforme"/>
    <x v="0"/>
  </r>
  <r>
    <x v="26"/>
    <x v="3"/>
    <s v=""/>
    <s v=""/>
    <s v=""/>
    <s v="Conforme"/>
    <x v="0"/>
  </r>
  <r>
    <x v="26"/>
    <x v="3"/>
    <s v=""/>
    <s v=""/>
    <s v=""/>
    <s v="Conforme"/>
    <x v="0"/>
  </r>
  <r>
    <x v="26"/>
    <x v="3"/>
    <s v=""/>
    <s v=""/>
    <s v=""/>
    <s v="Conforme"/>
    <x v="0"/>
  </r>
  <r>
    <x v="26"/>
    <x v="3"/>
    <s v=""/>
    <s v=""/>
    <s v=""/>
    <s v="Conforme"/>
    <x v="0"/>
  </r>
  <r>
    <x v="26"/>
    <x v="3"/>
    <s v=""/>
    <s v=""/>
    <s v=""/>
    <s v="Conforme"/>
    <x v="0"/>
  </r>
  <r>
    <x v="26"/>
    <x v="3"/>
    <s v=""/>
    <s v=""/>
    <s v=""/>
    <s v="Conforme"/>
    <x v="0"/>
  </r>
  <r>
    <x v="26"/>
    <x v="3"/>
    <s v=""/>
    <s v=""/>
    <s v=""/>
    <s v="Conforme"/>
    <x v="0"/>
  </r>
  <r>
    <x v="26"/>
    <x v="3"/>
    <s v=""/>
    <s v=""/>
    <s v=""/>
    <s v="Conforme"/>
    <x v="0"/>
  </r>
  <r>
    <x v="26"/>
    <x v="3"/>
    <s v=""/>
    <s v=""/>
    <s v=""/>
    <s v="Conforme"/>
    <x v="0"/>
  </r>
  <r>
    <x v="26"/>
    <x v="3"/>
    <s v=""/>
    <s v=""/>
    <s v=""/>
    <s v="Conforme"/>
    <x v="0"/>
  </r>
  <r>
    <x v="26"/>
    <x v="3"/>
    <s v=""/>
    <s v=""/>
    <s v=""/>
    <s v="Conforme"/>
    <x v="0"/>
  </r>
  <r>
    <x v="26"/>
    <x v="3"/>
    <s v=""/>
    <s v=""/>
    <s v=""/>
    <s v="Conforme"/>
    <x v="0"/>
  </r>
  <r>
    <x v="26"/>
    <x v="3"/>
    <s v=""/>
    <s v=""/>
    <s v=""/>
    <s v="Conforme"/>
    <x v="0"/>
  </r>
  <r>
    <x v="26"/>
    <x v="3"/>
    <s v=""/>
    <s v=""/>
    <s v=""/>
    <s v="Conforme"/>
    <x v="0"/>
  </r>
  <r>
    <x v="26"/>
    <x v="3"/>
    <s v=""/>
    <s v=""/>
    <s v=""/>
    <s v="Conforme"/>
    <x v="0"/>
  </r>
  <r>
    <x v="26"/>
    <x v="3"/>
    <s v=""/>
    <s v=""/>
    <s v=""/>
    <s v="Conforme"/>
    <x v="0"/>
  </r>
  <r>
    <x v="26"/>
    <x v="3"/>
    <s v=""/>
    <s v=""/>
    <s v=""/>
    <s v="Conforme"/>
    <x v="0"/>
  </r>
  <r>
    <x v="26"/>
    <x v="3"/>
    <s v=""/>
    <s v=""/>
    <s v=""/>
    <s v="Conforme"/>
    <x v="0"/>
  </r>
  <r>
    <x v="26"/>
    <x v="3"/>
    <s v=""/>
    <s v=""/>
    <s v=""/>
    <s v="Conforme"/>
    <x v="0"/>
  </r>
  <r>
    <x v="26"/>
    <x v="3"/>
    <s v=""/>
    <s v=""/>
    <s v=""/>
    <s v="Conforme"/>
    <x v="0"/>
  </r>
  <r>
    <x v="26"/>
    <x v="3"/>
    <s v=""/>
    <s v=""/>
    <s v=""/>
    <s v="Conforme"/>
    <x v="0"/>
  </r>
  <r>
    <x v="26"/>
    <x v="3"/>
    <s v=""/>
    <s v=""/>
    <s v=""/>
    <s v="Conforme"/>
    <x v="0"/>
  </r>
  <r>
    <x v="26"/>
    <x v="3"/>
    <s v=""/>
    <s v=""/>
    <s v=""/>
    <s v="Conforme"/>
    <x v="0"/>
  </r>
  <r>
    <x v="26"/>
    <x v="3"/>
    <s v=""/>
    <s v=""/>
    <s v=""/>
    <s v="Conforme"/>
    <x v="0"/>
  </r>
  <r>
    <x v="26"/>
    <x v="3"/>
    <s v=""/>
    <s v=""/>
    <s v=""/>
    <s v="Conforme"/>
    <x v="0"/>
  </r>
  <r>
    <x v="26"/>
    <x v="3"/>
    <s v=""/>
    <s v=""/>
    <s v=""/>
    <s v="Conforme"/>
    <x v="0"/>
  </r>
  <r>
    <x v="26"/>
    <x v="3"/>
    <s v=""/>
    <s v=""/>
    <s v=""/>
    <s v="Conforme"/>
    <x v="0"/>
  </r>
  <r>
    <x v="26"/>
    <x v="3"/>
    <s v=""/>
    <s v=""/>
    <s v=""/>
    <s v="Conforme"/>
    <x v="0"/>
  </r>
  <r>
    <x v="26"/>
    <x v="3"/>
    <s v=""/>
    <s v=""/>
    <s v=""/>
    <s v="Conforme"/>
    <x v="0"/>
  </r>
  <r>
    <x v="26"/>
    <x v="3"/>
    <s v=""/>
    <s v=""/>
    <s v=""/>
    <s v="Conforme"/>
    <x v="0"/>
  </r>
  <r>
    <x v="26"/>
    <x v="3"/>
    <s v=""/>
    <s v=""/>
    <s v=""/>
    <s v="Conforme"/>
    <x v="0"/>
  </r>
  <r>
    <x v="26"/>
    <x v="3"/>
    <s v=""/>
    <s v=""/>
    <s v=""/>
    <s v="Conforme"/>
    <x v="0"/>
  </r>
  <r>
    <x v="26"/>
    <x v="3"/>
    <s v=""/>
    <s v=""/>
    <s v=""/>
    <s v="Conforme"/>
    <x v="0"/>
  </r>
  <r>
    <x v="26"/>
    <x v="3"/>
    <s v=""/>
    <s v=""/>
    <s v=""/>
    <s v="Conforme"/>
    <x v="0"/>
  </r>
  <r>
    <x v="26"/>
    <x v="3"/>
    <s v=""/>
    <s v=""/>
    <s v=""/>
    <s v="Conforme"/>
    <x v="0"/>
  </r>
  <r>
    <x v="26"/>
    <x v="3"/>
    <s v=""/>
    <s v=""/>
    <s v=""/>
    <s v="Conforme"/>
    <x v="0"/>
  </r>
  <r>
    <x v="26"/>
    <x v="3"/>
    <s v=""/>
    <s v=""/>
    <s v=""/>
    <s v="Conforme"/>
    <x v="0"/>
  </r>
  <r>
    <x v="26"/>
    <x v="3"/>
    <s v=""/>
    <s v=""/>
    <s v=""/>
    <s v="Conforme"/>
    <x v="0"/>
  </r>
  <r>
    <x v="26"/>
    <x v="3"/>
    <s v=""/>
    <s v=""/>
    <s v=""/>
    <s v="Conforme"/>
    <x v="0"/>
  </r>
  <r>
    <x v="26"/>
    <x v="3"/>
    <s v=""/>
    <s v=""/>
    <s v=""/>
    <s v="Conforme"/>
    <x v="0"/>
  </r>
  <r>
    <x v="26"/>
    <x v="3"/>
    <s v=""/>
    <s v=""/>
    <s v=""/>
    <s v="Conforme"/>
    <x v="0"/>
  </r>
  <r>
    <x v="26"/>
    <x v="3"/>
    <s v=""/>
    <s v=""/>
    <s v=""/>
    <s v="Conforme"/>
    <x v="0"/>
  </r>
  <r>
    <x v="26"/>
    <x v="3"/>
    <s v=""/>
    <s v=""/>
    <s v=""/>
    <s v="Conforme"/>
    <x v="0"/>
  </r>
  <r>
    <x v="26"/>
    <x v="3"/>
    <s v=""/>
    <s v=""/>
    <s v=""/>
    <s v="Conforme"/>
    <x v="0"/>
  </r>
  <r>
    <x v="26"/>
    <x v="3"/>
    <s v=""/>
    <s v=""/>
    <s v=""/>
    <s v="Conforme"/>
    <x v="0"/>
  </r>
  <r>
    <x v="26"/>
    <x v="3"/>
    <s v=""/>
    <s v=""/>
    <s v=""/>
    <s v="Conforme"/>
    <x v="0"/>
  </r>
  <r>
    <x v="26"/>
    <x v="3"/>
    <s v=""/>
    <s v=""/>
    <s v=""/>
    <s v="Conforme"/>
    <x v="0"/>
  </r>
  <r>
    <x v="26"/>
    <x v="3"/>
    <s v=""/>
    <s v=""/>
    <s v=""/>
    <s v="Conforme"/>
    <x v="0"/>
  </r>
  <r>
    <x v="26"/>
    <x v="3"/>
    <s v=""/>
    <s v=""/>
    <s v=""/>
    <s v="Conforme"/>
    <x v="0"/>
  </r>
  <r>
    <x v="26"/>
    <x v="3"/>
    <s v=""/>
    <s v=""/>
    <s v=""/>
    <s v="Conforme"/>
    <x v="0"/>
  </r>
  <r>
    <x v="26"/>
    <x v="3"/>
    <s v=""/>
    <s v=""/>
    <s v=""/>
    <s v="Conforme"/>
    <x v="0"/>
  </r>
  <r>
    <x v="26"/>
    <x v="3"/>
    <s v=""/>
    <s v=""/>
    <s v=""/>
    <s v="Conforme"/>
    <x v="0"/>
  </r>
  <r>
    <x v="26"/>
    <x v="3"/>
    <s v=""/>
    <s v=""/>
    <s v=""/>
    <s v="Conforme"/>
    <x v="0"/>
  </r>
  <r>
    <x v="26"/>
    <x v="3"/>
    <s v=""/>
    <s v=""/>
    <s v=""/>
    <s v="Conforme"/>
    <x v="0"/>
  </r>
  <r>
    <x v="26"/>
    <x v="3"/>
    <s v=""/>
    <s v=""/>
    <s v=""/>
    <s v="Conforme"/>
    <x v="0"/>
  </r>
  <r>
    <x v="26"/>
    <x v="3"/>
    <s v=""/>
    <s v=""/>
    <s v=""/>
    <s v="Conforme"/>
    <x v="0"/>
  </r>
  <r>
    <x v="26"/>
    <x v="3"/>
    <s v=""/>
    <s v=""/>
    <s v=""/>
    <s v="Conforme"/>
    <x v="0"/>
  </r>
  <r>
    <x v="26"/>
    <x v="3"/>
    <s v=""/>
    <s v=""/>
    <s v=""/>
    <s v="Conforme"/>
    <x v="0"/>
  </r>
  <r>
    <x v="26"/>
    <x v="3"/>
    <s v=""/>
    <s v=""/>
    <s v=""/>
    <s v="Conforme"/>
    <x v="0"/>
  </r>
  <r>
    <x v="26"/>
    <x v="3"/>
    <s v=""/>
    <s v=""/>
    <s v=""/>
    <s v="Conforme"/>
    <x v="0"/>
  </r>
  <r>
    <x v="26"/>
    <x v="3"/>
    <s v=""/>
    <s v=""/>
    <s v=""/>
    <s v="Conforme"/>
    <x v="0"/>
  </r>
  <r>
    <x v="26"/>
    <x v="3"/>
    <s v=""/>
    <s v=""/>
    <s v=""/>
    <s v="Conforme"/>
    <x v="0"/>
  </r>
  <r>
    <x v="26"/>
    <x v="3"/>
    <s v=""/>
    <s v=""/>
    <s v=""/>
    <s v="Conforme"/>
    <x v="0"/>
  </r>
  <r>
    <x v="26"/>
    <x v="3"/>
    <s v=""/>
    <s v=""/>
    <s v=""/>
    <s v="Conforme"/>
    <x v="0"/>
  </r>
  <r>
    <x v="26"/>
    <x v="3"/>
    <s v=""/>
    <s v=""/>
    <s v=""/>
    <s v="Conforme"/>
    <x v="0"/>
  </r>
  <r>
    <x v="26"/>
    <x v="3"/>
    <s v=""/>
    <s v=""/>
    <s v=""/>
    <s v="Conforme"/>
    <x v="0"/>
  </r>
  <r>
    <x v="26"/>
    <x v="3"/>
    <s v=""/>
    <s v=""/>
    <s v=""/>
    <s v="Conforme"/>
    <x v="0"/>
  </r>
  <r>
    <x v="26"/>
    <x v="3"/>
    <s v=""/>
    <s v=""/>
    <s v=""/>
    <s v="Conforme"/>
    <x v="0"/>
  </r>
  <r>
    <x v="26"/>
    <x v="3"/>
    <s v=""/>
    <s v=""/>
    <s v=""/>
    <s v="Conforme"/>
    <x v="0"/>
  </r>
  <r>
    <x v="26"/>
    <x v="3"/>
    <s v=""/>
    <s v=""/>
    <s v=""/>
    <s v="Conforme"/>
    <x v="0"/>
  </r>
  <r>
    <x v="26"/>
    <x v="3"/>
    <s v=""/>
    <s v=""/>
    <s v=""/>
    <s v="Conforme"/>
    <x v="0"/>
  </r>
  <r>
    <x v="26"/>
    <x v="3"/>
    <s v=""/>
    <s v=""/>
    <s v=""/>
    <s v="Conforme"/>
    <x v="0"/>
  </r>
  <r>
    <x v="26"/>
    <x v="3"/>
    <s v=""/>
    <s v=""/>
    <s v=""/>
    <s v="Conforme"/>
    <x v="0"/>
  </r>
  <r>
    <x v="26"/>
    <x v="3"/>
    <s v=""/>
    <s v=""/>
    <s v=""/>
    <s v="Conforme"/>
    <x v="0"/>
  </r>
  <r>
    <x v="26"/>
    <x v="3"/>
    <s v=""/>
    <s v=""/>
    <s v=""/>
    <s v="Conforme"/>
    <x v="0"/>
  </r>
  <r>
    <x v="26"/>
    <x v="3"/>
    <s v=""/>
    <s v=""/>
    <s v=""/>
    <s v="Conforme"/>
    <x v="0"/>
  </r>
  <r>
    <x v="26"/>
    <x v="3"/>
    <s v=""/>
    <s v=""/>
    <s v=""/>
    <s v="Conforme"/>
    <x v="0"/>
  </r>
  <r>
    <x v="26"/>
    <x v="3"/>
    <s v=""/>
    <s v=""/>
    <s v=""/>
    <s v="Conforme"/>
    <x v="0"/>
  </r>
  <r>
    <x v="26"/>
    <x v="3"/>
    <s v=""/>
    <s v=""/>
    <s v=""/>
    <s v="Conforme"/>
    <x v="0"/>
  </r>
  <r>
    <x v="26"/>
    <x v="3"/>
    <s v=""/>
    <s v=""/>
    <s v=""/>
    <s v="Conforme"/>
    <x v="0"/>
  </r>
  <r>
    <x v="26"/>
    <x v="3"/>
    <s v=""/>
    <s v=""/>
    <s v=""/>
    <s v="Conforme"/>
    <x v="0"/>
  </r>
  <r>
    <x v="26"/>
    <x v="3"/>
    <s v=""/>
    <s v=""/>
    <s v=""/>
    <s v="Conforme"/>
    <x v="0"/>
  </r>
  <r>
    <x v="26"/>
    <x v="3"/>
    <s v=""/>
    <s v=""/>
    <s v=""/>
    <s v="Conforme"/>
    <x v="0"/>
  </r>
  <r>
    <x v="26"/>
    <x v="3"/>
    <s v=""/>
    <s v=""/>
    <s v=""/>
    <s v="Conforme"/>
    <x v="0"/>
  </r>
  <r>
    <x v="26"/>
    <x v="3"/>
    <s v=""/>
    <s v=""/>
    <s v=""/>
    <s v="Conforme"/>
    <x v="0"/>
  </r>
  <r>
    <x v="26"/>
    <x v="3"/>
    <s v=""/>
    <s v=""/>
    <s v=""/>
    <s v="Conforme"/>
    <x v="0"/>
  </r>
  <r>
    <x v="26"/>
    <x v="3"/>
    <s v=""/>
    <s v=""/>
    <s v=""/>
    <s v="Conforme"/>
    <x v="0"/>
  </r>
  <r>
    <x v="26"/>
    <x v="3"/>
    <s v=""/>
    <s v=""/>
    <s v=""/>
    <s v="Conforme"/>
    <x v="0"/>
  </r>
  <r>
    <x v="26"/>
    <x v="3"/>
    <s v=""/>
    <s v=""/>
    <s v=""/>
    <s v="Conforme"/>
    <x v="0"/>
  </r>
  <r>
    <x v="26"/>
    <x v="3"/>
    <s v=""/>
    <s v=""/>
    <s v=""/>
    <s v="Conforme"/>
    <x v="0"/>
  </r>
  <r>
    <x v="26"/>
    <x v="3"/>
    <s v=""/>
    <s v=""/>
    <s v=""/>
    <s v="Conforme"/>
    <x v="0"/>
  </r>
  <r>
    <x v="26"/>
    <x v="3"/>
    <s v=""/>
    <s v=""/>
    <s v=""/>
    <s v="Conforme"/>
    <x v="0"/>
  </r>
  <r>
    <x v="26"/>
    <x v="3"/>
    <s v=""/>
    <s v=""/>
    <s v=""/>
    <s v="Conforme"/>
    <x v="0"/>
  </r>
  <r>
    <x v="26"/>
    <x v="3"/>
    <s v=""/>
    <s v=""/>
    <s v=""/>
    <s v="Conforme"/>
    <x v="0"/>
  </r>
  <r>
    <x v="26"/>
    <x v="3"/>
    <s v=""/>
    <s v=""/>
    <s v=""/>
    <s v="Conforme"/>
    <x v="0"/>
  </r>
  <r>
    <x v="26"/>
    <x v="3"/>
    <s v=""/>
    <s v=""/>
    <s v=""/>
    <s v="Conforme"/>
    <x v="0"/>
  </r>
  <r>
    <x v="26"/>
    <x v="3"/>
    <s v=""/>
    <s v=""/>
    <s v=""/>
    <s v="Conforme"/>
    <x v="0"/>
  </r>
  <r>
    <x v="26"/>
    <x v="3"/>
    <s v=""/>
    <s v=""/>
    <s v=""/>
    <s v="Conforme"/>
    <x v="0"/>
  </r>
  <r>
    <x v="26"/>
    <x v="3"/>
    <s v=""/>
    <s v=""/>
    <s v=""/>
    <s v="Conforme"/>
    <x v="0"/>
  </r>
  <r>
    <x v="26"/>
    <x v="3"/>
    <s v=""/>
    <s v=""/>
    <s v=""/>
    <s v="Conforme"/>
    <x v="0"/>
  </r>
  <r>
    <x v="26"/>
    <x v="3"/>
    <s v=""/>
    <s v=""/>
    <s v=""/>
    <s v="Conforme"/>
    <x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26">
  <r>
    <s v="PR026"/>
    <x v="0"/>
    <x v="0"/>
    <n v="17"/>
    <n v="50"/>
    <n v="800"/>
    <n v="13600"/>
    <n v="104"/>
    <n v="83200"/>
    <s v="NON"/>
    <s v="STOCK FAIBLE"/>
    <n v="33"/>
  </r>
  <r>
    <s v="PR025"/>
    <x v="1"/>
    <x v="0"/>
    <n v="83"/>
    <n v="40"/>
    <n v="1200"/>
    <n v="99600"/>
    <n v="0"/>
    <n v="0"/>
    <s v="NON"/>
    <s v="OK"/>
    <n v="0"/>
  </r>
  <r>
    <s v="PR024"/>
    <x v="2"/>
    <x v="1"/>
    <n v="30"/>
    <n v="40"/>
    <n v="1100"/>
    <n v="33000"/>
    <n v="25"/>
    <n v="27500"/>
    <s v="NON"/>
    <s v="STOCK FAIBLE"/>
    <n v="10"/>
  </r>
  <r>
    <s v="PR023"/>
    <x v="3"/>
    <x v="0"/>
    <n v="116"/>
    <n v="30"/>
    <n v="900"/>
    <n v="104400"/>
    <n v="0"/>
    <n v="0"/>
    <s v="NON"/>
    <s v="OK"/>
    <n v="0"/>
  </r>
  <r>
    <s v="PR022"/>
    <x v="4"/>
    <x v="2"/>
    <n v="26"/>
    <n v="30"/>
    <n v="2200"/>
    <n v="57200"/>
    <n v="30"/>
    <n v="66000"/>
    <s v="NON"/>
    <s v="STOCK FAIBLE"/>
    <n v="4"/>
  </r>
  <r>
    <s v="PR021"/>
    <x v="5"/>
    <x v="2"/>
    <n v="36"/>
    <n v="25"/>
    <n v="2600"/>
    <n v="93600"/>
    <n v="0"/>
    <n v="0"/>
    <s v="NON"/>
    <s v="OK"/>
    <n v="0"/>
  </r>
  <r>
    <s v="PR020"/>
    <x v="6"/>
    <x v="2"/>
    <n v="41"/>
    <n v="20"/>
    <n v="1800"/>
    <n v="0"/>
    <n v="0"/>
    <n v="0"/>
    <s v="NON"/>
    <s v="OK"/>
    <n v="0"/>
  </r>
  <r>
    <s v="PR019"/>
    <x v="7"/>
    <x v="2"/>
    <n v="67"/>
    <n v="20"/>
    <n v="2600"/>
    <n v="174200"/>
    <n v="0"/>
    <n v="0"/>
    <s v="NON"/>
    <s v="OK"/>
    <n v="0"/>
  </r>
  <r>
    <s v="PR018"/>
    <x v="8"/>
    <x v="2"/>
    <n v="57"/>
    <n v="20"/>
    <n v="1100"/>
    <n v="62700"/>
    <n v="0"/>
    <n v="0"/>
    <s v="NON"/>
    <s v="OK"/>
    <n v="0"/>
  </r>
  <r>
    <s v="PR017"/>
    <x v="9"/>
    <x v="2"/>
    <n v="20"/>
    <n v="25"/>
    <n v="800"/>
    <n v="16000"/>
    <n v="18"/>
    <n v="14400"/>
    <s v="NON"/>
    <s v="STOCK FAIBLE"/>
    <n v="5"/>
  </r>
  <r>
    <s v="PR016"/>
    <x v="10"/>
    <x v="3"/>
    <n v="27"/>
    <n v="30"/>
    <n v="500"/>
    <n v="13500"/>
    <n v="18"/>
    <n v="9000"/>
    <s v="NON"/>
    <s v="STOCK FAIBLE"/>
    <n v="3"/>
  </r>
  <r>
    <s v="PR015"/>
    <x v="11"/>
    <x v="3"/>
    <n v="47"/>
    <n v="30"/>
    <n v="600"/>
    <n v="28200"/>
    <n v="0"/>
    <n v="0"/>
    <s v="NON"/>
    <s v="OK"/>
    <n v="0"/>
  </r>
  <r>
    <s v="PR014"/>
    <x v="12"/>
    <x v="3"/>
    <n v="18"/>
    <n v="30"/>
    <n v="1400"/>
    <n v="25200"/>
    <n v="0"/>
    <n v="0"/>
    <s v="NON"/>
    <s v="STOCK FAIBLE"/>
    <n v="12"/>
  </r>
  <r>
    <s v="PR013"/>
    <x v="13"/>
    <x v="0"/>
    <n v="79"/>
    <n v="25"/>
    <n v="2100"/>
    <n v="165900"/>
    <n v="0"/>
    <n v="0"/>
    <s v="NON"/>
    <s v="OK"/>
    <n v="0"/>
  </r>
  <r>
    <s v="PR012"/>
    <x v="14"/>
    <x v="4"/>
    <n v="186"/>
    <n v="15"/>
    <n v="1900"/>
    <n v="353400"/>
    <n v="0"/>
    <n v="0"/>
    <s v="NON"/>
    <s v="OK"/>
    <n v="0"/>
  </r>
  <r>
    <s v="PR011"/>
    <x v="15"/>
    <x v="5"/>
    <n v="86"/>
    <n v="20"/>
    <n v="2300"/>
    <n v="197800"/>
    <n v="0"/>
    <n v="0"/>
    <s v="NON"/>
    <s v="OK"/>
    <n v="0"/>
  </r>
  <r>
    <s v="PR010"/>
    <x v="16"/>
    <x v="5"/>
    <n v="0"/>
    <n v="15"/>
    <n v="3500"/>
    <n v="0"/>
    <n v="0"/>
    <n v="0"/>
    <s v="OUI"/>
    <s v="RUPTURE"/>
    <n v="15"/>
  </r>
  <r>
    <s v="PR009"/>
    <x v="17"/>
    <x v="6"/>
    <n v="24"/>
    <n v="20"/>
    <n v="800"/>
    <n v="19200"/>
    <n v="0"/>
    <n v="0"/>
    <s v="NON"/>
    <s v="OK"/>
    <n v="0"/>
  </r>
  <r>
    <s v="PR008"/>
    <x v="18"/>
    <x v="7"/>
    <n v="94"/>
    <n v="15"/>
    <n v="3200"/>
    <n v="300800"/>
    <n v="0"/>
    <n v="0"/>
    <s v="NON"/>
    <s v="OK"/>
    <n v="0"/>
  </r>
  <r>
    <s v="PR007"/>
    <x v="19"/>
    <x v="7"/>
    <n v="40"/>
    <n v="15"/>
    <n v="3500"/>
    <n v="140000"/>
    <n v="0"/>
    <n v="0"/>
    <s v="NON"/>
    <s v="OK"/>
    <n v="0"/>
  </r>
  <r>
    <s v="PR006"/>
    <x v="20"/>
    <x v="2"/>
    <n v="70"/>
    <n v="25"/>
    <n v="2600"/>
    <n v="182000"/>
    <n v="0"/>
    <n v="0"/>
    <s v="NON"/>
    <s v="OK"/>
    <n v="0"/>
  </r>
  <r>
    <s v="PR005"/>
    <x v="21"/>
    <x v="2"/>
    <n v="18"/>
    <n v="15"/>
    <n v="1800"/>
    <n v="32400"/>
    <n v="0"/>
    <n v="0"/>
    <s v="NON"/>
    <s v="OK"/>
    <n v="0"/>
  </r>
  <r>
    <s v="PR004"/>
    <x v="22"/>
    <x v="1"/>
    <n v="91"/>
    <n v="20"/>
    <n v="1800"/>
    <n v="163800"/>
    <n v="0"/>
    <n v="0"/>
    <s v="NON"/>
    <s v="OK"/>
    <n v="0"/>
  </r>
  <r>
    <s v="PR003"/>
    <x v="23"/>
    <x v="8"/>
    <n v="63"/>
    <n v="30"/>
    <n v="1200"/>
    <n v="75600"/>
    <n v="0"/>
    <n v="0"/>
    <s v="NON"/>
    <s v="OK"/>
    <n v="0"/>
  </r>
  <r>
    <s v="PR002"/>
    <x v="24"/>
    <x v="9"/>
    <n v="78"/>
    <n v="20"/>
    <n v="2200"/>
    <n v="171600"/>
    <n v="0"/>
    <n v="0"/>
    <s v="NON"/>
    <s v="OK"/>
    <n v="0"/>
  </r>
  <r>
    <s v="PR001"/>
    <x v="25"/>
    <x v="9"/>
    <n v="23"/>
    <n v="25"/>
    <n v="1500"/>
    <n v="34500"/>
    <n v="32"/>
    <n v="48000"/>
    <s v="NON"/>
    <s v="STOCK FAIBLE"/>
    <n v="2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08">
  <r>
    <d v="2026-08-21T00:00:00"/>
    <s v="PR026"/>
    <x v="0"/>
    <x v="0"/>
    <s v="Vente"/>
    <n v="-4"/>
    <x v="0"/>
  </r>
  <r>
    <d v="2026-08-21T00:00:00"/>
    <s v="PR026"/>
    <x v="0"/>
    <x v="0"/>
    <s v="Vente"/>
    <n v="-2"/>
    <x v="0"/>
  </r>
  <r>
    <d v="2026-08-17T00:00:00"/>
    <s v="PR004"/>
    <x v="1"/>
    <x v="1"/>
    <s v="Achat"/>
    <n v="20"/>
    <x v="1"/>
  </r>
  <r>
    <d v="2026-08-17T00:00:00"/>
    <s v="PR008"/>
    <x v="2"/>
    <x v="1"/>
    <s v="Achat"/>
    <n v="30"/>
    <x v="1"/>
  </r>
  <r>
    <d v="2026-08-17T00:00:00"/>
    <s v="PR012"/>
    <x v="3"/>
    <x v="1"/>
    <s v="Achat"/>
    <n v="45"/>
    <x v="1"/>
  </r>
  <r>
    <d v="2026-08-17T00:00:00"/>
    <s v="PR001"/>
    <x v="4"/>
    <x v="0"/>
    <s v="Vente"/>
    <n v="-25"/>
    <x v="2"/>
  </r>
  <r>
    <d v="2026-08-17T00:00:00"/>
    <s v="PR001"/>
    <x v="4"/>
    <x v="2"/>
    <s v="Vente"/>
    <n v="-7"/>
    <x v="3"/>
  </r>
  <r>
    <d v="2026-08-02T00:00:00"/>
    <s v="PR016"/>
    <x v="5"/>
    <x v="0"/>
    <s v="Vente"/>
    <n v="-3"/>
    <x v="4"/>
  </r>
  <r>
    <d v="2026-08-02T00:00:00"/>
    <s v="PR016"/>
    <x v="5"/>
    <x v="2"/>
    <s v="Vente"/>
    <n v="-15"/>
    <x v="5"/>
  </r>
  <r>
    <d v="2026-08-02T00:00:00"/>
    <s v="PR017"/>
    <x v="6"/>
    <x v="2"/>
    <s v="Vente"/>
    <n v="-18"/>
    <x v="6"/>
  </r>
  <r>
    <d v="2026-08-02T00:00:00"/>
    <s v="PR022"/>
    <x v="7"/>
    <x v="2"/>
    <s v="Vente"/>
    <n v="-29"/>
    <x v="6"/>
  </r>
  <r>
    <d v="2026-08-02T00:00:00"/>
    <s v="PR022"/>
    <x v="7"/>
    <x v="0"/>
    <s v="Vente"/>
    <n v="-1"/>
    <x v="7"/>
  </r>
  <r>
    <d v="2026-08-02T00:00:00"/>
    <s v="PR026"/>
    <x v="0"/>
    <x v="0"/>
    <s v="Vente"/>
    <n v="-48"/>
    <x v="0"/>
  </r>
  <r>
    <d v="2026-08-02T00:00:00"/>
    <s v="PR024"/>
    <x v="8"/>
    <x v="0"/>
    <s v="Vente"/>
    <n v="-10"/>
    <x v="0"/>
  </r>
  <r>
    <d v="2026-08-02T00:00:00"/>
    <s v="PR024"/>
    <x v="8"/>
    <x v="2"/>
    <s v="Vente"/>
    <n v="-15"/>
    <x v="5"/>
  </r>
  <r>
    <d v="2026-08-02T00:00:00"/>
    <s v="PR026"/>
    <x v="0"/>
    <x v="0"/>
    <s v="Vente"/>
    <n v="-27"/>
    <x v="0"/>
  </r>
  <r>
    <d v="2026-08-02T00:00:00"/>
    <s v="PR026"/>
    <x v="0"/>
    <x v="1"/>
    <s v="Vente"/>
    <n v="-23"/>
    <x v="2"/>
  </r>
  <r>
    <d v="2026-07-26T00:00:00"/>
    <s v="PR026"/>
    <x v="0"/>
    <x v="1"/>
    <s v="Achat"/>
    <n v="23"/>
    <x v="2"/>
  </r>
  <r>
    <d v="2026-07-26T00:00:00"/>
    <s v="PR023"/>
    <x v="9"/>
    <x v="0"/>
    <s v="Achat"/>
    <n v="50"/>
    <x v="8"/>
  </r>
  <r>
    <d v="2026-07-17T00:00:00"/>
    <s v="PR011"/>
    <x v="10"/>
    <x v="2"/>
    <s v="Vente"/>
    <n v="-23"/>
    <x v="3"/>
  </r>
  <r>
    <d v="2026-07-17T00:00:00"/>
    <s v="PR026"/>
    <x v="0"/>
    <x v="2"/>
    <s v="Vente"/>
    <n v="-9"/>
    <x v="3"/>
  </r>
  <r>
    <d v="2026-07-17T00:00:00"/>
    <s v="PR005"/>
    <x v="11"/>
    <x v="2"/>
    <s v="Vente"/>
    <n v="-11"/>
    <x v="5"/>
  </r>
  <r>
    <d v="2026-07-17T00:00:00"/>
    <s v="PR004"/>
    <x v="1"/>
    <x v="0"/>
    <s v="Vente"/>
    <n v="-8"/>
    <x v="9"/>
  </r>
  <r>
    <d v="2026-07-17T00:00:00"/>
    <s v="PR024"/>
    <x v="8"/>
    <x v="2"/>
    <s v="Vente"/>
    <n v="-21"/>
    <x v="5"/>
  </r>
  <r>
    <d v="2026-07-17T00:00:00"/>
    <s v="PR001"/>
    <x v="4"/>
    <x v="2"/>
    <s v="Vente"/>
    <n v="-3"/>
    <x v="3"/>
  </r>
  <r>
    <d v="2026-07-17T00:00:00"/>
    <s v="PR022"/>
    <x v="7"/>
    <x v="0"/>
    <s v="Vente"/>
    <n v="-9"/>
    <x v="7"/>
  </r>
  <r>
    <d v="2026-07-17T00:00:00"/>
    <s v="PR026"/>
    <x v="0"/>
    <x v="2"/>
    <s v="Vente"/>
    <n v="-3"/>
    <x v="3"/>
  </r>
  <r>
    <d v="2026-07-17T00:00:00"/>
    <s v="PR017"/>
    <x v="6"/>
    <x v="2"/>
    <s v="Vente"/>
    <n v="-13"/>
    <x v="6"/>
  </r>
  <r>
    <d v="2026-06-10T00:00:00"/>
    <s v="PR003"/>
    <x v="12"/>
    <x v="0"/>
    <s v="Achat"/>
    <n v="32"/>
    <x v="10"/>
  </r>
  <r>
    <d v="2026-06-10T00:00:00"/>
    <s v="PR012"/>
    <x v="3"/>
    <x v="0"/>
    <s v="Achat"/>
    <n v="95"/>
    <x v="11"/>
  </r>
  <r>
    <d v="2026-06-10T00:00:00"/>
    <s v="PR011"/>
    <x v="10"/>
    <x v="0"/>
    <s v="Achat"/>
    <n v="67"/>
    <x v="11"/>
  </r>
  <r>
    <d v="2026-06-10T00:00:00"/>
    <s v="PR018"/>
    <x v="13"/>
    <x v="0"/>
    <s v="Achat"/>
    <n v="45"/>
    <x v="11"/>
  </r>
  <r>
    <d v="2026-06-10T00:00:00"/>
    <s v="PR002"/>
    <x v="14"/>
    <x v="0"/>
    <s v="Achat"/>
    <n v="60"/>
    <x v="11"/>
  </r>
  <r>
    <d v="2026-06-10T00:00:00"/>
    <s v="PR017"/>
    <x v="6"/>
    <x v="2"/>
    <s v="Vente"/>
    <n v="-14"/>
    <x v="6"/>
  </r>
  <r>
    <d v="2026-06-10T00:00:00"/>
    <s v="PR017"/>
    <x v="6"/>
    <x v="0"/>
    <s v="Vente"/>
    <n v="-15"/>
    <x v="0"/>
  </r>
  <r>
    <d v="2026-06-10T00:00:00"/>
    <s v="PR023"/>
    <x v="9"/>
    <x v="2"/>
    <s v="Vente"/>
    <n v="-20"/>
    <x v="4"/>
  </r>
  <r>
    <d v="2026-06-10T00:00:00"/>
    <s v="PR013"/>
    <x v="15"/>
    <x v="2"/>
    <s v="Vente"/>
    <n v="-30"/>
    <x v="5"/>
  </r>
  <r>
    <d v="2026-06-10T00:00:00"/>
    <s v="PR026"/>
    <x v="0"/>
    <x v="2"/>
    <s v="Vente"/>
    <n v="-80"/>
    <x v="3"/>
  </r>
  <r>
    <d v="2026-06-01T00:00:00"/>
    <s v="PR016"/>
    <x v="5"/>
    <x v="2"/>
    <s v="Vente"/>
    <n v="-5"/>
    <x v="5"/>
  </r>
  <r>
    <d v="2026-06-01T00:00:00"/>
    <s v="PR002"/>
    <x v="14"/>
    <x v="2"/>
    <s v="Vente"/>
    <n v="-2"/>
    <x v="6"/>
  </r>
  <r>
    <d v="2026-06-01T00:00:00"/>
    <s v="PR022"/>
    <x v="7"/>
    <x v="0"/>
    <s v="Vente"/>
    <n v="-5"/>
    <x v="7"/>
  </r>
  <r>
    <d v="2026-06-01T00:00:00"/>
    <s v="PR009"/>
    <x v="16"/>
    <x v="0"/>
    <s v="Vente"/>
    <n v="-10"/>
    <x v="12"/>
  </r>
  <r>
    <d v="2026-06-01T00:00:00"/>
    <s v="PR023"/>
    <x v="9"/>
    <x v="2"/>
    <s v="Vente"/>
    <n v="-15"/>
    <x v="4"/>
  </r>
  <r>
    <d v="2026-06-01T00:00:00"/>
    <s v="PR007"/>
    <x v="17"/>
    <x v="2"/>
    <s v="Vente"/>
    <n v="-3"/>
    <x v="4"/>
  </r>
  <r>
    <d v="2026-05-23T00:00:00"/>
    <s v="PR015"/>
    <x v="18"/>
    <x v="0"/>
    <s v="Achat"/>
    <n v="30"/>
    <x v="4"/>
  </r>
  <r>
    <d v="2026-05-23T00:00:00"/>
    <s v="PR016"/>
    <x v="5"/>
    <x v="0"/>
    <s v="Achat"/>
    <n v="30"/>
    <x v="4"/>
  </r>
  <r>
    <d v="2026-05-23T00:00:00"/>
    <s v="PR025"/>
    <x v="19"/>
    <x v="0"/>
    <s v="Achat"/>
    <n v="50"/>
    <x v="0"/>
  </r>
  <r>
    <d v="2026-05-23T00:00:00"/>
    <s v="PR020"/>
    <x v="20"/>
    <x v="0"/>
    <s v="Achat"/>
    <n v="20"/>
    <x v="0"/>
  </r>
  <r>
    <d v="2026-05-23T00:00:00"/>
    <s v="PR005"/>
    <x v="11"/>
    <x v="0"/>
    <s v="Achat"/>
    <n v="15"/>
    <x v="0"/>
  </r>
  <r>
    <d v="2026-05-23T00:00:00"/>
    <s v="PR002"/>
    <x v="14"/>
    <x v="2"/>
    <s v="Vente"/>
    <n v="-2"/>
    <x v="6"/>
  </r>
  <r>
    <d v="2026-05-23T00:00:00"/>
    <s v="PR012"/>
    <x v="3"/>
    <x v="2"/>
    <s v="Vente"/>
    <n v="-4"/>
    <x v="11"/>
  </r>
  <r>
    <d v="2026-05-23T00:00:00"/>
    <s v="PR026"/>
    <x v="0"/>
    <x v="2"/>
    <s v="Vente"/>
    <n v="-42"/>
    <x v="3"/>
  </r>
  <r>
    <d v="2026-05-23T00:00:00"/>
    <s v="PR002"/>
    <x v="14"/>
    <x v="2"/>
    <s v="Vente"/>
    <n v="-2"/>
    <x v="6"/>
  </r>
  <r>
    <d v="2026-05-23T00:00:00"/>
    <s v="PR026"/>
    <x v="0"/>
    <x v="2"/>
    <s v="Vente"/>
    <n v="-4"/>
    <x v="3"/>
  </r>
  <r>
    <d v="2026-05-23T00:00:00"/>
    <s v="PR017"/>
    <x v="6"/>
    <x v="0"/>
    <s v="Vente"/>
    <n v="-1"/>
    <x v="0"/>
  </r>
  <r>
    <d v="2026-05-23T00:00:00"/>
    <s v="PR007"/>
    <x v="17"/>
    <x v="2"/>
    <s v="Vente"/>
    <n v="-1"/>
    <x v="4"/>
  </r>
  <r>
    <d v="2026-05-23T00:00:00"/>
    <s v="PR003"/>
    <x v="12"/>
    <x v="2"/>
    <s v="Vente"/>
    <n v="-3"/>
    <x v="3"/>
  </r>
  <r>
    <d v="2026-05-23T00:00:00"/>
    <s v="PR012"/>
    <x v="3"/>
    <x v="2"/>
    <s v="Vente"/>
    <n v="-4"/>
    <x v="11"/>
  </r>
  <r>
    <d v="2026-05-23T00:00:00"/>
    <s v="PR025"/>
    <x v="19"/>
    <x v="2"/>
    <s v="Vente"/>
    <n v="-4"/>
    <x v="11"/>
  </r>
  <r>
    <d v="2026-05-23T00:00:00"/>
    <s v="PR005"/>
    <x v="11"/>
    <x v="2"/>
    <s v="Vente"/>
    <n v="-1"/>
    <x v="5"/>
  </r>
  <r>
    <d v="2026-05-23T00:00:00"/>
    <s v="PR022"/>
    <x v="7"/>
    <x v="0"/>
    <s v="Vente"/>
    <n v="-1"/>
    <x v="7"/>
  </r>
  <r>
    <d v="2026-05-23T00:00:00"/>
    <s v="PR002"/>
    <x v="14"/>
    <x v="2"/>
    <s v="Vente"/>
    <n v="-1"/>
    <x v="6"/>
  </r>
  <r>
    <d v="2026-05-23T00:00:00"/>
    <s v="PR009"/>
    <x v="16"/>
    <x v="0"/>
    <s v="Vente"/>
    <n v="-2"/>
    <x v="12"/>
  </r>
  <r>
    <d v="2026-05-23T00:00:00"/>
    <s v="PR024"/>
    <x v="8"/>
    <x v="2"/>
    <s v="Vente"/>
    <n v="-3"/>
    <x v="5"/>
  </r>
  <r>
    <d v="2026-05-23T00:00:00"/>
    <s v="PR018"/>
    <x v="13"/>
    <x v="2"/>
    <s v="Vente"/>
    <n v="-3"/>
    <x v="4"/>
  </r>
  <r>
    <d v="2026-05-23T00:00:00"/>
    <s v="PR021"/>
    <x v="21"/>
    <x v="2"/>
    <s v="Vente"/>
    <n v="-3"/>
    <x v="3"/>
  </r>
  <r>
    <d v="2026-05-15T00:00:00"/>
    <s v="PR010"/>
    <x v="22"/>
    <x v="2"/>
    <s v="Vente"/>
    <n v="-1"/>
    <x v="6"/>
  </r>
  <r>
    <d v="2026-05-09T00:00:00"/>
    <s v="PR026"/>
    <x v="0"/>
    <x v="0"/>
    <s v="Perte"/>
    <n v="-2"/>
    <x v="0"/>
  </r>
  <r>
    <d v="2026-05-09T00:00:00"/>
    <s v="PR010"/>
    <x v="22"/>
    <x v="2"/>
    <s v="Vente"/>
    <n v="-1"/>
    <x v="6"/>
  </r>
  <r>
    <d v="2026-05-09T00:00:00"/>
    <s v="PR001"/>
    <x v="4"/>
    <x v="2"/>
    <s v="Vente"/>
    <n v="-2"/>
    <x v="3"/>
  </r>
  <r>
    <d v="2026-05-09T00:00:00"/>
    <s v="PR017"/>
    <x v="6"/>
    <x v="0"/>
    <s v="Vente"/>
    <n v="-9"/>
    <x v="0"/>
  </r>
  <r>
    <d v="2026-05-09T00:00:00"/>
    <s v="PR010"/>
    <x v="22"/>
    <x v="2"/>
    <s v="Vente"/>
    <n v="-5"/>
    <x v="6"/>
  </r>
  <r>
    <d v="2026-05-09T00:00:00"/>
    <s v="PR026"/>
    <x v="0"/>
    <x v="0"/>
    <s v="Achat"/>
    <n v="100"/>
    <x v="0"/>
  </r>
  <r>
    <d v="2026-05-09T00:00:00"/>
    <s v="PR004"/>
    <x v="1"/>
    <x v="0"/>
    <s v="Achat"/>
    <n v="20"/>
    <x v="9"/>
  </r>
  <r>
    <d v="2026-04-29T00:00:00"/>
    <s v="PR013"/>
    <x v="15"/>
    <x v="2"/>
    <s v="Vente"/>
    <n v="-7"/>
    <x v="5"/>
  </r>
  <r>
    <d v="2026-04-29T00:00:00"/>
    <s v="PR002"/>
    <x v="14"/>
    <x v="2"/>
    <s v="Vente"/>
    <n v="-2"/>
    <x v="6"/>
  </r>
  <r>
    <d v="2026-04-29T00:00:00"/>
    <s v="PR013"/>
    <x v="15"/>
    <x v="2"/>
    <s v="Vente"/>
    <n v="-1"/>
    <x v="5"/>
  </r>
  <r>
    <d v="2026-04-29T00:00:00"/>
    <s v="PR011"/>
    <x v="10"/>
    <x v="2"/>
    <s v="Vente"/>
    <n v="-1"/>
    <x v="3"/>
  </r>
  <r>
    <d v="2026-04-29T00:00:00"/>
    <s v="PR025"/>
    <x v="19"/>
    <x v="2"/>
    <s v="Perte"/>
    <n v="-1"/>
    <x v="11"/>
  </r>
  <r>
    <d v="2026-04-29T00:00:00"/>
    <s v="PR026"/>
    <x v="0"/>
    <x v="2"/>
    <s v="Perte"/>
    <n v="-1"/>
    <x v="3"/>
  </r>
  <r>
    <d v="2026-04-29T00:00:00"/>
    <s v="PR019"/>
    <x v="23"/>
    <x v="0"/>
    <s v="Perte"/>
    <n v="-1"/>
    <x v="13"/>
  </r>
  <r>
    <d v="2026-04-23T00:00:00"/>
    <s v="PR004"/>
    <x v="1"/>
    <x v="2"/>
    <s v="Vente"/>
    <n v="-5"/>
    <x v="4"/>
  </r>
  <r>
    <d v="2026-04-23T00:00:00"/>
    <s v="PR010"/>
    <x v="22"/>
    <x v="2"/>
    <s v="Vente"/>
    <n v="-30"/>
    <x v="6"/>
  </r>
  <r>
    <d v="2026-04-23T00:00:00"/>
    <s v="PR010"/>
    <x v="22"/>
    <x v="0"/>
    <s v="Vente"/>
    <n v="-10"/>
    <x v="2"/>
  </r>
  <r>
    <d v="2026-04-23T00:00:00"/>
    <s v="PR015"/>
    <x v="18"/>
    <x v="2"/>
    <s v="Vente"/>
    <n v="-5"/>
    <x v="11"/>
  </r>
  <r>
    <d v="2026-04-23T00:00:00"/>
    <s v="PR023"/>
    <x v="9"/>
    <x v="2"/>
    <s v="Vente"/>
    <n v="-9"/>
    <x v="4"/>
  </r>
  <r>
    <d v="2026-04-23T00:00:00"/>
    <s v="PR026"/>
    <x v="0"/>
    <x v="2"/>
    <s v="Perte"/>
    <n v="-3"/>
    <x v="3"/>
  </r>
  <r>
    <d v="2026-04-15T00:00:00"/>
    <s v="PR023"/>
    <x v="9"/>
    <x v="2"/>
    <s v="Vente"/>
    <n v="-5"/>
    <x v="4"/>
  </r>
  <r>
    <d v="2026-04-15T00:00:00"/>
    <s v="PR022"/>
    <x v="7"/>
    <x v="0"/>
    <s v="Perte"/>
    <n v="-3"/>
    <x v="7"/>
  </r>
  <r>
    <d v="2026-04-15T00:00:00"/>
    <s v="PR003"/>
    <x v="12"/>
    <x v="2"/>
    <s v="Vente"/>
    <n v="-5"/>
    <x v="3"/>
  </r>
  <r>
    <d v="2026-04-15T00:00:00"/>
    <s v="PR020"/>
    <x v="20"/>
    <x v="2"/>
    <s v="Vente"/>
    <n v="-9"/>
    <x v="11"/>
  </r>
  <r>
    <d v="2026-04-15T00:00:00"/>
    <s v="PR008"/>
    <x v="2"/>
    <x v="0"/>
    <s v="Achat"/>
    <n v="30"/>
    <x v="12"/>
  </r>
  <r>
    <d v="2026-04-09T00:00:00"/>
    <s v="PR010"/>
    <x v="22"/>
    <x v="0"/>
    <s v="Casse"/>
    <n v="-3"/>
    <x v="2"/>
  </r>
  <r>
    <d v="2026-04-09T00:00:00"/>
    <s v="PR013"/>
    <x v="15"/>
    <x v="2"/>
    <s v="Vente"/>
    <n v="-2"/>
    <x v="5"/>
  </r>
  <r>
    <d v="2026-04-09T00:00:00"/>
    <s v="PR020"/>
    <x v="20"/>
    <x v="2"/>
    <s v="Vente"/>
    <n v="-10"/>
    <x v="11"/>
  </r>
  <r>
    <d v="2026-04-09T00:00:00"/>
    <s v="PR001"/>
    <x v="4"/>
    <x v="0"/>
    <s v="Casse"/>
    <n v="-1"/>
    <x v="2"/>
  </r>
  <r>
    <d v="2026-04-09T00:00:00"/>
    <s v="PR022"/>
    <x v="7"/>
    <x v="0"/>
    <s v="Vente"/>
    <n v="-1"/>
    <x v="7"/>
  </r>
  <r>
    <d v="2026-04-08T00:00:00"/>
    <s v="PR019"/>
    <x v="23"/>
    <x v="0"/>
    <s v="Achat"/>
    <n v="30"/>
    <x v="13"/>
  </r>
  <r>
    <d v="2026-04-07T00:00:00"/>
    <s v="PR001"/>
    <x v="4"/>
    <x v="0"/>
    <s v="Casse"/>
    <n v="-1"/>
    <x v="2"/>
  </r>
  <r>
    <d v="2026-04-04T00:00:00"/>
    <s v="PR006"/>
    <x v="24"/>
    <x v="2"/>
    <s v="Vente"/>
    <n v="-5"/>
    <x v="11"/>
  </r>
  <r>
    <d v="2026-04-01T00:00:00"/>
    <s v="PR001"/>
    <x v="4"/>
    <x v="2"/>
    <s v="Vente"/>
    <n v="-10"/>
    <x v="3"/>
  </r>
  <r>
    <d v="2026-04-01T00:00:00"/>
    <s v="PR002"/>
    <x v="14"/>
    <x v="2"/>
    <s v="Vente"/>
    <n v="-1"/>
    <x v="6"/>
  </r>
  <r>
    <d v="2026-04-01T00:00:00"/>
    <s v="PR026"/>
    <x v="0"/>
    <x v="2"/>
    <s v="Vente"/>
    <n v="-26"/>
    <x v="3"/>
  </r>
  <r>
    <d v="2026-03-31T00:00:00"/>
    <s v="PR004"/>
    <x v="1"/>
    <x v="2"/>
    <s v="Vente"/>
    <n v="-8"/>
    <x v="4"/>
  </r>
  <r>
    <d v="2026-03-30T00:00:00"/>
    <s v="PR005"/>
    <x v="11"/>
    <x v="2"/>
    <s v="Casse"/>
    <n v="-1"/>
    <x v="5"/>
  </r>
  <r>
    <d v="2026-03-28T00:00:00"/>
    <s v="PR008"/>
    <x v="2"/>
    <x v="2"/>
    <s v="Casse"/>
    <n v="-1"/>
    <x v="3"/>
  </r>
  <r>
    <d v="2026-03-28T00:00:00"/>
    <s v="PR019"/>
    <x v="23"/>
    <x v="2"/>
    <s v="Vente"/>
    <n v="-6"/>
    <x v="5"/>
  </r>
  <r>
    <d v="2026-03-28T00:00:00"/>
    <s v="PR021"/>
    <x v="21"/>
    <x v="2"/>
    <s v="Vente"/>
    <n v="-1"/>
    <x v="3"/>
  </r>
  <r>
    <d v="2026-03-27T00:00:00"/>
    <s v="PR016"/>
    <x v="5"/>
    <x v="2"/>
    <s v="Vente"/>
    <n v="-1"/>
    <x v="5"/>
  </r>
  <r>
    <d v="2026-03-27T00:00:00"/>
    <s v="PR022"/>
    <x v="7"/>
    <x v="0"/>
    <s v="Vente"/>
    <n v="-8"/>
    <x v="7"/>
  </r>
  <r>
    <d v="2026-03-25T00:00:00"/>
    <s v="PR005"/>
    <x v="11"/>
    <x v="2"/>
    <s v="Perte"/>
    <n v="-1"/>
    <x v="5"/>
  </r>
  <r>
    <d v="2026-03-24T00:00:00"/>
    <s v="PR020"/>
    <x v="20"/>
    <x v="2"/>
    <s v="Vente"/>
    <n v="-3"/>
    <x v="11"/>
  </r>
  <r>
    <d v="2026-03-22T00:00:00"/>
    <s v="PR024"/>
    <x v="8"/>
    <x v="0"/>
    <s v="Achat"/>
    <n v="40"/>
    <x v="0"/>
  </r>
  <r>
    <d v="2026-03-20T00:00:00"/>
    <s v="PR022"/>
    <x v="7"/>
    <x v="0"/>
    <s v="Vente"/>
    <n v="-2"/>
    <x v="7"/>
  </r>
  <r>
    <d v="2026-03-19T00:00:00"/>
    <s v="PR019"/>
    <x v="23"/>
    <x v="2"/>
    <s v="Vente"/>
    <n v="-2"/>
    <x v="5"/>
  </r>
  <r>
    <d v="2026-03-19T00:00:00"/>
    <s v="PR020"/>
    <x v="20"/>
    <x v="2"/>
    <s v="Vente"/>
    <n v="-6"/>
    <x v="11"/>
  </r>
  <r>
    <d v="2026-03-19T00:00:00"/>
    <s v="PR015"/>
    <x v="18"/>
    <x v="2"/>
    <s v="Vente"/>
    <n v="-8"/>
    <x v="11"/>
  </r>
  <r>
    <d v="2026-03-19T00:00:00"/>
    <s v="PR009"/>
    <x v="16"/>
    <x v="0"/>
    <s v="Perte"/>
    <n v="-1"/>
    <x v="12"/>
  </r>
  <r>
    <d v="2026-03-15T00:00:00"/>
    <s v="PR018"/>
    <x v="13"/>
    <x v="2"/>
    <s v="Vente"/>
    <n v="-1"/>
    <x v="4"/>
  </r>
  <r>
    <d v="2026-03-15T00:00:00"/>
    <s v="PR010"/>
    <x v="22"/>
    <x v="0"/>
    <s v="Vente"/>
    <n v="-7"/>
    <x v="2"/>
  </r>
  <r>
    <d v="2026-03-15T00:00:00"/>
    <s v="PR014"/>
    <x v="25"/>
    <x v="2"/>
    <s v="Vente"/>
    <n v="-3"/>
    <x v="4"/>
  </r>
  <r>
    <d v="2026-03-15T00:00:00"/>
    <s v="PR025"/>
    <x v="19"/>
    <x v="2"/>
    <s v="Vente"/>
    <n v="-2"/>
    <x v="11"/>
  </r>
  <r>
    <d v="2026-03-15T00:00:00"/>
    <s v="PR022"/>
    <x v="7"/>
    <x v="0"/>
    <s v="Achat"/>
    <n v="30"/>
    <x v="7"/>
  </r>
  <r>
    <d v="2026-03-15T00:00:00"/>
    <s v="PR009"/>
    <x v="16"/>
    <x v="0"/>
    <s v="Achat"/>
    <n v="30"/>
    <x v="12"/>
  </r>
  <r>
    <d v="2026-03-14T00:00:00"/>
    <s v="PR020"/>
    <x v="20"/>
    <x v="2"/>
    <s v="Vente"/>
    <n v="-5"/>
    <x v="11"/>
  </r>
  <r>
    <d v="2026-03-12T00:00:00"/>
    <s v="PR011"/>
    <x v="10"/>
    <x v="2"/>
    <s v="Vente"/>
    <n v="-2"/>
    <x v="3"/>
  </r>
  <r>
    <d v="2026-03-10T00:00:00"/>
    <s v="PR008"/>
    <x v="2"/>
    <x v="2"/>
    <s v="Vente"/>
    <n v="-17"/>
    <x v="3"/>
  </r>
  <r>
    <d v="2026-03-10T00:00:00"/>
    <s v="PR007"/>
    <x v="17"/>
    <x v="2"/>
    <s v="Vente"/>
    <n v="-1"/>
    <x v="4"/>
  </r>
  <r>
    <d v="2026-03-08T00:00:00"/>
    <s v="PR007"/>
    <x v="17"/>
    <x v="2"/>
    <s v="Achat"/>
    <n v="45"/>
    <x v="4"/>
  </r>
  <r>
    <d v="2026-03-08T00:00:00"/>
    <s v="PR001"/>
    <x v="4"/>
    <x v="0"/>
    <s v="Achat"/>
    <n v="50"/>
    <x v="2"/>
  </r>
  <r>
    <d v="2026-03-07T00:00:00"/>
    <s v="PR016"/>
    <x v="5"/>
    <x v="2"/>
    <s v="Vente"/>
    <n v="-2"/>
    <x v="5"/>
  </r>
  <r>
    <d v="2026-03-06T00:00:00"/>
    <s v="PR012"/>
    <x v="3"/>
    <x v="2"/>
    <s v="Vente"/>
    <n v="-2"/>
    <x v="11"/>
  </r>
  <r>
    <d v="2026-03-06T00:00:00"/>
    <s v="PR026"/>
    <x v="0"/>
    <x v="2"/>
    <s v="Vente"/>
    <n v="-32"/>
    <x v="3"/>
  </r>
  <r>
    <d v="2026-03-03T00:00:00"/>
    <s v="PR004"/>
    <x v="1"/>
    <x v="2"/>
    <s v="Vente"/>
    <n v="-6"/>
    <x v="4"/>
  </r>
  <r>
    <d v="2026-03-01T00:00:00"/>
    <s v="PR014"/>
    <x v="25"/>
    <x v="2"/>
    <s v="Vente"/>
    <n v="-4"/>
    <x v="4"/>
  </r>
  <r>
    <d v="2026-03-01T00:00:00"/>
    <s v="PR017"/>
    <x v="6"/>
    <x v="0"/>
    <s v="Achat"/>
    <n v="25"/>
    <x v="0"/>
  </r>
  <r>
    <d v="2026-02-28T00:00:00"/>
    <s v="PR016"/>
    <x v="5"/>
    <x v="2"/>
    <s v="Vente"/>
    <n v="-5"/>
    <x v="5"/>
  </r>
  <r>
    <d v="2026-02-28T00:00:00"/>
    <s v="PR014"/>
    <x v="25"/>
    <x v="2"/>
    <s v="Vente"/>
    <n v="-5"/>
    <x v="4"/>
  </r>
  <r>
    <d v="2026-02-27T00:00:00"/>
    <s v="PR003"/>
    <x v="12"/>
    <x v="2"/>
    <s v="Casse"/>
    <n v="-1"/>
    <x v="3"/>
  </r>
  <r>
    <d v="2026-02-27T00:00:00"/>
    <s v="PR009"/>
    <x v="16"/>
    <x v="2"/>
    <s v="Vente"/>
    <n v="-5"/>
    <x v="4"/>
  </r>
  <r>
    <d v="2026-02-22T00:00:00"/>
    <s v="PR011"/>
    <x v="10"/>
    <x v="2"/>
    <s v="Vente"/>
    <n v="-1"/>
    <x v="3"/>
  </r>
  <r>
    <d v="2026-02-21T00:00:00"/>
    <s v="PR016"/>
    <x v="5"/>
    <x v="2"/>
    <s v="Perte"/>
    <n v="-1"/>
    <x v="5"/>
  </r>
  <r>
    <d v="2026-02-21T00:00:00"/>
    <s v="PR017"/>
    <x v="6"/>
    <x v="2"/>
    <s v="Vente"/>
    <n v="-7"/>
    <x v="6"/>
  </r>
  <r>
    <d v="2026-02-20T00:00:00"/>
    <s v="PR009"/>
    <x v="16"/>
    <x v="2"/>
    <s v="Vente"/>
    <n v="-1"/>
    <x v="4"/>
  </r>
  <r>
    <d v="2026-02-19T00:00:00"/>
    <s v="PR016"/>
    <x v="5"/>
    <x v="2"/>
    <s v="Vente"/>
    <n v="-1"/>
    <x v="5"/>
  </r>
  <r>
    <d v="2026-02-17T00:00:00"/>
    <s v="PR019"/>
    <x v="23"/>
    <x v="2"/>
    <s v="Casse"/>
    <n v="-1"/>
    <x v="5"/>
  </r>
  <r>
    <d v="2026-02-15T00:00:00"/>
    <s v="PR006"/>
    <x v="24"/>
    <x v="0"/>
    <s v="Achat"/>
    <n v="40"/>
    <x v="0"/>
  </r>
  <r>
    <d v="2026-01-14T00:00:00"/>
    <s v="PR019"/>
    <x v="23"/>
    <x v="2"/>
    <s v="Vente"/>
    <n v="-5"/>
    <x v="5"/>
  </r>
  <r>
    <d v="2026-02-13T00:00:00"/>
    <s v="PR020"/>
    <x v="20"/>
    <x v="2"/>
    <s v="Vente"/>
    <n v="-4"/>
    <x v="11"/>
  </r>
  <r>
    <d v="2026-02-13T00:00:00"/>
    <s v="PR012"/>
    <x v="3"/>
    <x v="2"/>
    <s v="Vente"/>
    <n v="-4"/>
    <x v="11"/>
  </r>
  <r>
    <d v="2026-02-12T00:00:00"/>
    <s v="PR005"/>
    <x v="11"/>
    <x v="2"/>
    <s v="Vente"/>
    <n v="-2"/>
    <x v="5"/>
  </r>
  <r>
    <d v="2026-02-09T00:00:00"/>
    <s v="PR006"/>
    <x v="24"/>
    <x v="2"/>
    <s v="Casse"/>
    <n v="-1"/>
    <x v="11"/>
  </r>
  <r>
    <d v="2026-02-09T00:00:00"/>
    <s v="PR019"/>
    <x v="23"/>
    <x v="2"/>
    <s v="Vente"/>
    <n v="-3"/>
    <x v="5"/>
  </r>
  <r>
    <d v="2026-02-08T00:00:00"/>
    <s v="PR022"/>
    <x v="7"/>
    <x v="2"/>
    <s v="Vente"/>
    <n v="-4"/>
    <x v="6"/>
  </r>
  <r>
    <d v="2026-02-08T00:00:00"/>
    <s v="PR010"/>
    <x v="22"/>
    <x v="0"/>
    <s v="Achat"/>
    <n v="20"/>
    <x v="2"/>
  </r>
  <r>
    <d v="2026-02-07T00:00:00"/>
    <s v="PR004"/>
    <x v="1"/>
    <x v="2"/>
    <s v="Casse"/>
    <n v="-2"/>
    <x v="4"/>
  </r>
  <r>
    <d v="2026-02-07T00:00:00"/>
    <s v="PR019"/>
    <x v="23"/>
    <x v="2"/>
    <s v="Vente"/>
    <n v="-3"/>
    <x v="5"/>
  </r>
  <r>
    <d v="2026-02-07T00:00:00"/>
    <s v="PR022"/>
    <x v="7"/>
    <x v="2"/>
    <s v="Vente"/>
    <n v="-1"/>
    <x v="6"/>
  </r>
  <r>
    <d v="2026-02-06T00:00:00"/>
    <s v="PR019"/>
    <x v="23"/>
    <x v="2"/>
    <s v="Vente"/>
    <n v="-2"/>
    <x v="5"/>
  </r>
  <r>
    <d v="2026-02-03T00:00:00"/>
    <s v="PR018"/>
    <x v="13"/>
    <x v="2"/>
    <s v="Vente"/>
    <n v="-2"/>
    <x v="4"/>
  </r>
  <r>
    <d v="2026-02-03T00:00:00"/>
    <s v="PR011"/>
    <x v="10"/>
    <x v="2"/>
    <s v="Vente"/>
    <n v="-2"/>
    <x v="3"/>
  </r>
  <r>
    <d v="2026-02-03T00:00:00"/>
    <s v="PR024"/>
    <x v="8"/>
    <x v="2"/>
    <s v="Vente"/>
    <n v="-1"/>
    <x v="5"/>
  </r>
  <r>
    <d v="2026-02-01T00:00:00"/>
    <s v="PR013"/>
    <x v="15"/>
    <x v="0"/>
    <s v="Achat"/>
    <n v="50"/>
    <x v="12"/>
  </r>
  <r>
    <d v="2026-01-31T00:00:00"/>
    <s v="PR017"/>
    <x v="6"/>
    <x v="2"/>
    <s v="Perte"/>
    <n v="-3"/>
    <x v="6"/>
  </r>
  <r>
    <d v="2026-01-31T00:00:00"/>
    <s v="PR002"/>
    <x v="14"/>
    <x v="2"/>
    <s v="Vente"/>
    <n v="-2"/>
    <x v="6"/>
  </r>
  <r>
    <d v="2026-01-31T00:00:00"/>
    <s v="PR009"/>
    <x v="16"/>
    <x v="2"/>
    <s v="Vente"/>
    <n v="-4"/>
    <x v="4"/>
  </r>
  <r>
    <d v="2026-01-30T00:00:00"/>
    <s v="PR010"/>
    <x v="22"/>
    <x v="2"/>
    <s v="Vente"/>
    <n v="-7"/>
    <x v="6"/>
  </r>
  <r>
    <d v="2026-01-29T00:00:00"/>
    <s v="PR001"/>
    <x v="4"/>
    <x v="2"/>
    <s v="Vente"/>
    <n v="-10"/>
    <x v="3"/>
  </r>
  <r>
    <d v="2026-01-28T00:00:00"/>
    <s v="PR020"/>
    <x v="20"/>
    <x v="2"/>
    <s v="Vente"/>
    <n v="-2"/>
    <x v="11"/>
  </r>
  <r>
    <d v="2026-01-28T00:00:00"/>
    <s v="PR009"/>
    <x v="16"/>
    <x v="2"/>
    <s v="Vente"/>
    <n v="-2"/>
    <x v="4"/>
  </r>
  <r>
    <d v="2026-01-28T00:00:00"/>
    <s v="PR008"/>
    <x v="2"/>
    <x v="2"/>
    <s v="Vente"/>
    <n v="-2"/>
    <x v="3"/>
  </r>
  <r>
    <d v="2026-01-28T00:00:00"/>
    <s v="PR005"/>
    <x v="11"/>
    <x v="2"/>
    <s v="Vente"/>
    <n v="-1"/>
    <x v="5"/>
  </r>
  <r>
    <d v="2026-01-27T00:00:00"/>
    <s v="PR023"/>
    <x v="9"/>
    <x v="2"/>
    <s v="Vente"/>
    <n v="-5"/>
    <x v="4"/>
  </r>
  <r>
    <d v="2026-01-27T00:00:00"/>
    <s v="PR009"/>
    <x v="16"/>
    <x v="2"/>
    <s v="Vente"/>
    <n v="-1"/>
    <x v="4"/>
  </r>
  <r>
    <d v="2026-01-24T00:00:00"/>
    <s v="PR018"/>
    <x v="13"/>
    <x v="2"/>
    <s v="Vente"/>
    <n v="-2"/>
    <x v="4"/>
  </r>
  <r>
    <d v="2026-01-24T00:00:00"/>
    <s v="PR013"/>
    <x v="15"/>
    <x v="2"/>
    <s v="Vente"/>
    <n v="-6"/>
    <x v="5"/>
  </r>
  <r>
    <d v="2026-01-20T00:00:00"/>
    <s v="PR003"/>
    <x v="12"/>
    <x v="2"/>
    <s v="Vente"/>
    <n v="-5"/>
    <x v="3"/>
  </r>
  <r>
    <d v="2026-01-19T00:00:00"/>
    <s v="PR008"/>
    <x v="2"/>
    <x v="2"/>
    <s v="Vente"/>
    <n v="-6"/>
    <x v="3"/>
  </r>
  <r>
    <d v="2026-01-16T00:00:00"/>
    <s v="PR010"/>
    <x v="22"/>
    <x v="2"/>
    <s v="Vente"/>
    <n v="-1"/>
    <x v="6"/>
  </r>
  <r>
    <d v="2026-01-15T00:00:00"/>
    <s v="PR006"/>
    <x v="24"/>
    <x v="2"/>
    <s v="Vente"/>
    <n v="-3"/>
    <x v="11"/>
  </r>
  <r>
    <d v="2026-01-14T00:00:00"/>
    <s v="PR011"/>
    <x v="10"/>
    <x v="2"/>
    <s v="Vente"/>
    <n v="-2"/>
    <x v="3"/>
  </r>
  <r>
    <d v="2026-01-13T00:00:00"/>
    <s v="PR001"/>
    <x v="4"/>
    <x v="2"/>
    <s v="Vente"/>
    <n v="-8"/>
    <x v="3"/>
  </r>
  <r>
    <d v="2026-01-11T00:00:00"/>
    <s v="PR006"/>
    <x v="24"/>
    <x v="2"/>
    <s v="Vente"/>
    <n v="-1"/>
    <x v="11"/>
  </r>
  <r>
    <d v="2026-01-01T00:00:00"/>
    <s v="PR026"/>
    <x v="0"/>
    <x v="2"/>
    <s v="Achat"/>
    <n v="200"/>
    <x v="3"/>
  </r>
  <r>
    <d v="2026-01-01T00:00:00"/>
    <s v="PR025"/>
    <x v="19"/>
    <x v="2"/>
    <s v="Achat"/>
    <n v="40"/>
    <x v="11"/>
  </r>
  <r>
    <d v="2026-01-01T00:00:00"/>
    <s v="PR024"/>
    <x v="8"/>
    <x v="2"/>
    <s v="Achat"/>
    <n v="40"/>
    <x v="5"/>
  </r>
  <r>
    <d v="2026-01-01T00:00:00"/>
    <s v="PR023"/>
    <x v="9"/>
    <x v="2"/>
    <s v="Achat"/>
    <n v="120"/>
    <x v="4"/>
  </r>
  <r>
    <d v="2026-01-01T00:00:00"/>
    <s v="PR022"/>
    <x v="7"/>
    <x v="2"/>
    <s v="Achat"/>
    <n v="60"/>
    <x v="6"/>
  </r>
  <r>
    <d v="2026-01-01T00:00:00"/>
    <s v="PR021"/>
    <x v="21"/>
    <x v="2"/>
    <s v="Achat"/>
    <n v="40"/>
    <x v="3"/>
  </r>
  <r>
    <d v="2026-01-01T00:00:00"/>
    <s v="PR020"/>
    <x v="20"/>
    <x v="2"/>
    <s v="Achat"/>
    <n v="60"/>
    <x v="11"/>
  </r>
  <r>
    <d v="2026-01-01T00:00:00"/>
    <s v="PR019"/>
    <x v="23"/>
    <x v="2"/>
    <s v="Achat"/>
    <n v="60"/>
    <x v="5"/>
  </r>
  <r>
    <d v="2026-01-01T00:00:00"/>
    <s v="PR018"/>
    <x v="13"/>
    <x v="2"/>
    <s v="Achat"/>
    <n v="20"/>
    <x v="4"/>
  </r>
  <r>
    <d v="2026-01-01T00:00:00"/>
    <s v="PR017"/>
    <x v="6"/>
    <x v="2"/>
    <s v="Achat"/>
    <n v="75"/>
    <x v="6"/>
  </r>
  <r>
    <d v="2026-01-01T00:00:00"/>
    <s v="PR016"/>
    <x v="5"/>
    <x v="2"/>
    <s v="Achat"/>
    <n v="30"/>
    <x v="5"/>
  </r>
  <r>
    <d v="2026-01-01T00:00:00"/>
    <s v="PR015"/>
    <x v="18"/>
    <x v="2"/>
    <s v="Achat"/>
    <n v="30"/>
    <x v="11"/>
  </r>
  <r>
    <d v="2026-01-01T00:00:00"/>
    <s v="PR014"/>
    <x v="25"/>
    <x v="2"/>
    <s v="Achat"/>
    <n v="30"/>
    <x v="4"/>
  </r>
  <r>
    <d v="2026-01-01T00:00:00"/>
    <s v="PR013"/>
    <x v="15"/>
    <x v="2"/>
    <s v="Achat"/>
    <n v="75"/>
    <x v="5"/>
  </r>
  <r>
    <d v="2026-01-01T00:00:00"/>
    <s v="PR012"/>
    <x v="3"/>
    <x v="2"/>
    <s v="Achat"/>
    <n v="60"/>
    <x v="11"/>
  </r>
  <r>
    <d v="2026-01-01T00:00:00"/>
    <s v="PR011"/>
    <x v="10"/>
    <x v="2"/>
    <s v="Achat"/>
    <n v="50"/>
    <x v="3"/>
  </r>
  <r>
    <d v="2026-01-01T00:00:00"/>
    <s v="PR010"/>
    <x v="22"/>
    <x v="2"/>
    <s v="Achat"/>
    <n v="45"/>
    <x v="6"/>
  </r>
  <r>
    <d v="2026-01-01T00:00:00"/>
    <s v="PR009"/>
    <x v="16"/>
    <x v="2"/>
    <s v="Achat"/>
    <n v="20"/>
    <x v="4"/>
  </r>
  <r>
    <d v="2026-01-01T00:00:00"/>
    <s v="PR008"/>
    <x v="2"/>
    <x v="2"/>
    <s v="Achat"/>
    <n v="60"/>
    <x v="3"/>
  </r>
  <r>
    <d v="2026-01-01T00:00:00"/>
    <s v="PR006"/>
    <x v="24"/>
    <x v="2"/>
    <s v="Achat"/>
    <n v="40"/>
    <x v="11"/>
  </r>
  <r>
    <d v="2026-01-01T00:00:00"/>
    <s v="PR005"/>
    <x v="11"/>
    <x v="2"/>
    <s v="Achat"/>
    <n v="20"/>
    <x v="5"/>
  </r>
  <r>
    <d v="2026-01-01T00:00:00"/>
    <s v="PR004"/>
    <x v="1"/>
    <x v="2"/>
    <s v="Achat"/>
    <n v="80"/>
    <x v="4"/>
  </r>
  <r>
    <d v="2026-01-01T00:00:00"/>
    <s v="PR003"/>
    <x v="12"/>
    <x v="2"/>
    <s v="Achat"/>
    <n v="45"/>
    <x v="3"/>
  </r>
  <r>
    <d v="2026-01-01T00:00:00"/>
    <s v="PR002"/>
    <x v="14"/>
    <x v="2"/>
    <s v="Achat"/>
    <n v="30"/>
    <x v="6"/>
  </r>
  <r>
    <d v="2026-01-01T00:00:00"/>
    <s v="PR001"/>
    <x v="4"/>
    <x v="2"/>
    <s v="Achat"/>
    <n v="40"/>
    <x v="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6" cacheId="2" applyNumberFormats="0" applyBorderFormats="0" applyFontFormats="0" applyPatternFormats="0" applyAlignmentFormats="0" applyWidthHeightFormats="1" dataCaption="Valeurs" updatedVersion="5" minRefreshableVersion="3" useAutoFormatting="1" rowGrandTotals="0" colGrandTotals="0" itemPrintTitles="1" createdVersion="5" indent="0" outline="1" outlineData="1" multipleFieldFilters="0" chartFormat="16">
  <location ref="AU3:AV13" firstHeaderRow="1" firstDataRow="1" firstDataCol="1"/>
  <pivotFields count="12">
    <pivotField showAll="0" defaultSubtotal="0"/>
    <pivotField showAll="0" defaultSubtotal="0"/>
    <pivotField axis="axisRow" showAll="0" sortType="ascending" defaultSubtotal="0">
      <items count="17">
        <item x="0"/>
        <item x="2"/>
        <item m="1" x="13"/>
        <item m="1" x="14"/>
        <item m="1" x="16"/>
        <item x="1"/>
        <item m="1" x="10"/>
        <item x="6"/>
        <item x="9"/>
        <item x="4"/>
        <item m="1" x="15"/>
        <item m="1" x="11"/>
        <item x="7"/>
        <item x="8"/>
        <item m="1" x="12"/>
        <item x="3"/>
        <item x="5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numFmtId="164" showAll="0" defaultSubtotal="0"/>
    <pivotField dataField="1" numFmtId="164" showAll="0" defaultSubtotal="0"/>
    <pivotField showAll="0" defaultSubtotal="0"/>
    <pivotField numFmtId="164" showAll="0" defaultSubtotal="0"/>
    <pivotField showAll="0" defaultSubtotal="0"/>
    <pivotField showAll="0" defaultSubtotal="0"/>
    <pivotField showAll="0" defaultSubtotal="0"/>
  </pivotFields>
  <rowFields count="1">
    <field x="2"/>
  </rowFields>
  <rowItems count="10">
    <i>
      <x v="7"/>
    </i>
    <i>
      <x v="15"/>
    </i>
    <i>
      <x v="13"/>
    </i>
    <i>
      <x v="5"/>
    </i>
    <i>
      <x v="16"/>
    </i>
    <i>
      <x v="8"/>
    </i>
    <i>
      <x v="9"/>
    </i>
    <i>
      <x/>
    </i>
    <i>
      <x v="12"/>
    </i>
    <i>
      <x v="1"/>
    </i>
  </rowItems>
  <colItems count="1">
    <i/>
  </colItems>
  <dataFields count="1">
    <dataField name="Somme de Valeur stock" fld="6" baseField="0" baseItem="0"/>
  </dataFields>
  <formats count="4">
    <format dxfId="28">
      <pivotArea field="2" type="button" dataOnly="0" labelOnly="1" outline="0" axis="axisRow" fieldPosition="0"/>
    </format>
    <format dxfId="27">
      <pivotArea dataOnly="0" labelOnly="1" outline="0" axis="axisValues" fieldPosition="0"/>
    </format>
    <format dxfId="26">
      <pivotArea field="2" type="button" dataOnly="0" labelOnly="1" outline="0" axis="axisRow" fieldPosition="0"/>
    </format>
    <format dxfId="25">
      <pivotArea dataOnly="0" labelOnly="1" outline="0" axis="axisValues" fieldPosition="0"/>
    </format>
  </formats>
  <chartFormats count="1">
    <chartFormat chart="1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leau croisé dynamique10" cacheId="0" applyNumberFormats="0" applyBorderFormats="0" applyFontFormats="0" applyPatternFormats="0" applyAlignmentFormats="0" applyWidthHeightFormats="1" dataCaption="Valeurs" updatedVersion="5" minRefreshableVersion="5" useAutoFormatting="1" itemPrintTitles="1" createdVersion="5" indent="0" outline="1" outlineData="1" multipleFieldFilters="0" chartFormat="13">
  <location ref="BL3:BM18" firstHeaderRow="1" firstDataRow="1" firstDataCol="1"/>
  <pivotFields count="11">
    <pivotField axis="axisRow" numFmtId="1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/>
    <pivotField showAll="0"/>
    <pivotField numFmtId="164" showAll="0"/>
    <pivotField showAll="0"/>
    <pivotField numFmtId="164" showAll="0"/>
    <pivotField numFmtId="14" showAll="0"/>
    <pivotField showAll="0"/>
    <pivotField dataField="1" showAll="0"/>
    <pivotField axis="axisRow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2">
    <field x="10"/>
    <field x="0"/>
  </rowFields>
  <rowItems count="15">
    <i>
      <x v="1"/>
    </i>
    <i r="1">
      <x v="11"/>
    </i>
    <i r="1">
      <x v="13"/>
    </i>
    <i r="1">
      <x v="14"/>
    </i>
    <i r="1">
      <x v="15"/>
    </i>
    <i r="1">
      <x v="16"/>
    </i>
    <i r="1">
      <x v="19"/>
    </i>
    <i r="1">
      <x v="20"/>
    </i>
    <i r="1">
      <x v="24"/>
    </i>
    <i r="1">
      <x v="27"/>
    </i>
    <i r="1">
      <x v="28"/>
    </i>
    <i r="1">
      <x v="29"/>
    </i>
    <i r="1">
      <x v="30"/>
    </i>
    <i r="1">
      <x v="31"/>
    </i>
    <i t="grand">
      <x/>
    </i>
  </rowItems>
  <colItems count="1">
    <i/>
  </colItems>
  <dataFields count="1">
    <dataField name="Somme de depenses lie au ventes" fld="9" baseField="0" baseItem="0"/>
  </dataFields>
  <formats count="4">
    <format dxfId="32">
      <pivotArea field="10" type="button" dataOnly="0" labelOnly="1" outline="0" axis="axisRow" fieldPosition="0"/>
    </format>
    <format dxfId="31">
      <pivotArea dataOnly="0" labelOnly="1" outline="0" axis="axisValues" fieldPosition="0"/>
    </format>
    <format dxfId="30">
      <pivotArea grandRow="1" outline="0" collapsedLevelsAreSubtotals="1" fieldPosition="0"/>
    </format>
    <format dxfId="29">
      <pivotArea dataOnly="0" labelOnly="1" grandRow="1" outline="0" fieldPosition="0"/>
    </format>
  </formats>
  <chartFormats count="9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dateBetween" evalOrder="-1" id="163" name="Dates">
      <autoFilter ref="A1">
        <filterColumn colId="0">
          <customFilters and="1">
            <customFilter operator="greaterThanOrEqual" val="46023"/>
            <customFilter operator="lessThanOrEqual" val="46053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5" minRefreshableVersion="5" useAutoFormatting="1" itemPrintTitles="1" createdVersion="5" indent="0" outline="1" outlineData="1" multipleFieldFilters="0" chartFormat="4">
  <location ref="AX3:AY12" firstHeaderRow="1" firstDataRow="1" firstDataCol="1"/>
  <pivotFields count="11">
    <pivotField numFmtId="1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/>
    <pivotField showAll="0"/>
    <pivotField numFmtId="164" showAll="0"/>
    <pivotField showAll="0"/>
    <pivotField dataField="1" numFmtId="164" showAll="0"/>
    <pivotField numFmtId="14" showAll="0"/>
    <pivotField showAll="0"/>
    <pivotField showAll="0"/>
    <pivotField axis="axisRow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10"/>
  </rowFields>
  <rowItems count="9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Items count="1">
    <i/>
  </colItems>
  <dataFields count="1">
    <dataField name="Somme de Montant" fld="6" baseField="0" baseItem="0"/>
  </dataFields>
  <formats count="4">
    <format dxfId="36">
      <pivotArea field="10" type="button" dataOnly="0" labelOnly="1" outline="0" axis="axisRow" fieldPosition="0"/>
    </format>
    <format dxfId="35">
      <pivotArea dataOnly="0" labelOnly="1" outline="0" axis="axisValues" fieldPosition="0"/>
    </format>
    <format dxfId="34">
      <pivotArea grandRow="1" outline="0" collapsedLevelsAreSubtotals="1" fieldPosition="0"/>
    </format>
    <format dxfId="33">
      <pivotArea dataOnly="0" labelOnly="1" grandRow="1" outline="0" fieldPosition="0"/>
    </format>
  </formats>
  <chartFormats count="1"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dateBetween" evalOrder="-1" id="9" name="Dates">
      <autoFilter ref="A1">
        <filterColumn colId="0">
          <customFilters and="1">
            <customFilter operator="greaterThanOrEqual" val="46023"/>
            <customFilter operator="lessThanOrEqual" val="4638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Tableau croisé dynamique4" cacheId="1" applyNumberFormats="0" applyBorderFormats="0" applyFontFormats="0" applyPatternFormats="0" applyAlignmentFormats="0" applyWidthHeightFormats="1" dataCaption="Valeurs" updatedVersion="5" minRefreshableVersion="3" useAutoFormatting="1" rowGrandTotals="0" colGrandTotals="0" itemPrintTitles="1" createdVersion="5" indent="0" compact="0" compactData="0" multipleFieldFilters="0" chartFormat="9">
  <location ref="AN5:AP18" firstHeaderRow="1" firstDataRow="1" firstDataCol="2" rowPageCount="1" colPageCount="1"/>
  <pivotFields count="7">
    <pivotField axis="axisRow" compact="0" outline="0" showAll="0" defaultSubtotal="0">
      <items count="28">
        <item m="1" x="27"/>
        <item x="1"/>
        <item x="7"/>
        <item x="18"/>
        <item x="9"/>
        <item x="12"/>
        <item x="4"/>
        <item x="17"/>
        <item x="0"/>
        <item x="14"/>
        <item x="11"/>
        <item x="19"/>
        <item x="10"/>
        <item x="23"/>
        <item x="21"/>
        <item x="22"/>
        <item x="24"/>
        <item x="8"/>
        <item x="25"/>
        <item x="6"/>
        <item x="2"/>
        <item x="3"/>
        <item x="5"/>
        <item x="13"/>
        <item x="15"/>
        <item x="16"/>
        <item x="20"/>
        <item x="26"/>
      </items>
    </pivotField>
    <pivotField axis="axisRow" compact="0" outline="0" showAll="0" defaultSubtotal="0">
      <items count="5">
        <item m="1" x="4"/>
        <item x="0"/>
        <item x="1"/>
        <item x="2"/>
        <item x="3"/>
      </items>
    </pivotField>
    <pivotField dataField="1"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2">
        <item h="1" x="0"/>
        <item x="1"/>
      </items>
    </pivotField>
  </pivotFields>
  <rowFields count="2">
    <field x="0"/>
    <field x="1"/>
  </rowFields>
  <rowItems count="13">
    <i>
      <x v="2"/>
      <x v="2"/>
    </i>
    <i>
      <x v="3"/>
      <x v="2"/>
    </i>
    <i>
      <x v="5"/>
      <x v="1"/>
    </i>
    <i>
      <x v="6"/>
      <x v="1"/>
    </i>
    <i>
      <x v="10"/>
      <x v="2"/>
    </i>
    <i>
      <x v="11"/>
      <x v="1"/>
    </i>
    <i r="1">
      <x v="2"/>
    </i>
    <i>
      <x v="12"/>
      <x v="1"/>
    </i>
    <i>
      <x v="14"/>
      <x v="1"/>
    </i>
    <i>
      <x v="17"/>
      <x v="2"/>
    </i>
    <i>
      <x v="18"/>
      <x v="1"/>
    </i>
    <i>
      <x v="19"/>
      <x v="1"/>
    </i>
    <i>
      <x v="24"/>
      <x v="1"/>
    </i>
  </rowItems>
  <colItems count="1">
    <i/>
  </colItems>
  <pageFields count="1">
    <pageField fld="6" hier="-1"/>
  </pageFields>
  <dataFields count="1">
    <dataField name="Somme de Stock restant" fld="2" baseField="0" baseItem="0"/>
  </dataFields>
  <formats count="1">
    <format dxfId="37">
      <pivotArea dataOnly="0" labelOnly="1" outline="0" axis="axisValues" fieldPosition="0"/>
    </format>
  </formats>
  <chartFormats count="1">
    <chartFormat chart="6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Tableau croisé dynamique3" cacheId="0" applyNumberFormats="0" applyBorderFormats="0" applyFontFormats="0" applyPatternFormats="0" applyAlignmentFormats="0" applyWidthHeightFormats="1" dataCaption="Valeurs" updatedVersion="5" minRefreshableVersion="5" useAutoFormatting="1" rowGrandTotals="0" colGrandTotals="0" itemPrintTitles="1" createdVersion="5" indent="0" outline="1" outlineData="1" multipleFieldFilters="0" chartFormat="3">
  <location ref="BO3:BP8" firstHeaderRow="1" firstDataRow="1" firstDataCol="1"/>
  <pivotFields count="11">
    <pivotField numFmtId="14" showAll="0" defaultSubtotal="0">
      <items count="36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  <pivotField showAll="0" defaultSubtotal="0"/>
    <pivotField axis="axisRow" showAll="0" measureFilter="1" defaultSubtotal="0">
      <items count="26">
        <item x="12"/>
        <item x="1"/>
        <item x="18"/>
        <item x="4"/>
        <item x="22"/>
        <item x="9"/>
        <item x="21"/>
        <item x="11"/>
        <item x="23"/>
        <item x="17"/>
        <item x="8"/>
        <item x="10"/>
        <item x="6"/>
        <item x="7"/>
        <item x="5"/>
        <item x="3"/>
        <item x="19"/>
        <item x="16"/>
        <item x="0"/>
        <item x="25"/>
        <item x="15"/>
        <item x="14"/>
        <item x="13"/>
        <item x="20"/>
        <item x="2"/>
        <item x="24"/>
      </items>
    </pivotField>
    <pivotField showAll="0" defaultSubtotal="0"/>
    <pivotField numFmtId="164" showAll="0" defaultSubtotal="0"/>
    <pivotField dataField="1" showAll="0" defaultSubtotal="0"/>
    <pivotField numFmtId="164" showAll="0" defaultSubtotal="0"/>
    <pivotField numFmtId="14" showAll="0" defaultSubtotal="0"/>
    <pivotField showAll="0" defaultSubtotal="0"/>
    <pivotField showAll="0" defaultSubtotal="0"/>
    <pivotField showAll="0" defaultSubtotal="0"/>
  </pivotFields>
  <rowFields count="1">
    <field x="2"/>
  </rowFields>
  <rowItems count="5">
    <i>
      <x/>
    </i>
    <i>
      <x v="1"/>
    </i>
    <i>
      <x v="11"/>
    </i>
    <i>
      <x v="16"/>
    </i>
    <i>
      <x v="19"/>
    </i>
  </rowItems>
  <colItems count="1">
    <i/>
  </colItems>
  <dataFields count="1">
    <dataField name="Somme de Quantité" fld="5" baseField="0" baseItem="0"/>
  </dataFields>
  <formats count="2">
    <format dxfId="39">
      <pivotArea field="2" type="button" dataOnly="0" labelOnly="1" outline="0" axis="axisRow" fieldPosition="0"/>
    </format>
    <format dxfId="38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0" type="dateBetween" evalOrder="-1" id="174" name="Dates">
      <autoFilter ref="A1">
        <filterColumn colId="0">
          <customFilters and="1">
            <customFilter operator="greaterThanOrEqual" val="46023"/>
            <customFilter operator="lessThanOrEqual" val="46053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  <filter fld="2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Croisé_Stock_par_produits" cacheId="3" applyNumberFormats="0" applyBorderFormats="0" applyFontFormats="0" applyPatternFormats="0" applyAlignmentFormats="0" applyWidthHeightFormats="1" dataCaption="Valeurs" updatedVersion="5" minRefreshableVersion="3" useAutoFormatting="1" rowGrandTotals="0" colGrandTotals="0" itemPrintTitles="1" createdVersion="5" indent="0" outline="1" outlineData="1" multipleFieldFilters="0" chartFormat="9" rowHeaderCaption="Désignation">
  <location ref="BA3:BB29" firstHeaderRow="1" firstDataRow="1" firstDataCol="1"/>
  <pivotFields count="7">
    <pivotField numFmtId="14" showAll="0"/>
    <pivotField showAll="0"/>
    <pivotField axis="axisRow" showAll="0">
      <items count="55">
        <item x="16"/>
        <item x="4"/>
        <item x="21"/>
        <item x="7"/>
        <item x="24"/>
        <item m="1" x="26"/>
        <item x="9"/>
        <item x="20"/>
        <item x="14"/>
        <item m="1" x="45"/>
        <item x="13"/>
        <item m="1" x="42"/>
        <item m="1" x="51"/>
        <item m="1" x="35"/>
        <item m="1" x="46"/>
        <item x="1"/>
        <item m="1" x="32"/>
        <item m="1" x="33"/>
        <item x="15"/>
        <item x="10"/>
        <item x="11"/>
        <item m="1" x="50"/>
        <item m="1" x="30"/>
        <item x="8"/>
        <item m="1" x="39"/>
        <item m="1" x="34"/>
        <item m="1" x="40"/>
        <item m="1" x="36"/>
        <item m="1" x="48"/>
        <item m="1" x="53"/>
        <item m="1" x="44"/>
        <item m="1" x="38"/>
        <item m="1" x="29"/>
        <item m="1" x="41"/>
        <item x="22"/>
        <item x="19"/>
        <item x="0"/>
        <item m="1" x="49"/>
        <item m="1" x="52"/>
        <item x="2"/>
        <item x="12"/>
        <item m="1" x="47"/>
        <item m="1" x="37"/>
        <item m="1" x="28"/>
        <item x="3"/>
        <item x="17"/>
        <item m="1" x="31"/>
        <item x="18"/>
        <item x="5"/>
        <item x="25"/>
        <item m="1" x="27"/>
        <item m="1" x="43"/>
        <item x="6"/>
        <item x="23"/>
        <item t="default"/>
      </items>
    </pivotField>
    <pivotField showAll="0"/>
    <pivotField showAll="0"/>
    <pivotField dataField="1" showAll="0"/>
    <pivotField showAll="0" defaultSubtotal="0"/>
  </pivotFields>
  <rowFields count="1">
    <field x="2"/>
  </rowFields>
  <rowItems count="26">
    <i>
      <x/>
    </i>
    <i>
      <x v="1"/>
    </i>
    <i>
      <x v="2"/>
    </i>
    <i>
      <x v="3"/>
    </i>
    <i>
      <x v="4"/>
    </i>
    <i>
      <x v="6"/>
    </i>
    <i>
      <x v="7"/>
    </i>
    <i>
      <x v="8"/>
    </i>
    <i>
      <x v="10"/>
    </i>
    <i>
      <x v="15"/>
    </i>
    <i>
      <x v="18"/>
    </i>
    <i>
      <x v="19"/>
    </i>
    <i>
      <x v="20"/>
    </i>
    <i>
      <x v="23"/>
    </i>
    <i>
      <x v="34"/>
    </i>
    <i>
      <x v="35"/>
    </i>
    <i>
      <x v="36"/>
    </i>
    <i>
      <x v="39"/>
    </i>
    <i>
      <x v="40"/>
    </i>
    <i>
      <x v="44"/>
    </i>
    <i>
      <x v="45"/>
    </i>
    <i>
      <x v="47"/>
    </i>
    <i>
      <x v="48"/>
    </i>
    <i>
      <x v="49"/>
    </i>
    <i>
      <x v="52"/>
    </i>
    <i>
      <x v="53"/>
    </i>
  </rowItems>
  <colItems count="1">
    <i/>
  </colItems>
  <dataFields count="1">
    <dataField name="Quantité restants" fld="5" baseField="2" baseItem="0"/>
  </dataFields>
  <formats count="14">
    <format dxfId="53">
      <pivotArea type="all" dataOnly="0" outline="0" fieldPosition="0"/>
    </format>
    <format dxfId="52">
      <pivotArea outline="0" collapsedLevelsAreSubtotals="1" fieldPosition="0"/>
    </format>
    <format dxfId="51">
      <pivotArea field="2" type="button" dataOnly="0" labelOnly="1" outline="0" axis="axisRow" fieldPosition="0"/>
    </format>
    <format dxfId="50">
      <pivotArea dataOnly="0" labelOnly="1" outline="0" axis="axisValues" fieldPosition="0"/>
    </format>
    <format dxfId="49">
      <pivotArea dataOnly="0" labelOnly="1" fieldPosition="0">
        <references count="1">
          <reference field="2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48">
      <pivotArea dataOnly="0" labelOnly="1" fieldPosition="0">
        <references count="1">
          <reference field="2" count="1">
            <x v="51"/>
          </reference>
        </references>
      </pivotArea>
    </format>
    <format dxfId="47">
      <pivotArea type="all" dataOnly="0" outline="0" fieldPosition="0"/>
    </format>
    <format dxfId="46">
      <pivotArea outline="0" collapsedLevelsAreSubtotals="1" fieldPosition="0"/>
    </format>
    <format dxfId="45">
      <pivotArea field="2" type="button" dataOnly="0" labelOnly="1" outline="0" axis="axisRow" fieldPosition="0"/>
    </format>
    <format dxfId="44">
      <pivotArea dataOnly="0" labelOnly="1" outline="0" axis="axisValues" fieldPosition="0"/>
    </format>
    <format dxfId="43">
      <pivotArea dataOnly="0" labelOnly="1" fieldPosition="0">
        <references count="1">
          <reference field="2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42">
      <pivotArea dataOnly="0" labelOnly="1" fieldPosition="0">
        <references count="1">
          <reference field="2" count="1">
            <x v="51"/>
          </reference>
        </references>
      </pivotArea>
    </format>
    <format dxfId="41">
      <pivotArea field="2" type="button" dataOnly="0" labelOnly="1" outline="0" axis="axisRow" fieldPosition="0"/>
    </format>
    <format dxfId="40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7.xml><?xml version="1.0" encoding="utf-8"?>
<pivotTableDefinition xmlns="http://schemas.openxmlformats.org/spreadsheetml/2006/main" name="Croisé_Stock_par_lot" cacheId="3" applyNumberFormats="0" applyBorderFormats="0" applyFontFormats="0" applyPatternFormats="0" applyAlignmentFormats="0" applyWidthHeightFormats="1" dataCaption="Valeurs" updatedVersion="5" minRefreshableVersion="3" useAutoFormatting="1" rowGrandTotals="0" colGrandTotals="0" itemPrintTitles="1" createdVersion="5" indent="0" compact="0" compactData="0" multipleFieldFilters="0" chartFormat="1">
  <location ref="Q3:T56" firstHeaderRow="1" firstDataRow="1" firstDataCol="3"/>
  <pivotFields count="7">
    <pivotField compact="0" numFmtId="1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4">
        <item x="16"/>
        <item x="4"/>
        <item x="21"/>
        <item x="7"/>
        <item x="24"/>
        <item m="1" x="26"/>
        <item x="9"/>
        <item x="20"/>
        <item x="14"/>
        <item m="1" x="45"/>
        <item x="13"/>
        <item m="1" x="42"/>
        <item m="1" x="51"/>
        <item m="1" x="35"/>
        <item m="1" x="46"/>
        <item x="1"/>
        <item m="1" x="32"/>
        <item m="1" x="33"/>
        <item x="15"/>
        <item x="10"/>
        <item x="11"/>
        <item m="1" x="50"/>
        <item m="1" x="30"/>
        <item x="8"/>
        <item m="1" x="39"/>
        <item m="1" x="34"/>
        <item m="1" x="40"/>
        <item m="1" x="36"/>
        <item m="1" x="48"/>
        <item m="1" x="53"/>
        <item m="1" x="44"/>
        <item m="1" x="38"/>
        <item m="1" x="29"/>
        <item m="1" x="41"/>
        <item x="22"/>
        <item x="19"/>
        <item x="0"/>
        <item m="1" x="49"/>
        <item m="1" x="52"/>
        <item x="2"/>
        <item x="12"/>
        <item m="1" x="47"/>
        <item m="1" x="37"/>
        <item m="1" x="28"/>
        <item x="3"/>
        <item x="17"/>
        <item m="1" x="31"/>
        <item x="18"/>
        <item x="5"/>
        <item x="25"/>
        <item m="1" x="27"/>
        <item m="1" x="43"/>
        <item x="6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0">
        <item m="1" x="7"/>
        <item m="1" x="6"/>
        <item m="1" x="5"/>
        <item x="1"/>
        <item x="2"/>
        <item x="0"/>
        <item m="1" x="9"/>
        <item m="1" x="3"/>
        <item m="1" x="8"/>
        <item m="1"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2">
        <item m="1" x="20"/>
        <item m="1" x="18"/>
        <item m="1" x="17"/>
        <item m="1" x="21"/>
        <item x="4"/>
        <item m="1" x="15"/>
        <item m="1" x="14"/>
        <item m="1" x="19"/>
        <item m="1" x="16"/>
        <item x="3"/>
        <item x="11"/>
        <item x="5"/>
        <item x="6"/>
        <item x="12"/>
        <item x="2"/>
        <item x="0"/>
        <item x="7"/>
        <item x="13"/>
        <item x="9"/>
        <item x="10"/>
        <item x="8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2"/>
    <field x="3"/>
    <field x="6"/>
  </rowFields>
  <rowItems count="53">
    <i>
      <x/>
      <x v="4"/>
      <x v="4"/>
    </i>
    <i r="1">
      <x v="5"/>
      <x v="13"/>
    </i>
    <i>
      <x v="1"/>
      <x v="4"/>
      <x v="9"/>
    </i>
    <i r="1">
      <x v="5"/>
      <x v="14"/>
    </i>
    <i>
      <x v="2"/>
      <x v="4"/>
      <x v="9"/>
    </i>
    <i>
      <x v="3"/>
      <x v="4"/>
      <x v="12"/>
    </i>
    <i r="1">
      <x v="5"/>
      <x v="16"/>
    </i>
    <i>
      <x v="4"/>
      <x v="4"/>
      <x v="10"/>
    </i>
    <i r="1">
      <x v="5"/>
      <x v="15"/>
    </i>
    <i>
      <x v="6"/>
      <x v="4"/>
      <x v="4"/>
    </i>
    <i r="1">
      <x v="5"/>
      <x v="20"/>
    </i>
    <i>
      <x v="7"/>
      <x v="4"/>
      <x v="10"/>
    </i>
    <i r="1">
      <x v="5"/>
      <x v="15"/>
    </i>
    <i>
      <x v="8"/>
      <x v="4"/>
      <x v="12"/>
    </i>
    <i r="1">
      <x v="5"/>
      <x v="10"/>
    </i>
    <i>
      <x v="10"/>
      <x v="4"/>
      <x v="4"/>
    </i>
    <i r="1">
      <x v="5"/>
      <x v="10"/>
    </i>
    <i>
      <x v="15"/>
      <x v="3"/>
      <x v="21"/>
    </i>
    <i r="1">
      <x v="4"/>
      <x v="4"/>
    </i>
    <i r="1">
      <x v="5"/>
      <x v="18"/>
    </i>
    <i>
      <x v="18"/>
      <x v="4"/>
      <x v="11"/>
    </i>
    <i r="1">
      <x v="5"/>
      <x v="13"/>
    </i>
    <i>
      <x v="19"/>
      <x v="4"/>
      <x v="9"/>
    </i>
    <i r="1">
      <x v="5"/>
      <x v="10"/>
    </i>
    <i>
      <x v="20"/>
      <x v="4"/>
      <x v="11"/>
    </i>
    <i r="1">
      <x v="5"/>
      <x v="15"/>
    </i>
    <i>
      <x v="23"/>
      <x v="4"/>
      <x v="11"/>
    </i>
    <i r="1">
      <x v="5"/>
      <x v="15"/>
    </i>
    <i>
      <x v="34"/>
      <x v="4"/>
      <x v="12"/>
    </i>
    <i r="1">
      <x v="5"/>
      <x v="14"/>
    </i>
    <i>
      <x v="35"/>
      <x v="4"/>
      <x v="10"/>
    </i>
    <i r="1">
      <x v="5"/>
      <x v="15"/>
    </i>
    <i>
      <x v="36"/>
      <x v="3"/>
      <x v="14"/>
    </i>
    <i r="1">
      <x v="4"/>
      <x v="9"/>
    </i>
    <i r="1">
      <x v="5"/>
      <x v="15"/>
    </i>
    <i>
      <x v="39"/>
      <x v="3"/>
      <x v="21"/>
    </i>
    <i r="1">
      <x v="4"/>
      <x v="9"/>
    </i>
    <i r="1">
      <x v="5"/>
      <x v="13"/>
    </i>
    <i>
      <x v="40"/>
      <x v="4"/>
      <x v="9"/>
    </i>
    <i r="1">
      <x v="5"/>
      <x v="19"/>
    </i>
    <i>
      <x v="44"/>
      <x v="3"/>
      <x v="21"/>
    </i>
    <i r="1">
      <x v="4"/>
      <x v="10"/>
    </i>
    <i r="1">
      <x v="5"/>
      <x v="10"/>
    </i>
    <i>
      <x v="45"/>
      <x v="4"/>
      <x v="4"/>
    </i>
    <i>
      <x v="47"/>
      <x v="4"/>
      <x v="10"/>
    </i>
    <i r="1">
      <x v="5"/>
      <x v="4"/>
    </i>
    <i>
      <x v="48"/>
      <x v="4"/>
      <x v="11"/>
    </i>
    <i r="1">
      <x v="5"/>
      <x v="4"/>
    </i>
    <i>
      <x v="49"/>
      <x v="4"/>
      <x v="4"/>
    </i>
    <i>
      <x v="52"/>
      <x v="4"/>
      <x v="12"/>
    </i>
    <i r="1">
      <x v="5"/>
      <x v="15"/>
    </i>
    <i>
      <x v="53"/>
      <x v="4"/>
      <x v="11"/>
    </i>
    <i r="1">
      <x v="5"/>
      <x v="17"/>
    </i>
  </rowItems>
  <colItems count="1">
    <i/>
  </colItems>
  <dataFields count="1">
    <dataField name="Stock restants" fld="5" baseField="0" baseItem="0"/>
  </dataFields>
  <formats count="139">
    <format dxfId="192">
      <pivotArea type="all" dataOnly="0" outline="0" fieldPosition="0"/>
    </format>
    <format dxfId="191">
      <pivotArea outline="0" collapsedLevelsAreSubtotals="1" fieldPosition="0"/>
    </format>
    <format dxfId="190">
      <pivotArea dataOnly="0" labelOnly="1" outline="0" axis="axisValues" fieldPosition="0"/>
    </format>
    <format dxfId="189">
      <pivotArea dataOnly="0" labelOnly="1" outline="0" fieldPosition="0">
        <references count="1">
          <reference field="2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188">
      <pivotArea dataOnly="0" labelOnly="1" outline="0" fieldPosition="0">
        <references count="1">
          <reference field="2" count="1">
            <x v="51"/>
          </reference>
        </references>
      </pivotArea>
    </format>
    <format dxfId="187">
      <pivotArea dataOnly="0" labelOnly="1" outline="0" fieldPosition="0">
        <references count="2">
          <reference field="2" count="1" selected="0">
            <x v="0"/>
          </reference>
          <reference field="3" count="2">
            <x v="4"/>
            <x v="5"/>
          </reference>
        </references>
      </pivotArea>
    </format>
    <format dxfId="186">
      <pivotArea dataOnly="0" labelOnly="1" outline="0" fieldPosition="0">
        <references count="2">
          <reference field="2" count="1" selected="0">
            <x v="3"/>
          </reference>
          <reference field="3" count="1">
            <x v="4"/>
          </reference>
        </references>
      </pivotArea>
    </format>
    <format dxfId="185">
      <pivotArea dataOnly="0" labelOnly="1" outline="0" fieldPosition="0">
        <references count="2">
          <reference field="2" count="1" selected="0">
            <x v="16"/>
          </reference>
          <reference field="3" count="0"/>
        </references>
      </pivotArea>
    </format>
    <format dxfId="184">
      <pivotArea dataOnly="0" labelOnly="1" outline="0" fieldPosition="0">
        <references count="2">
          <reference field="2" count="1" selected="0">
            <x v="17"/>
          </reference>
          <reference field="3" count="2">
            <x v="4"/>
            <x v="5"/>
          </reference>
        </references>
      </pivotArea>
    </format>
    <format dxfId="183">
      <pivotArea dataOnly="0" labelOnly="1" outline="0" fieldPosition="0">
        <references count="2">
          <reference field="2" count="1" selected="0">
            <x v="48"/>
          </reference>
          <reference field="3" count="2">
            <x v="4"/>
            <x v="5"/>
          </reference>
        </references>
      </pivotArea>
    </format>
    <format dxfId="182">
      <pivotArea dataOnly="0" labelOnly="1" outline="0" fieldPosition="0">
        <references count="2">
          <reference field="2" count="1" selected="0">
            <x v="49"/>
          </reference>
          <reference field="3" count="2">
            <x v="4"/>
            <x v="5"/>
          </reference>
        </references>
      </pivotArea>
    </format>
    <format dxfId="181">
      <pivotArea dataOnly="0" labelOnly="1" outline="0" fieldPosition="0">
        <references count="3">
          <reference field="2" count="1" selected="0">
            <x v="0"/>
          </reference>
          <reference field="3" count="1" selected="0">
            <x v="4"/>
          </reference>
          <reference field="6" count="1">
            <x v="2"/>
          </reference>
        </references>
      </pivotArea>
    </format>
    <format dxfId="180">
      <pivotArea dataOnly="0" labelOnly="1" outline="0" fieldPosition="0">
        <references count="3">
          <reference field="2" count="1" selected="0">
            <x v="1"/>
          </reference>
          <reference field="3" count="1" selected="0">
            <x v="4"/>
          </reference>
          <reference field="6" count="1">
            <x v="1"/>
          </reference>
        </references>
      </pivotArea>
    </format>
    <format dxfId="179">
      <pivotArea dataOnly="0" labelOnly="1" outline="0" fieldPosition="0">
        <references count="3">
          <reference field="2" count="1" selected="0">
            <x v="2"/>
          </reference>
          <reference field="3" count="1" selected="0">
            <x v="4"/>
          </reference>
          <reference field="6" count="1">
            <x v="0"/>
          </reference>
        </references>
      </pivotArea>
    </format>
    <format dxfId="178">
      <pivotArea dataOnly="0" labelOnly="1" outline="0" fieldPosition="0">
        <references count="3">
          <reference field="2" count="1" selected="0">
            <x v="2"/>
          </reference>
          <reference field="3" count="1" selected="0">
            <x v="5"/>
          </reference>
          <reference field="6" count="1">
            <x v="4"/>
          </reference>
        </references>
      </pivotArea>
    </format>
    <format dxfId="177">
      <pivotArea dataOnly="0" labelOnly="1" outline="0" fieldPosition="0">
        <references count="3">
          <reference field="2" count="1" selected="0">
            <x v="3"/>
          </reference>
          <reference field="3" count="1" selected="0">
            <x v="4"/>
          </reference>
          <reference field="6" count="1">
            <x v="2"/>
          </reference>
        </references>
      </pivotArea>
    </format>
    <format dxfId="176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4"/>
          </reference>
          <reference field="6" count="1">
            <x v="5"/>
          </reference>
        </references>
      </pivotArea>
    </format>
    <format dxfId="175">
      <pivotArea dataOnly="0" labelOnly="1" outline="0" fieldPosition="0">
        <references count="3">
          <reference field="2" count="1" selected="0">
            <x v="5"/>
          </reference>
          <reference field="3" count="1" selected="0">
            <x v="4"/>
          </reference>
          <reference field="6" count="1">
            <x v="2"/>
          </reference>
        </references>
      </pivotArea>
    </format>
    <format dxfId="174">
      <pivotArea dataOnly="0" labelOnly="1" outline="0" fieldPosition="0">
        <references count="3">
          <reference field="2" count="1" selected="0">
            <x v="6"/>
          </reference>
          <reference field="3" count="1" selected="0">
            <x v="4"/>
          </reference>
          <reference field="6" count="1">
            <x v="2"/>
          </reference>
        </references>
      </pivotArea>
    </format>
    <format dxfId="173">
      <pivotArea dataOnly="0" labelOnly="1" outline="0" fieldPosition="0">
        <references count="3">
          <reference field="2" count="1" selected="0">
            <x v="7"/>
          </reference>
          <reference field="3" count="1" selected="0">
            <x v="4"/>
          </reference>
          <reference field="6" count="1">
            <x v="2"/>
          </reference>
        </references>
      </pivotArea>
    </format>
    <format dxfId="172">
      <pivotArea dataOnly="0" labelOnly="1" outline="0" fieldPosition="0">
        <references count="3">
          <reference field="2" count="1" selected="0">
            <x v="8"/>
          </reference>
          <reference field="3" count="1" selected="0">
            <x v="4"/>
          </reference>
          <reference field="6" count="1">
            <x v="2"/>
          </reference>
        </references>
      </pivotArea>
    </format>
    <format dxfId="171">
      <pivotArea dataOnly="0" labelOnly="1" outline="0" fieldPosition="0">
        <references count="3">
          <reference field="2" count="1" selected="0">
            <x v="9"/>
          </reference>
          <reference field="3" count="1" selected="0">
            <x v="4"/>
          </reference>
          <reference field="6" count="1">
            <x v="2"/>
          </reference>
        </references>
      </pivotArea>
    </format>
    <format dxfId="170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4"/>
          </reference>
          <reference field="6" count="1">
            <x v="2"/>
          </reference>
        </references>
      </pivotArea>
    </format>
    <format dxfId="169">
      <pivotArea dataOnly="0" labelOnly="1" outline="0" fieldPosition="0">
        <references count="3">
          <reference field="2" count="1" selected="0">
            <x v="11"/>
          </reference>
          <reference field="3" count="1" selected="0">
            <x v="4"/>
          </reference>
          <reference field="6" count="1">
            <x v="2"/>
          </reference>
        </references>
      </pivotArea>
    </format>
    <format dxfId="168">
      <pivotArea dataOnly="0" labelOnly="1" outline="0" fieldPosition="0">
        <references count="3">
          <reference field="2" count="1" selected="0">
            <x v="12"/>
          </reference>
          <reference field="3" count="1" selected="0">
            <x v="4"/>
          </reference>
          <reference field="6" count="1">
            <x v="2"/>
          </reference>
        </references>
      </pivotArea>
    </format>
    <format dxfId="167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4"/>
          </reference>
          <reference field="6" count="1">
            <x v="2"/>
          </reference>
        </references>
      </pivotArea>
    </format>
    <format dxfId="166">
      <pivotArea dataOnly="0" labelOnly="1" outline="0" fieldPosition="0">
        <references count="3">
          <reference field="2" count="1" selected="0">
            <x v="14"/>
          </reference>
          <reference field="3" count="1" selected="0">
            <x v="4"/>
          </reference>
          <reference field="6" count="1">
            <x v="2"/>
          </reference>
        </references>
      </pivotArea>
    </format>
    <format dxfId="165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4"/>
          </reference>
          <reference field="6" count="1">
            <x v="2"/>
          </reference>
        </references>
      </pivotArea>
    </format>
    <format dxfId="164">
      <pivotArea dataOnly="0" labelOnly="1" outline="0" fieldPosition="0">
        <references count="3">
          <reference field="2" count="1" selected="0">
            <x v="16"/>
          </reference>
          <reference field="3" count="1" selected="0">
            <x v="3"/>
          </reference>
          <reference field="6" count="1">
            <x v="4"/>
          </reference>
        </references>
      </pivotArea>
    </format>
    <format dxfId="163">
      <pivotArea dataOnly="0" labelOnly="1" outline="0" fieldPosition="0">
        <references count="3">
          <reference field="2" count="1" selected="0">
            <x v="16"/>
          </reference>
          <reference field="3" count="1" selected="0">
            <x v="4"/>
          </reference>
          <reference field="6" count="1">
            <x v="0"/>
          </reference>
        </references>
      </pivotArea>
    </format>
    <format dxfId="162">
      <pivotArea dataOnly="0" labelOnly="1" outline="0" fieldPosition="0">
        <references count="3">
          <reference field="2" count="1" selected="0">
            <x v="16"/>
          </reference>
          <reference field="3" count="1" selected="0">
            <x v="5"/>
          </reference>
          <reference field="6" count="1">
            <x v="4"/>
          </reference>
        </references>
      </pivotArea>
    </format>
    <format dxfId="161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4"/>
          </reference>
          <reference field="6" count="1">
            <x v="1"/>
          </reference>
        </references>
      </pivotArea>
    </format>
    <format dxfId="160">
      <pivotArea dataOnly="0" labelOnly="1" outline="0" fieldPosition="0">
        <references count="3">
          <reference field="2" count="1" selected="0">
            <x v="18"/>
          </reference>
          <reference field="3" count="1" selected="0">
            <x v="4"/>
          </reference>
          <reference field="6" count="1">
            <x v="2"/>
          </reference>
        </references>
      </pivotArea>
    </format>
    <format dxfId="159">
      <pivotArea dataOnly="0" labelOnly="1" outline="0" fieldPosition="0">
        <references count="3">
          <reference field="2" count="1" selected="0">
            <x v="19"/>
          </reference>
          <reference field="3" count="1" selected="0">
            <x v="4"/>
          </reference>
          <reference field="6" count="1">
            <x v="2"/>
          </reference>
        </references>
      </pivotArea>
    </format>
    <format dxfId="158">
      <pivotArea dataOnly="0" labelOnly="1" outline="0" fieldPosition="0">
        <references count="3">
          <reference field="2" count="1" selected="0">
            <x v="20"/>
          </reference>
          <reference field="3" count="1" selected="0">
            <x v="4"/>
          </reference>
          <reference field="6" count="1">
            <x v="1"/>
          </reference>
        </references>
      </pivotArea>
    </format>
    <format dxfId="157">
      <pivotArea dataOnly="0" labelOnly="1" outline="0" fieldPosition="0">
        <references count="3">
          <reference field="2" count="1" selected="0">
            <x v="21"/>
          </reference>
          <reference field="3" count="1" selected="0">
            <x v="4"/>
          </reference>
          <reference field="6" count="1">
            <x v="2"/>
          </reference>
        </references>
      </pivotArea>
    </format>
    <format dxfId="156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4"/>
          </reference>
          <reference field="6" count="1">
            <x v="2"/>
          </reference>
        </references>
      </pivotArea>
    </format>
    <format dxfId="155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4"/>
          </reference>
          <reference field="6" count="1">
            <x v="2"/>
          </reference>
        </references>
      </pivotArea>
    </format>
    <format dxfId="154">
      <pivotArea dataOnly="0" labelOnly="1" outline="0" fieldPosition="0">
        <references count="3">
          <reference field="2" count="1" selected="0">
            <x v="24"/>
          </reference>
          <reference field="3" count="1" selected="0">
            <x v="4"/>
          </reference>
          <reference field="6" count="1">
            <x v="2"/>
          </reference>
        </references>
      </pivotArea>
    </format>
    <format dxfId="153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4"/>
          </reference>
          <reference field="6" count="1">
            <x v="2"/>
          </reference>
        </references>
      </pivotArea>
    </format>
    <format dxfId="152">
      <pivotArea dataOnly="0" labelOnly="1" outline="0" fieldPosition="0">
        <references count="3">
          <reference field="2" count="1" selected="0">
            <x v="26"/>
          </reference>
          <reference field="3" count="1" selected="0">
            <x v="4"/>
          </reference>
          <reference field="6" count="1">
            <x v="2"/>
          </reference>
        </references>
      </pivotArea>
    </format>
    <format dxfId="151">
      <pivotArea dataOnly="0" labelOnly="1" outline="0" fieldPosition="0">
        <references count="3">
          <reference field="2" count="1" selected="0">
            <x v="27"/>
          </reference>
          <reference field="3" count="1" selected="0">
            <x v="4"/>
          </reference>
          <reference field="6" count="1">
            <x v="2"/>
          </reference>
        </references>
      </pivotArea>
    </format>
    <format dxfId="150">
      <pivotArea dataOnly="0" labelOnly="1" outline="0" fieldPosition="0">
        <references count="3">
          <reference field="2" count="1" selected="0">
            <x v="28"/>
          </reference>
          <reference field="3" count="1" selected="0">
            <x v="4"/>
          </reference>
          <reference field="6" count="1">
            <x v="2"/>
          </reference>
        </references>
      </pivotArea>
    </format>
    <format dxfId="149">
      <pivotArea dataOnly="0" labelOnly="1" outline="0" fieldPosition="0">
        <references count="3">
          <reference field="2" count="1" selected="0">
            <x v="29"/>
          </reference>
          <reference field="3" count="1" selected="0">
            <x v="4"/>
          </reference>
          <reference field="6" count="1">
            <x v="2"/>
          </reference>
        </references>
      </pivotArea>
    </format>
    <format dxfId="148">
      <pivotArea dataOnly="0" labelOnly="1" outline="0" fieldPosition="0">
        <references count="3">
          <reference field="2" count="1" selected="0">
            <x v="30"/>
          </reference>
          <reference field="3" count="1" selected="0">
            <x v="4"/>
          </reference>
          <reference field="6" count="1">
            <x v="1"/>
          </reference>
        </references>
      </pivotArea>
    </format>
    <format dxfId="147">
      <pivotArea dataOnly="0" labelOnly="1" outline="0" fieldPosition="0">
        <references count="3">
          <reference field="2" count="1" selected="0">
            <x v="31"/>
          </reference>
          <reference field="3" count="1" selected="0">
            <x v="4"/>
          </reference>
          <reference field="6" count="1">
            <x v="2"/>
          </reference>
        </references>
      </pivotArea>
    </format>
    <format dxfId="146">
      <pivotArea dataOnly="0" labelOnly="1" outline="0" fieldPosition="0">
        <references count="3">
          <reference field="2" count="1" selected="0">
            <x v="32"/>
          </reference>
          <reference field="3" count="1" selected="0">
            <x v="4"/>
          </reference>
          <reference field="6" count="1">
            <x v="1"/>
          </reference>
        </references>
      </pivotArea>
    </format>
    <format dxfId="145">
      <pivotArea dataOnly="0" labelOnly="1" outline="0" fieldPosition="0">
        <references count="3">
          <reference field="2" count="1" selected="0">
            <x v="33"/>
          </reference>
          <reference field="3" count="1" selected="0">
            <x v="4"/>
          </reference>
          <reference field="6" count="1">
            <x v="2"/>
          </reference>
        </references>
      </pivotArea>
    </format>
    <format dxfId="144">
      <pivotArea dataOnly="0" labelOnly="1" outline="0" fieldPosition="0">
        <references count="3">
          <reference field="2" count="1" selected="0">
            <x v="34"/>
          </reference>
          <reference field="3" count="1" selected="0">
            <x v="4"/>
          </reference>
          <reference field="6" count="1">
            <x v="2"/>
          </reference>
        </references>
      </pivotArea>
    </format>
    <format dxfId="143">
      <pivotArea dataOnly="0" labelOnly="1" outline="0" fieldPosition="0">
        <references count="3">
          <reference field="2" count="1" selected="0">
            <x v="35"/>
          </reference>
          <reference field="3" count="1" selected="0">
            <x v="4"/>
          </reference>
          <reference field="6" count="1">
            <x v="2"/>
          </reference>
        </references>
      </pivotArea>
    </format>
    <format dxfId="142">
      <pivotArea dataOnly="0" labelOnly="1" outline="0" fieldPosition="0">
        <references count="3">
          <reference field="2" count="1" selected="0">
            <x v="36"/>
          </reference>
          <reference field="3" count="1" selected="0">
            <x v="4"/>
          </reference>
          <reference field="6" count="1">
            <x v="2"/>
          </reference>
        </references>
      </pivotArea>
    </format>
    <format dxfId="141">
      <pivotArea dataOnly="0" labelOnly="1" outline="0" fieldPosition="0">
        <references count="3">
          <reference field="2" count="1" selected="0">
            <x v="37"/>
          </reference>
          <reference field="3" count="1" selected="0">
            <x v="4"/>
          </reference>
          <reference field="6" count="1">
            <x v="2"/>
          </reference>
        </references>
      </pivotArea>
    </format>
    <format dxfId="140">
      <pivotArea dataOnly="0" labelOnly="1" outline="0" fieldPosition="0">
        <references count="3">
          <reference field="2" count="1" selected="0">
            <x v="38"/>
          </reference>
          <reference field="3" count="1" selected="0">
            <x v="4"/>
          </reference>
          <reference field="6" count="1">
            <x v="2"/>
          </reference>
        </references>
      </pivotArea>
    </format>
    <format dxfId="139">
      <pivotArea dataOnly="0" labelOnly="1" outline="0" fieldPosition="0">
        <references count="3">
          <reference field="2" count="1" selected="0">
            <x v="39"/>
          </reference>
          <reference field="3" count="1" selected="0">
            <x v="4"/>
          </reference>
          <reference field="6" count="1">
            <x v="2"/>
          </reference>
        </references>
      </pivotArea>
    </format>
    <format dxfId="138">
      <pivotArea dataOnly="0" labelOnly="1" outline="0" fieldPosition="0">
        <references count="3">
          <reference field="2" count="1" selected="0">
            <x v="40"/>
          </reference>
          <reference field="3" count="1" selected="0">
            <x v="4"/>
          </reference>
          <reference field="6" count="1">
            <x v="2"/>
          </reference>
        </references>
      </pivotArea>
    </format>
    <format dxfId="137">
      <pivotArea dataOnly="0" labelOnly="1" outline="0" fieldPosition="0">
        <references count="3">
          <reference field="2" count="1" selected="0">
            <x v="41"/>
          </reference>
          <reference field="3" count="1" selected="0">
            <x v="4"/>
          </reference>
          <reference field="6" count="1">
            <x v="2"/>
          </reference>
        </references>
      </pivotArea>
    </format>
    <format dxfId="136">
      <pivotArea dataOnly="0" labelOnly="1" outline="0" fieldPosition="0">
        <references count="3">
          <reference field="2" count="1" selected="0">
            <x v="42"/>
          </reference>
          <reference field="3" count="1" selected="0">
            <x v="4"/>
          </reference>
          <reference field="6" count="1">
            <x v="2"/>
          </reference>
        </references>
      </pivotArea>
    </format>
    <format dxfId="135">
      <pivotArea dataOnly="0" labelOnly="1" outline="0" fieldPosition="0">
        <references count="3">
          <reference field="2" count="1" selected="0">
            <x v="43"/>
          </reference>
          <reference field="3" count="1" selected="0">
            <x v="4"/>
          </reference>
          <reference field="6" count="1">
            <x v="2"/>
          </reference>
        </references>
      </pivotArea>
    </format>
    <format dxfId="134">
      <pivotArea dataOnly="0" labelOnly="1" outline="0" fieldPosition="0">
        <references count="3">
          <reference field="2" count="1" selected="0">
            <x v="44"/>
          </reference>
          <reference field="3" count="1" selected="0">
            <x v="4"/>
          </reference>
          <reference field="6" count="1">
            <x v="2"/>
          </reference>
        </references>
      </pivotArea>
    </format>
    <format dxfId="133">
      <pivotArea dataOnly="0" labelOnly="1" outline="0" fieldPosition="0">
        <references count="3">
          <reference field="2" count="1" selected="0">
            <x v="45"/>
          </reference>
          <reference field="3" count="1" selected="0">
            <x v="4"/>
          </reference>
          <reference field="6" count="1">
            <x v="2"/>
          </reference>
        </references>
      </pivotArea>
    </format>
    <format dxfId="132">
      <pivotArea dataOnly="0" labelOnly="1" outline="0" fieldPosition="0">
        <references count="3">
          <reference field="2" count="1" selected="0">
            <x v="46"/>
          </reference>
          <reference field="3" count="1" selected="0">
            <x v="4"/>
          </reference>
          <reference field="6" count="1">
            <x v="0"/>
          </reference>
        </references>
      </pivotArea>
    </format>
    <format dxfId="131">
      <pivotArea dataOnly="0" labelOnly="1" outline="0" fieldPosition="0">
        <references count="3">
          <reference field="2" count="1" selected="0">
            <x v="47"/>
          </reference>
          <reference field="3" count="1" selected="0">
            <x v="4"/>
          </reference>
          <reference field="6" count="1">
            <x v="2"/>
          </reference>
        </references>
      </pivotArea>
    </format>
    <format dxfId="130">
      <pivotArea dataOnly="0" labelOnly="1" outline="0" fieldPosition="0">
        <references count="3">
          <reference field="2" count="1" selected="0">
            <x v="47"/>
          </reference>
          <reference field="3" count="1" selected="0">
            <x v="5"/>
          </reference>
          <reference field="6" count="1">
            <x v="4"/>
          </reference>
        </references>
      </pivotArea>
    </format>
    <format dxfId="129">
      <pivotArea dataOnly="0" labelOnly="1" outline="0" fieldPosition="0">
        <references count="3">
          <reference field="2" count="1" selected="0">
            <x v="48"/>
          </reference>
          <reference field="3" count="1" selected="0">
            <x v="4"/>
          </reference>
          <reference field="6" count="1">
            <x v="0"/>
          </reference>
        </references>
      </pivotArea>
    </format>
    <format dxfId="128">
      <pivotArea dataOnly="0" labelOnly="1" outline="0" fieldPosition="0">
        <references count="3">
          <reference field="2" count="1" selected="0">
            <x v="48"/>
          </reference>
          <reference field="3" count="1" selected="0">
            <x v="5"/>
          </reference>
          <reference field="6" count="1">
            <x v="4"/>
          </reference>
        </references>
      </pivotArea>
    </format>
    <format dxfId="127">
      <pivotArea dataOnly="0" labelOnly="1" outline="0" fieldPosition="0">
        <references count="3">
          <reference field="2" count="1" selected="0">
            <x v="49"/>
          </reference>
          <reference field="3" count="1" selected="0">
            <x v="4"/>
          </reference>
          <reference field="6" count="1">
            <x v="2"/>
          </reference>
        </references>
      </pivotArea>
    </format>
    <format dxfId="126">
      <pivotArea dataOnly="0" labelOnly="1" outline="0" fieldPosition="0">
        <references count="3">
          <reference field="2" count="1" selected="0">
            <x v="51"/>
          </reference>
          <reference field="3" count="1" selected="0">
            <x v="4"/>
          </reference>
          <reference field="6" count="1">
            <x v="5"/>
          </reference>
        </references>
      </pivotArea>
    </format>
    <format dxfId="125">
      <pivotArea dataOnly="0" labelOnly="1" outline="0" fieldPosition="0">
        <references count="3">
          <reference field="2" count="1" selected="0">
            <x v="51"/>
          </reference>
          <reference field="3" count="1" selected="0">
            <x v="5"/>
          </reference>
          <reference field="6" count="1">
            <x v="4"/>
          </reference>
        </references>
      </pivotArea>
    </format>
    <format dxfId="124">
      <pivotArea type="all" dataOnly="0" outline="0" fieldPosition="0"/>
    </format>
    <format dxfId="123">
      <pivotArea outline="0" collapsedLevelsAreSubtotals="1" fieldPosition="0"/>
    </format>
    <format dxfId="122">
      <pivotArea dataOnly="0" labelOnly="1" outline="0" axis="axisValues" fieldPosition="0"/>
    </format>
    <format dxfId="121">
      <pivotArea dataOnly="0" labelOnly="1" outline="0" fieldPosition="0">
        <references count="1">
          <reference field="2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120">
      <pivotArea dataOnly="0" labelOnly="1" outline="0" fieldPosition="0">
        <references count="1">
          <reference field="2" count="1">
            <x v="51"/>
          </reference>
        </references>
      </pivotArea>
    </format>
    <format dxfId="119">
      <pivotArea dataOnly="0" labelOnly="1" outline="0" fieldPosition="0">
        <references count="2">
          <reference field="2" count="1" selected="0">
            <x v="0"/>
          </reference>
          <reference field="3" count="2">
            <x v="4"/>
            <x v="5"/>
          </reference>
        </references>
      </pivotArea>
    </format>
    <format dxfId="118">
      <pivotArea dataOnly="0" labelOnly="1" outline="0" fieldPosition="0">
        <references count="2">
          <reference field="2" count="1" selected="0">
            <x v="3"/>
          </reference>
          <reference field="3" count="1">
            <x v="4"/>
          </reference>
        </references>
      </pivotArea>
    </format>
    <format dxfId="117">
      <pivotArea dataOnly="0" labelOnly="1" outline="0" fieldPosition="0">
        <references count="2">
          <reference field="2" count="1" selected="0">
            <x v="16"/>
          </reference>
          <reference field="3" count="0"/>
        </references>
      </pivotArea>
    </format>
    <format dxfId="116">
      <pivotArea dataOnly="0" labelOnly="1" outline="0" fieldPosition="0">
        <references count="2">
          <reference field="2" count="1" selected="0">
            <x v="17"/>
          </reference>
          <reference field="3" count="2">
            <x v="4"/>
            <x v="5"/>
          </reference>
        </references>
      </pivotArea>
    </format>
    <format dxfId="115">
      <pivotArea dataOnly="0" labelOnly="1" outline="0" fieldPosition="0">
        <references count="2">
          <reference field="2" count="1" selected="0">
            <x v="48"/>
          </reference>
          <reference field="3" count="2">
            <x v="4"/>
            <x v="5"/>
          </reference>
        </references>
      </pivotArea>
    </format>
    <format dxfId="114">
      <pivotArea dataOnly="0" labelOnly="1" outline="0" fieldPosition="0">
        <references count="2">
          <reference field="2" count="1" selected="0">
            <x v="49"/>
          </reference>
          <reference field="3" count="2">
            <x v="4"/>
            <x v="5"/>
          </reference>
        </references>
      </pivotArea>
    </format>
    <format dxfId="113">
      <pivotArea dataOnly="0" labelOnly="1" outline="0" fieldPosition="0">
        <references count="3">
          <reference field="2" count="1" selected="0">
            <x v="0"/>
          </reference>
          <reference field="3" count="1" selected="0">
            <x v="4"/>
          </reference>
          <reference field="6" count="1">
            <x v="2"/>
          </reference>
        </references>
      </pivotArea>
    </format>
    <format dxfId="112">
      <pivotArea dataOnly="0" labelOnly="1" outline="0" fieldPosition="0">
        <references count="3">
          <reference field="2" count="1" selected="0">
            <x v="1"/>
          </reference>
          <reference field="3" count="1" selected="0">
            <x v="4"/>
          </reference>
          <reference field="6" count="1">
            <x v="1"/>
          </reference>
        </references>
      </pivotArea>
    </format>
    <format dxfId="111">
      <pivotArea dataOnly="0" labelOnly="1" outline="0" fieldPosition="0">
        <references count="3">
          <reference field="2" count="1" selected="0">
            <x v="2"/>
          </reference>
          <reference field="3" count="1" selected="0">
            <x v="4"/>
          </reference>
          <reference field="6" count="1">
            <x v="0"/>
          </reference>
        </references>
      </pivotArea>
    </format>
    <format dxfId="110">
      <pivotArea dataOnly="0" labelOnly="1" outline="0" fieldPosition="0">
        <references count="3">
          <reference field="2" count="1" selected="0">
            <x v="2"/>
          </reference>
          <reference field="3" count="1" selected="0">
            <x v="5"/>
          </reference>
          <reference field="6" count="1">
            <x v="4"/>
          </reference>
        </references>
      </pivotArea>
    </format>
    <format dxfId="109">
      <pivotArea dataOnly="0" labelOnly="1" outline="0" fieldPosition="0">
        <references count="3">
          <reference field="2" count="1" selected="0">
            <x v="3"/>
          </reference>
          <reference field="3" count="1" selected="0">
            <x v="4"/>
          </reference>
          <reference field="6" count="1">
            <x v="2"/>
          </reference>
        </references>
      </pivotArea>
    </format>
    <format dxfId="108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4"/>
          </reference>
          <reference field="6" count="1">
            <x v="5"/>
          </reference>
        </references>
      </pivotArea>
    </format>
    <format dxfId="107">
      <pivotArea dataOnly="0" labelOnly="1" outline="0" fieldPosition="0">
        <references count="3">
          <reference field="2" count="1" selected="0">
            <x v="5"/>
          </reference>
          <reference field="3" count="1" selected="0">
            <x v="4"/>
          </reference>
          <reference field="6" count="1">
            <x v="2"/>
          </reference>
        </references>
      </pivotArea>
    </format>
    <format dxfId="106">
      <pivotArea dataOnly="0" labelOnly="1" outline="0" fieldPosition="0">
        <references count="3">
          <reference field="2" count="1" selected="0">
            <x v="6"/>
          </reference>
          <reference field="3" count="1" selected="0">
            <x v="4"/>
          </reference>
          <reference field="6" count="1">
            <x v="2"/>
          </reference>
        </references>
      </pivotArea>
    </format>
    <format dxfId="105">
      <pivotArea dataOnly="0" labelOnly="1" outline="0" fieldPosition="0">
        <references count="3">
          <reference field="2" count="1" selected="0">
            <x v="7"/>
          </reference>
          <reference field="3" count="1" selected="0">
            <x v="4"/>
          </reference>
          <reference field="6" count="1">
            <x v="2"/>
          </reference>
        </references>
      </pivotArea>
    </format>
    <format dxfId="104">
      <pivotArea dataOnly="0" labelOnly="1" outline="0" fieldPosition="0">
        <references count="3">
          <reference field="2" count="1" selected="0">
            <x v="8"/>
          </reference>
          <reference field="3" count="1" selected="0">
            <x v="4"/>
          </reference>
          <reference field="6" count="1">
            <x v="2"/>
          </reference>
        </references>
      </pivotArea>
    </format>
    <format dxfId="103">
      <pivotArea dataOnly="0" labelOnly="1" outline="0" fieldPosition="0">
        <references count="3">
          <reference field="2" count="1" selected="0">
            <x v="9"/>
          </reference>
          <reference field="3" count="1" selected="0">
            <x v="4"/>
          </reference>
          <reference field="6" count="1">
            <x v="2"/>
          </reference>
        </references>
      </pivotArea>
    </format>
    <format dxfId="102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4"/>
          </reference>
          <reference field="6" count="1">
            <x v="2"/>
          </reference>
        </references>
      </pivotArea>
    </format>
    <format dxfId="101">
      <pivotArea dataOnly="0" labelOnly="1" outline="0" fieldPosition="0">
        <references count="3">
          <reference field="2" count="1" selected="0">
            <x v="11"/>
          </reference>
          <reference field="3" count="1" selected="0">
            <x v="4"/>
          </reference>
          <reference field="6" count="1">
            <x v="2"/>
          </reference>
        </references>
      </pivotArea>
    </format>
    <format dxfId="100">
      <pivotArea dataOnly="0" labelOnly="1" outline="0" fieldPosition="0">
        <references count="3">
          <reference field="2" count="1" selected="0">
            <x v="12"/>
          </reference>
          <reference field="3" count="1" selected="0">
            <x v="4"/>
          </reference>
          <reference field="6" count="1">
            <x v="2"/>
          </reference>
        </references>
      </pivotArea>
    </format>
    <format dxfId="99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4"/>
          </reference>
          <reference field="6" count="1">
            <x v="2"/>
          </reference>
        </references>
      </pivotArea>
    </format>
    <format dxfId="98">
      <pivotArea dataOnly="0" labelOnly="1" outline="0" fieldPosition="0">
        <references count="3">
          <reference field="2" count="1" selected="0">
            <x v="14"/>
          </reference>
          <reference field="3" count="1" selected="0">
            <x v="4"/>
          </reference>
          <reference field="6" count="1">
            <x v="2"/>
          </reference>
        </references>
      </pivotArea>
    </format>
    <format dxfId="97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4"/>
          </reference>
          <reference field="6" count="1">
            <x v="2"/>
          </reference>
        </references>
      </pivotArea>
    </format>
    <format dxfId="96">
      <pivotArea dataOnly="0" labelOnly="1" outline="0" fieldPosition="0">
        <references count="3">
          <reference field="2" count="1" selected="0">
            <x v="16"/>
          </reference>
          <reference field="3" count="1" selected="0">
            <x v="3"/>
          </reference>
          <reference field="6" count="1">
            <x v="4"/>
          </reference>
        </references>
      </pivotArea>
    </format>
    <format dxfId="95">
      <pivotArea dataOnly="0" labelOnly="1" outline="0" fieldPosition="0">
        <references count="3">
          <reference field="2" count="1" selected="0">
            <x v="16"/>
          </reference>
          <reference field="3" count="1" selected="0">
            <x v="4"/>
          </reference>
          <reference field="6" count="1">
            <x v="0"/>
          </reference>
        </references>
      </pivotArea>
    </format>
    <format dxfId="94">
      <pivotArea dataOnly="0" labelOnly="1" outline="0" fieldPosition="0">
        <references count="3">
          <reference field="2" count="1" selected="0">
            <x v="16"/>
          </reference>
          <reference field="3" count="1" selected="0">
            <x v="5"/>
          </reference>
          <reference field="6" count="1">
            <x v="4"/>
          </reference>
        </references>
      </pivotArea>
    </format>
    <format dxfId="93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4"/>
          </reference>
          <reference field="6" count="1">
            <x v="1"/>
          </reference>
        </references>
      </pivotArea>
    </format>
    <format dxfId="92">
      <pivotArea dataOnly="0" labelOnly="1" outline="0" fieldPosition="0">
        <references count="3">
          <reference field="2" count="1" selected="0">
            <x v="18"/>
          </reference>
          <reference field="3" count="1" selected="0">
            <x v="4"/>
          </reference>
          <reference field="6" count="1">
            <x v="2"/>
          </reference>
        </references>
      </pivotArea>
    </format>
    <format dxfId="91">
      <pivotArea dataOnly="0" labelOnly="1" outline="0" fieldPosition="0">
        <references count="3">
          <reference field="2" count="1" selected="0">
            <x v="19"/>
          </reference>
          <reference field="3" count="1" selected="0">
            <x v="4"/>
          </reference>
          <reference field="6" count="1">
            <x v="2"/>
          </reference>
        </references>
      </pivotArea>
    </format>
    <format dxfId="90">
      <pivotArea dataOnly="0" labelOnly="1" outline="0" fieldPosition="0">
        <references count="3">
          <reference field="2" count="1" selected="0">
            <x v="20"/>
          </reference>
          <reference field="3" count="1" selected="0">
            <x v="4"/>
          </reference>
          <reference field="6" count="1">
            <x v="1"/>
          </reference>
        </references>
      </pivotArea>
    </format>
    <format dxfId="89">
      <pivotArea dataOnly="0" labelOnly="1" outline="0" fieldPosition="0">
        <references count="3">
          <reference field="2" count="1" selected="0">
            <x v="21"/>
          </reference>
          <reference field="3" count="1" selected="0">
            <x v="4"/>
          </reference>
          <reference field="6" count="1">
            <x v="2"/>
          </reference>
        </references>
      </pivotArea>
    </format>
    <format dxfId="88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4"/>
          </reference>
          <reference field="6" count="1">
            <x v="2"/>
          </reference>
        </references>
      </pivotArea>
    </format>
    <format dxfId="87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4"/>
          </reference>
          <reference field="6" count="1">
            <x v="2"/>
          </reference>
        </references>
      </pivotArea>
    </format>
    <format dxfId="86">
      <pivotArea dataOnly="0" labelOnly="1" outline="0" fieldPosition="0">
        <references count="3">
          <reference field="2" count="1" selected="0">
            <x v="24"/>
          </reference>
          <reference field="3" count="1" selected="0">
            <x v="4"/>
          </reference>
          <reference field="6" count="1">
            <x v="2"/>
          </reference>
        </references>
      </pivotArea>
    </format>
    <format dxfId="85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4"/>
          </reference>
          <reference field="6" count="1">
            <x v="2"/>
          </reference>
        </references>
      </pivotArea>
    </format>
    <format dxfId="84">
      <pivotArea dataOnly="0" labelOnly="1" outline="0" fieldPosition="0">
        <references count="3">
          <reference field="2" count="1" selected="0">
            <x v="26"/>
          </reference>
          <reference field="3" count="1" selected="0">
            <x v="4"/>
          </reference>
          <reference field="6" count="1">
            <x v="2"/>
          </reference>
        </references>
      </pivotArea>
    </format>
    <format dxfId="83">
      <pivotArea dataOnly="0" labelOnly="1" outline="0" fieldPosition="0">
        <references count="3">
          <reference field="2" count="1" selected="0">
            <x v="27"/>
          </reference>
          <reference field="3" count="1" selected="0">
            <x v="4"/>
          </reference>
          <reference field="6" count="1">
            <x v="2"/>
          </reference>
        </references>
      </pivotArea>
    </format>
    <format dxfId="82">
      <pivotArea dataOnly="0" labelOnly="1" outline="0" fieldPosition="0">
        <references count="3">
          <reference field="2" count="1" selected="0">
            <x v="28"/>
          </reference>
          <reference field="3" count="1" selected="0">
            <x v="4"/>
          </reference>
          <reference field="6" count="1">
            <x v="2"/>
          </reference>
        </references>
      </pivotArea>
    </format>
    <format dxfId="81">
      <pivotArea dataOnly="0" labelOnly="1" outline="0" fieldPosition="0">
        <references count="3">
          <reference field="2" count="1" selected="0">
            <x v="29"/>
          </reference>
          <reference field="3" count="1" selected="0">
            <x v="4"/>
          </reference>
          <reference field="6" count="1">
            <x v="2"/>
          </reference>
        </references>
      </pivotArea>
    </format>
    <format dxfId="80">
      <pivotArea dataOnly="0" labelOnly="1" outline="0" fieldPosition="0">
        <references count="3">
          <reference field="2" count="1" selected="0">
            <x v="30"/>
          </reference>
          <reference field="3" count="1" selected="0">
            <x v="4"/>
          </reference>
          <reference field="6" count="1">
            <x v="1"/>
          </reference>
        </references>
      </pivotArea>
    </format>
    <format dxfId="79">
      <pivotArea dataOnly="0" labelOnly="1" outline="0" fieldPosition="0">
        <references count="3">
          <reference field="2" count="1" selected="0">
            <x v="31"/>
          </reference>
          <reference field="3" count="1" selected="0">
            <x v="4"/>
          </reference>
          <reference field="6" count="1">
            <x v="2"/>
          </reference>
        </references>
      </pivotArea>
    </format>
    <format dxfId="78">
      <pivotArea dataOnly="0" labelOnly="1" outline="0" fieldPosition="0">
        <references count="3">
          <reference field="2" count="1" selected="0">
            <x v="32"/>
          </reference>
          <reference field="3" count="1" selected="0">
            <x v="4"/>
          </reference>
          <reference field="6" count="1">
            <x v="1"/>
          </reference>
        </references>
      </pivotArea>
    </format>
    <format dxfId="77">
      <pivotArea dataOnly="0" labelOnly="1" outline="0" fieldPosition="0">
        <references count="3">
          <reference field="2" count="1" selected="0">
            <x v="33"/>
          </reference>
          <reference field="3" count="1" selected="0">
            <x v="4"/>
          </reference>
          <reference field="6" count="1">
            <x v="2"/>
          </reference>
        </references>
      </pivotArea>
    </format>
    <format dxfId="76">
      <pivotArea dataOnly="0" labelOnly="1" outline="0" fieldPosition="0">
        <references count="3">
          <reference field="2" count="1" selected="0">
            <x v="34"/>
          </reference>
          <reference field="3" count="1" selected="0">
            <x v="4"/>
          </reference>
          <reference field="6" count="1">
            <x v="2"/>
          </reference>
        </references>
      </pivotArea>
    </format>
    <format dxfId="75">
      <pivotArea dataOnly="0" labelOnly="1" outline="0" fieldPosition="0">
        <references count="3">
          <reference field="2" count="1" selected="0">
            <x v="35"/>
          </reference>
          <reference field="3" count="1" selected="0">
            <x v="4"/>
          </reference>
          <reference field="6" count="1">
            <x v="2"/>
          </reference>
        </references>
      </pivotArea>
    </format>
    <format dxfId="74">
      <pivotArea dataOnly="0" labelOnly="1" outline="0" fieldPosition="0">
        <references count="3">
          <reference field="2" count="1" selected="0">
            <x v="36"/>
          </reference>
          <reference field="3" count="1" selected="0">
            <x v="4"/>
          </reference>
          <reference field="6" count="1">
            <x v="2"/>
          </reference>
        </references>
      </pivotArea>
    </format>
    <format dxfId="73">
      <pivotArea dataOnly="0" labelOnly="1" outline="0" fieldPosition="0">
        <references count="3">
          <reference field="2" count="1" selected="0">
            <x v="37"/>
          </reference>
          <reference field="3" count="1" selected="0">
            <x v="4"/>
          </reference>
          <reference field="6" count="1">
            <x v="2"/>
          </reference>
        </references>
      </pivotArea>
    </format>
    <format dxfId="72">
      <pivotArea dataOnly="0" labelOnly="1" outline="0" fieldPosition="0">
        <references count="3">
          <reference field="2" count="1" selected="0">
            <x v="38"/>
          </reference>
          <reference field="3" count="1" selected="0">
            <x v="4"/>
          </reference>
          <reference field="6" count="1">
            <x v="2"/>
          </reference>
        </references>
      </pivotArea>
    </format>
    <format dxfId="71">
      <pivotArea dataOnly="0" labelOnly="1" outline="0" fieldPosition="0">
        <references count="3">
          <reference field="2" count="1" selected="0">
            <x v="39"/>
          </reference>
          <reference field="3" count="1" selected="0">
            <x v="4"/>
          </reference>
          <reference field="6" count="1">
            <x v="2"/>
          </reference>
        </references>
      </pivotArea>
    </format>
    <format dxfId="70">
      <pivotArea dataOnly="0" labelOnly="1" outline="0" fieldPosition="0">
        <references count="3">
          <reference field="2" count="1" selected="0">
            <x v="40"/>
          </reference>
          <reference field="3" count="1" selected="0">
            <x v="4"/>
          </reference>
          <reference field="6" count="1">
            <x v="2"/>
          </reference>
        </references>
      </pivotArea>
    </format>
    <format dxfId="69">
      <pivotArea dataOnly="0" labelOnly="1" outline="0" fieldPosition="0">
        <references count="3">
          <reference field="2" count="1" selected="0">
            <x v="41"/>
          </reference>
          <reference field="3" count="1" selected="0">
            <x v="4"/>
          </reference>
          <reference field="6" count="1">
            <x v="2"/>
          </reference>
        </references>
      </pivotArea>
    </format>
    <format dxfId="68">
      <pivotArea dataOnly="0" labelOnly="1" outline="0" fieldPosition="0">
        <references count="3">
          <reference field="2" count="1" selected="0">
            <x v="42"/>
          </reference>
          <reference field="3" count="1" selected="0">
            <x v="4"/>
          </reference>
          <reference field="6" count="1">
            <x v="2"/>
          </reference>
        </references>
      </pivotArea>
    </format>
    <format dxfId="67">
      <pivotArea dataOnly="0" labelOnly="1" outline="0" fieldPosition="0">
        <references count="3">
          <reference field="2" count="1" selected="0">
            <x v="43"/>
          </reference>
          <reference field="3" count="1" selected="0">
            <x v="4"/>
          </reference>
          <reference field="6" count="1">
            <x v="2"/>
          </reference>
        </references>
      </pivotArea>
    </format>
    <format dxfId="66">
      <pivotArea dataOnly="0" labelOnly="1" outline="0" fieldPosition="0">
        <references count="3">
          <reference field="2" count="1" selected="0">
            <x v="44"/>
          </reference>
          <reference field="3" count="1" selected="0">
            <x v="4"/>
          </reference>
          <reference field="6" count="1">
            <x v="2"/>
          </reference>
        </references>
      </pivotArea>
    </format>
    <format dxfId="65">
      <pivotArea dataOnly="0" labelOnly="1" outline="0" fieldPosition="0">
        <references count="3">
          <reference field="2" count="1" selected="0">
            <x v="45"/>
          </reference>
          <reference field="3" count="1" selected="0">
            <x v="4"/>
          </reference>
          <reference field="6" count="1">
            <x v="2"/>
          </reference>
        </references>
      </pivotArea>
    </format>
    <format dxfId="64">
      <pivotArea dataOnly="0" labelOnly="1" outline="0" fieldPosition="0">
        <references count="3">
          <reference field="2" count="1" selected="0">
            <x v="46"/>
          </reference>
          <reference field="3" count="1" selected="0">
            <x v="4"/>
          </reference>
          <reference field="6" count="1">
            <x v="0"/>
          </reference>
        </references>
      </pivotArea>
    </format>
    <format dxfId="63">
      <pivotArea dataOnly="0" labelOnly="1" outline="0" fieldPosition="0">
        <references count="3">
          <reference field="2" count="1" selected="0">
            <x v="47"/>
          </reference>
          <reference field="3" count="1" selected="0">
            <x v="4"/>
          </reference>
          <reference field="6" count="1">
            <x v="2"/>
          </reference>
        </references>
      </pivotArea>
    </format>
    <format dxfId="62">
      <pivotArea dataOnly="0" labelOnly="1" outline="0" fieldPosition="0">
        <references count="3">
          <reference field="2" count="1" selected="0">
            <x v="47"/>
          </reference>
          <reference field="3" count="1" selected="0">
            <x v="5"/>
          </reference>
          <reference field="6" count="1">
            <x v="4"/>
          </reference>
        </references>
      </pivotArea>
    </format>
    <format dxfId="61">
      <pivotArea dataOnly="0" labelOnly="1" outline="0" fieldPosition="0">
        <references count="3">
          <reference field="2" count="1" selected="0">
            <x v="48"/>
          </reference>
          <reference field="3" count="1" selected="0">
            <x v="4"/>
          </reference>
          <reference field="6" count="1">
            <x v="0"/>
          </reference>
        </references>
      </pivotArea>
    </format>
    <format dxfId="60">
      <pivotArea dataOnly="0" labelOnly="1" outline="0" fieldPosition="0">
        <references count="3">
          <reference field="2" count="1" selected="0">
            <x v="48"/>
          </reference>
          <reference field="3" count="1" selected="0">
            <x v="5"/>
          </reference>
          <reference field="6" count="1">
            <x v="4"/>
          </reference>
        </references>
      </pivotArea>
    </format>
    <format dxfId="59">
      <pivotArea dataOnly="0" labelOnly="1" outline="0" fieldPosition="0">
        <references count="3">
          <reference field="2" count="1" selected="0">
            <x v="49"/>
          </reference>
          <reference field="3" count="1" selected="0">
            <x v="4"/>
          </reference>
          <reference field="6" count="1">
            <x v="2"/>
          </reference>
        </references>
      </pivotArea>
    </format>
    <format dxfId="58">
      <pivotArea dataOnly="0" labelOnly="1" outline="0" fieldPosition="0">
        <references count="3">
          <reference field="2" count="1" selected="0">
            <x v="51"/>
          </reference>
          <reference field="3" count="1" selected="0">
            <x v="4"/>
          </reference>
          <reference field="6" count="1">
            <x v="5"/>
          </reference>
        </references>
      </pivotArea>
    </format>
    <format dxfId="57">
      <pivotArea dataOnly="0" labelOnly="1" outline="0" fieldPosition="0">
        <references count="3">
          <reference field="2" count="1" selected="0">
            <x v="51"/>
          </reference>
          <reference field="3" count="1" selected="0">
            <x v="5"/>
          </reference>
          <reference field="6" count="1">
            <x v="4"/>
          </reference>
        </references>
      </pivotArea>
    </format>
    <format dxfId="56">
      <pivotArea dataOnly="0" labelOnly="1" outline="0" axis="axisValues" fieldPosition="0"/>
    </format>
    <format dxfId="55">
      <pivotArea dataOnly="0" labelOnly="1" outline="0" axis="axisValues" fieldPosition="0"/>
    </format>
    <format dxfId="54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8.xml><?xml version="1.0" encoding="utf-8"?>
<pivotTableDefinition xmlns="http://schemas.openxmlformats.org/spreadsheetml/2006/main" name="Tableau croisé dynamique1" cacheId="2" applyNumberFormats="0" applyBorderFormats="0" applyFontFormats="0" applyPatternFormats="0" applyAlignmentFormats="0" applyWidthHeightFormats="1" dataCaption="Valeurs" updatedVersion="5" minRefreshableVersion="3" useAutoFormatting="1" rowGrandTotals="0" colGrandTotals="0" itemPrintTitles="1" createdVersion="5" indent="0" outline="1" outlineData="1" multipleFieldFilters="0">
  <location ref="AD3:AG11" firstHeaderRow="0" firstDataRow="1" firstDataCol="1"/>
  <pivotFields count="12">
    <pivotField showAll="0"/>
    <pivotField axis="axisRow" showAll="0" measureFilter="1" sortType="descending">
      <items count="53">
        <item x="17"/>
        <item x="25"/>
        <item x="5"/>
        <item x="4"/>
        <item x="20"/>
        <item m="1" x="26"/>
        <item x="3"/>
        <item x="6"/>
        <item x="24"/>
        <item m="1" x="43"/>
        <item x="8"/>
        <item m="1" x="41"/>
        <item m="1" x="49"/>
        <item m="1" x="34"/>
        <item m="1" x="44"/>
        <item x="22"/>
        <item m="1" x="31"/>
        <item m="1" x="32"/>
        <item x="13"/>
        <item x="15"/>
        <item x="21"/>
        <item m="1" x="48"/>
        <item m="1" x="29"/>
        <item x="2"/>
        <item m="1" x="38"/>
        <item m="1" x="33"/>
        <item m="1" x="39"/>
        <item m="1" x="35"/>
        <item m="1" x="46"/>
        <item m="1" x="51"/>
        <item m="1" x="42"/>
        <item m="1" x="37"/>
        <item m="1" x="28"/>
        <item m="1" x="40"/>
        <item x="16"/>
        <item x="1"/>
        <item x="0"/>
        <item m="1" x="47"/>
        <item m="1" x="50"/>
        <item x="18"/>
        <item x="23"/>
        <item m="1" x="45"/>
        <item m="1" x="36"/>
        <item m="1" x="27"/>
        <item x="14"/>
        <item x="19"/>
        <item m="1" x="30"/>
        <item x="11"/>
        <item x="10"/>
        <item x="12"/>
        <item x="7"/>
        <item x="9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showAll="0"/>
    <pivotField dataField="1" showAll="0"/>
    <pivotField dataField="1" showAll="0"/>
    <pivotField numFmtId="164" showAll="0"/>
    <pivotField numFmtId="164" showAll="0"/>
    <pivotField showAll="0"/>
    <pivotField numFmtId="164" showAll="0"/>
    <pivotField showAll="0"/>
    <pivotField showAll="0"/>
    <pivotField dataField="1" showAll="0"/>
  </pivotFields>
  <rowFields count="1">
    <field x="1"/>
  </rowFields>
  <rowItems count="8">
    <i>
      <x v="36"/>
    </i>
    <i>
      <x v="34"/>
    </i>
    <i>
      <x v="49"/>
    </i>
    <i>
      <x v="23"/>
    </i>
    <i>
      <x v="51"/>
    </i>
    <i>
      <x v="3"/>
    </i>
    <i>
      <x v="48"/>
    </i>
    <i>
      <x v="1"/>
    </i>
  </rowItems>
  <colFields count="1">
    <field x="-2"/>
  </colFields>
  <colItems count="3">
    <i>
      <x/>
    </i>
    <i i="1">
      <x v="1"/>
    </i>
    <i i="2">
      <x v="2"/>
    </i>
  </colItems>
  <dataFields count="3">
    <dataField name="Somme de Stock actuel" fld="3" baseField="0" baseItem="0"/>
    <dataField name="Somme de Stock minimum" fld="4" baseField="0" baseItem="0"/>
    <dataField name="Somme de Commande" fld="11" baseField="0" baseItem="0"/>
  </dataFields>
  <formats count="4">
    <format dxfId="196">
      <pivotArea field="1" type="button" dataOnly="0" labelOnly="1" outline="0" axis="axisRow" fieldPosition="0"/>
    </format>
    <format dxfId="19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4">
      <pivotArea field="1" type="button" dataOnly="0" labelOnly="1" outline="0" axis="axisRow" fieldPosition="0"/>
    </format>
    <format dxfId="19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hartFormats count="3">
    <chartFormat chart="3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valueGreaterThan" evalOrder="-1" id="11" iMeasureFld="2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9.xml><?xml version="1.0" encoding="utf-8"?>
<pivotTableDefinition xmlns="http://schemas.openxmlformats.org/spreadsheetml/2006/main" name="Tableau croisé dynamique5" cacheId="2" applyNumberFormats="0" applyBorderFormats="0" applyFontFormats="0" applyPatternFormats="0" applyAlignmentFormats="0" applyWidthHeightFormats="1" dataCaption="Valeurs" updatedVersion="5" minRefreshableVersion="3" useAutoFormatting="1" rowGrandTotals="0" colGrandTotals="0" itemPrintTitles="1" createdVersion="5" indent="0" outline="1" outlineData="1" multipleFieldFilters="0" chartFormat="14">
  <location ref="AR3:AS13" firstHeaderRow="1" firstDataRow="1" firstDataCol="1"/>
  <pivotFields count="12">
    <pivotField showAll="0" defaultSubtotal="0"/>
    <pivotField showAll="0" defaultSubtotal="0"/>
    <pivotField axis="axisRow" showAll="0" sortType="ascending" defaultSubtotal="0">
      <items count="17">
        <item x="3"/>
        <item m="1" x="12"/>
        <item x="8"/>
        <item x="7"/>
        <item m="1" x="11"/>
        <item m="1" x="15"/>
        <item x="4"/>
        <item x="9"/>
        <item x="6"/>
        <item m="1" x="10"/>
        <item x="1"/>
        <item m="1" x="16"/>
        <item m="1" x="14"/>
        <item m="1" x="13"/>
        <item x="2"/>
        <item x="0"/>
        <item x="5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howAll="0" defaultSubtotal="0"/>
    <pivotField showAll="0" defaultSubtotal="0"/>
    <pivotField numFmtId="164" showAll="0" defaultSubtotal="0"/>
    <pivotField numFmtId="164" showAll="0" defaultSubtotal="0"/>
    <pivotField showAll="0" defaultSubtotal="0"/>
    <pivotField numFmtId="164" showAll="0" defaultSubtotal="0"/>
    <pivotField showAll="0" defaultSubtotal="0"/>
    <pivotField showAll="0" defaultSubtotal="0"/>
    <pivotField showAll="0" defaultSubtotal="0"/>
  </pivotFields>
  <rowFields count="1">
    <field x="2"/>
  </rowFields>
  <rowItems count="10">
    <i>
      <x v="8"/>
    </i>
    <i>
      <x v="2"/>
    </i>
    <i>
      <x v="16"/>
    </i>
    <i>
      <x/>
    </i>
    <i>
      <x v="7"/>
    </i>
    <i>
      <x v="10"/>
    </i>
    <i>
      <x v="3"/>
    </i>
    <i>
      <x v="6"/>
    </i>
    <i>
      <x v="15"/>
    </i>
    <i>
      <x v="14"/>
    </i>
  </rowItems>
  <colItems count="1">
    <i/>
  </colItems>
  <dataFields count="1">
    <dataField name="Somme de Stock actuel" fld="3" baseField="0" baseItem="0"/>
  </dataFields>
  <formats count="4">
    <format dxfId="200">
      <pivotArea field="2" type="button" dataOnly="0" labelOnly="1" outline="0" axis="axisRow" fieldPosition="0"/>
    </format>
    <format dxfId="199">
      <pivotArea dataOnly="0" labelOnly="1" outline="0" axis="axisValues" fieldPosition="0"/>
    </format>
    <format dxfId="198">
      <pivotArea field="2" type="button" dataOnly="0" labelOnly="1" outline="0" axis="axisRow" fieldPosition="0"/>
    </format>
    <format dxfId="197">
      <pivotArea dataOnly="0" labelOnly="1" outline="0" axis="axisValues" fieldPosition="0"/>
    </format>
  </formats>
  <chartFormats count="1">
    <chartFormat chart="8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0.xml><?xml version="1.0" encoding="utf-8"?>
<pivotTableDefinition xmlns="http://schemas.openxmlformats.org/spreadsheetml/2006/main" name="Tableau croisé dynamique8" cacheId="0" applyNumberFormats="0" applyBorderFormats="0" applyFontFormats="0" applyPatternFormats="0" applyAlignmentFormats="0" applyWidthHeightFormats="1" dataCaption="Valeurs" updatedVersion="5" minRefreshableVersion="5" useAutoFormatting="1" itemPrintTitles="1" createdVersion="5" indent="0" outline="1" outlineData="1" multipleFieldFilters="0" chartFormat="5">
  <location ref="BI3:BJ18" firstHeaderRow="1" firstDataRow="1" firstDataCol="1"/>
  <pivotFields count="11">
    <pivotField axis="axisRow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/>
    <pivotField showAll="0"/>
    <pivotField numFmtId="164" showAll="0"/>
    <pivotField showAll="0"/>
    <pivotField dataField="1" numFmtId="164" showAll="0"/>
    <pivotField showAll="0"/>
    <pivotField showAll="0" defaultSubtotal="0"/>
    <pivotField showAll="0" defaultSubtotal="0"/>
    <pivotField axis="axisRow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2">
    <field x="10"/>
    <field x="0"/>
  </rowFields>
  <rowItems count="15">
    <i>
      <x v="1"/>
    </i>
    <i r="1">
      <x v="11"/>
    </i>
    <i r="1">
      <x v="13"/>
    </i>
    <i r="1">
      <x v="14"/>
    </i>
    <i r="1">
      <x v="15"/>
    </i>
    <i r="1">
      <x v="16"/>
    </i>
    <i r="1">
      <x v="19"/>
    </i>
    <i r="1">
      <x v="20"/>
    </i>
    <i r="1">
      <x v="24"/>
    </i>
    <i r="1">
      <x v="27"/>
    </i>
    <i r="1">
      <x v="28"/>
    </i>
    <i r="1">
      <x v="29"/>
    </i>
    <i r="1">
      <x v="30"/>
    </i>
    <i r="1">
      <x v="31"/>
    </i>
    <i t="grand">
      <x/>
    </i>
  </rowItems>
  <colItems count="1">
    <i/>
  </colItems>
  <dataFields count="1">
    <dataField name="Somme de Montant" fld="6" baseField="0" baseItem="0"/>
  </dataFields>
  <formats count="4">
    <format dxfId="204">
      <pivotArea field="10" type="button" dataOnly="0" labelOnly="1" outline="0" axis="axisRow" fieldPosition="0"/>
    </format>
    <format dxfId="203">
      <pivotArea dataOnly="0" labelOnly="1" outline="0" axis="axisValues" fieldPosition="0"/>
    </format>
    <format dxfId="202">
      <pivotArea grandRow="1" outline="0" collapsedLevelsAreSubtotals="1" fieldPosition="0"/>
    </format>
    <format dxfId="201">
      <pivotArea dataOnly="0" labelOnly="1" grandRow="1" outline="0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dateBetween" evalOrder="-1" id="163" name="Dates">
      <autoFilter ref="A1">
        <filterColumn colId="0">
          <customFilters and="1">
            <customFilter operator="greaterThanOrEqual" val="46023"/>
            <customFilter operator="lessThanOrEqual" val="46053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0" name="ListeProduits" displayName="ListeProduits" ref="C14:H40" totalsRowShown="0" headerRowDxfId="266" dataDxfId="265">
  <autoFilter ref="C14:H40"/>
  <tableColumns count="6">
    <tableColumn id="1" name="Désignation" dataDxfId="264"/>
    <tableColumn id="2" name="Code produit" dataDxfId="263"/>
    <tableColumn id="3" name="Categorie" dataDxfId="262"/>
    <tableColumn id="4" name="Prix achat" dataDxfId="261"/>
    <tableColumn id="5" name="Prix vente" dataDxfId="260"/>
    <tableColumn id="6" name="Stock minimun" dataDxfId="259"/>
  </tableColumns>
  <tableStyleInfo name="TableStyleLight20" showFirstColumn="0" showLastColumn="0" showRowStripes="1" showColumnStripes="0"/>
</table>
</file>

<file path=xl/tables/table2.xml><?xml version="1.0" encoding="utf-8"?>
<table xmlns="http://schemas.openxmlformats.org/spreadsheetml/2006/main" id="6" name="ListeAchats" displayName="ListeAchats" ref="C14:J67" totalsRowShown="0" headerRowDxfId="258" dataDxfId="256" headerRowBorderDxfId="257" tableBorderDxfId="255" totalsRowBorderDxfId="254">
  <autoFilter ref="C14:J67"/>
  <tableColumns count="8">
    <tableColumn id="1" name="Lot" dataDxfId="253"/>
    <tableColumn id="2" name="Code produit" dataDxfId="252"/>
    <tableColumn id="3" name="Désignation" dataDxfId="251"/>
    <tableColumn id="4" name="Dates Achat" dataDxfId="250"/>
    <tableColumn id="5" name="Date préremption" dataDxfId="249"/>
    <tableColumn id="6" name="Quantité entrée" dataDxfId="248"/>
    <tableColumn id="7" name="Prix achat" dataDxfId="247"/>
    <tableColumn id="8" name="Montant" dataDxfId="246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id="7" name="HistoriqueVentes" displayName="HistoriqueVentes" ref="C14:L150" totalsRowShown="0" headerRowDxfId="245" dataDxfId="243" headerRowBorderDxfId="244" tableBorderDxfId="242" totalsRowBorderDxfId="241">
  <autoFilter ref="C14:L150"/>
  <tableColumns count="10">
    <tableColumn id="1" name="Dates" dataDxfId="240"/>
    <tableColumn id="2" name="Code produit" dataDxfId="239"/>
    <tableColumn id="3" name="Désignation" dataDxfId="238"/>
    <tableColumn id="4" name="Lot" dataDxfId="237"/>
    <tableColumn id="5" name="Prix de ventes" dataDxfId="236"/>
    <tableColumn id="6" name="Quantité" dataDxfId="235"/>
    <tableColumn id="7" name="Montant" dataDxfId="234"/>
    <tableColumn id="8" name="Dates de péremption" dataDxfId="233"/>
    <tableColumn id="9" name="Prix d'achat" dataDxfId="232">
      <calculatedColumnFormula>VLOOKUP(HistoriqueVentes[[#This Row],[Désignation]],ListeProduits[],4,FALSE)</calculatedColumnFormula>
    </tableColumn>
    <tableColumn id="10" name="depenses lie au ventes" dataDxfId="231">
      <calculatedColumnFormula>HistoriqueVentes[[#This Row],[Prix d''achat]]*HistoriqueVentes[[#This Row],[Quantité]]</calculatedColumnFormula>
    </tableColumn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id="8" name="HistoriqueSorties" displayName="HistoriqueSorties" ref="C14:I33" totalsRowShown="0" headerRowDxfId="230" dataDxfId="228" headerRowBorderDxfId="229" tableBorderDxfId="227" totalsRowBorderDxfId="226">
  <autoFilter ref="C14:I33"/>
  <tableColumns count="7">
    <tableColumn id="1" name="Dates" dataDxfId="225"/>
    <tableColumn id="2" name="Code produit" dataDxfId="224"/>
    <tableColumn id="3" name="Désignation" dataDxfId="223"/>
    <tableColumn id="4" name="Lot" dataDxfId="222"/>
    <tableColumn id="5" name="Quantité" dataDxfId="221"/>
    <tableColumn id="6" name="Motif" dataDxfId="220"/>
    <tableColumn id="7" name="Dates de péremption" dataDxfId="219"/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id="4" name="HistoriqueMouvements" displayName="HistoriqueMouvements" ref="C8:I216" totalsRowShown="0" headerRowDxfId="218" headerRowBorderDxfId="217" tableBorderDxfId="216" totalsRowBorderDxfId="215">
  <autoFilter ref="C8:I216"/>
  <tableColumns count="7">
    <tableColumn id="1" name="Dates" dataDxfId="214"/>
    <tableColumn id="2" name="Code produit" dataDxfId="213"/>
    <tableColumn id="3" name="Désignation" dataDxfId="212"/>
    <tableColumn id="4" name="Lot" dataDxfId="211"/>
    <tableColumn id="6" name="Types" dataDxfId="210"/>
    <tableColumn id="5" name="Qantités" dataDxfId="209"/>
    <tableColumn id="7" name="Dates de péremption" dataDxfId="208"/>
  </tableColumns>
  <tableStyleInfo name="TableStyleLight8" showFirstColumn="0" showLastColumn="0" showRowStripes="1" showColumnStripes="0"/>
</table>
</file>

<file path=xl/tables/table6.xml><?xml version="1.0" encoding="utf-8"?>
<table xmlns="http://schemas.openxmlformats.org/spreadsheetml/2006/main" id="3" name="tblDataDashboard" displayName="tblDataDashboard" ref="A3:L29" totalsRowShown="0" headerRowDxfId="24">
  <autoFilter ref="A3:L29"/>
  <tableColumns count="12">
    <tableColumn id="1" name="Code"/>
    <tableColumn id="2" name="Désignation"/>
    <tableColumn id="3" name="Catégorie"/>
    <tableColumn id="4" name="Stock actuel" dataDxfId="23"/>
    <tableColumn id="5" name="Stock minimum" dataDxfId="22"/>
    <tableColumn id="6" name="Prix vente" dataDxfId="21"/>
    <tableColumn id="7" name="Valeur stock" dataDxfId="20"/>
    <tableColumn id="8" name="Ventes mois"/>
    <tableColumn id="9" name="CA mois" dataDxfId="19"/>
    <tableColumn id="10" name="Rupture" dataDxfId="18">
      <calculatedColumnFormula>IF(A4="","",IF(D4&lt;=0,"OUI","NON"))</calculatedColumnFormula>
    </tableColumn>
    <tableColumn id="11" name="Alerte stock" dataDxfId="17"/>
    <tableColumn id="12" name="Commande"/>
  </tableColumns>
  <tableStyleInfo name="TableStyleLight8" showFirstColumn="0" showLastColumn="0" showRowStripes="1" showColumnStripes="0"/>
</table>
</file>

<file path=xl/tables/table7.xml><?xml version="1.0" encoding="utf-8"?>
<table xmlns="http://schemas.openxmlformats.org/spreadsheetml/2006/main" id="2" name="Stock_par_lots" displayName="Stock_par_lots" ref="V3:AB199" totalsRowShown="0" headerRowDxfId="16" dataDxfId="15" tableBorderDxfId="14">
  <autoFilter ref="V3:AB199"/>
  <tableColumns count="7">
    <tableColumn id="1" name="Désignation" dataDxfId="13">
      <calculatedColumnFormula>IF(Q4="","",Q4)</calculatedColumnFormula>
    </tableColumn>
    <tableColumn id="2" name="Lot" dataDxfId="12">
      <calculatedColumnFormula>IF(R4="","",R4)</calculatedColumnFormula>
    </tableColumn>
    <tableColumn id="3" name="Stock restant" dataDxfId="11">
      <calculatedColumnFormula>IF(T4="","",T4)</calculatedColumnFormula>
    </tableColumn>
    <tableColumn id="4" name="Date de péremption" dataDxfId="10">
      <calculatedColumnFormula>IF(S4="","",S4)</calculatedColumnFormula>
    </tableColumn>
    <tableColumn id="5" name="jours restants" dataDxfId="9">
      <calculatedColumnFormula>IFERROR(IF(Stock_par_lots[[#This Row],[Stock restant]]=0,"",Stock_par_lots[[#This Row],[Date de péremption]]-TODAY()),"")</calculatedColumnFormula>
    </tableColumn>
    <tableColumn id="6" name="Status" dataDxfId="8">
      <calculatedColumnFormula>IF(Stock_par_lots[[#This Row],[Stock restant]]=0,"",IF(Stock_par_lots[[#This Row],[jours restants]]&gt;=60,"Conforme",IF(AND(Stock_par_lots[[#This Row],[jours restants]]&lt;60,Stock_par_lots[[#This Row],[jours restants]]&gt;=30),"Surveillance",IF(AND(Stock_par_lots[[#This Row],[jours restants]]&lt;30,Stock_par_lots[[#This Row],[jours restants]]&gt;=0),"Urgente","Expiré"))))</calculatedColumnFormula>
    </tableColumn>
    <tableColumn id="7" name="Alerte de péremption" dataDxfId="7">
      <calculatedColumnFormula>IF(AND(Stock_par_lots[[#This Row],[jours restants]]&gt;0,Stock_par_lots[[#This Row],[jours restants]]&lt;=60),"Proche","")</calculatedColumnFormula>
    </tableColumn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id="5" name="Stock_par_produits" displayName="Stock_par_produits" ref="BD3:BG199" totalsRowShown="0" headerRowDxfId="6" dataDxfId="5" tableBorderDxfId="4">
  <autoFilter ref="BD3:BG199"/>
  <tableColumns count="4">
    <tableColumn id="1" name="Désignation" dataDxfId="3">
      <calculatedColumnFormula>BA4</calculatedColumnFormula>
    </tableColumn>
    <tableColumn id="2" name="Quantités restants" dataDxfId="2">
      <calculatedColumnFormula>BB4</calculatedColumnFormula>
    </tableColumn>
    <tableColumn id="3" name="Stock nim" dataDxfId="1">
      <calculatedColumnFormula>IFERROR(VLOOKUP(BA4,ListeProduits[],6,FALSE),"")</calculatedColumnFormula>
    </tableColumn>
    <tableColumn id="4" name="Commande" dataDxfId="0">
      <calculatedColumnFormula>IFERROR(IF(Stock_par_produits[[#This Row],[Stock nim]]="","",IF(Stock_par_produits[[#This Row],[Stock nim]]&gt;Stock_par_produits[[#This Row],[Quantités restants]],"Commander","Ok")),"")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name="ChronologieNative_Dates" sourceName="Dates">
  <pivotTables>
    <pivotTable tabId="8" name="Tableau croisé dynamique2"/>
  </pivotTables>
  <state minimalRefreshVersion="6" lastRefreshVersion="6" pivotCacheId="2" filterType="dateBetween">
    <selection startDate="2026-01-01T00:00:00" endDate="2026-12-31T00:00:00"/>
    <bounds startDate="2026-01-01T00:00:00" endDate="2027-01-01T00:00:00"/>
  </state>
</timelineCacheDefinition>
</file>

<file path=xl/timelineCaches/timelineCache2.xml><?xml version="1.0" encoding="utf-8"?>
<timelineCacheDefinition xmlns="http://schemas.microsoft.com/office/spreadsheetml/2010/11/main" xmlns:x15="http://schemas.microsoft.com/office/spreadsheetml/2010/11/main" name="ChronologieNative_Dates2" sourceName="Dates">
  <pivotTables>
    <pivotTable tabId="8" name="Tableau croisé dynamique8"/>
    <pivotTable tabId="8" name="Tableau croisé dynamique10"/>
  </pivotTables>
  <state minimalRefreshVersion="6" lastRefreshVersion="6" pivotCacheId="2" filterType="dateBetween">
    <selection startDate="2026-01-01T00:00:00" endDate="2026-01-31T00:00:00"/>
    <bounds startDate="2026-01-01T00:00:00" endDate="2027-01-01T00:00:00"/>
  </state>
</timelineCacheDefinition>
</file>

<file path=xl/timelineCaches/timelineCache3.xml><?xml version="1.0" encoding="utf-8"?>
<timelineCacheDefinition xmlns="http://schemas.microsoft.com/office/spreadsheetml/2010/11/main" xmlns:x15="http://schemas.microsoft.com/office/spreadsheetml/2010/11/main" name="ChronologieNative_Dates1" sourceName="Dates">
  <pivotTables>
    <pivotTable tabId="8" name="Tableau croisé dynamique3"/>
  </pivotTables>
  <state minimalRefreshVersion="6" lastRefreshVersion="6" pivotCacheId="2" filterType="dateBetween">
    <selection startDate="2026-01-01T00:00:00" endDate="2026-01-31T00:00:00"/>
    <bounds startDate="2026-01-01T00:00:00" endDate="2027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mc:Ignorable="x">
  <timeline name="Dates" cache="ChronologieNative_Dates" caption="Évolution du ventes" level="0" selectionLevel="0" scrollPosition="2026-01-01T00:00:00" style="TimeSlicerStyleDark6"/>
  <timeline name="Dates 1" cache="ChronologieNative_Dates1" caption="Top  vendus" level="2" selectionLevel="2" scrollPosition="2026-01-01T00:00:00" style="TimeSlicerStyleDark6"/>
</timelines>
</file>

<file path=xl/timelines/timeline2.xml><?xml version="1.0" encoding="utf-8"?>
<timelines xmlns="http://schemas.microsoft.com/office/spreadsheetml/2010/11/main" xmlns:mc="http://schemas.openxmlformats.org/markup-compatibility/2006" xmlns:x="http://schemas.openxmlformats.org/spreadsheetml/2006/main" mc:Ignorable="x">
  <timeline name="Dates 2" cache="ChronologieNative_Dates2" caption="Dates" level="2" selectionLevel="2" scrollPosition="2026-01-01T00:00:00" style="TimeSlicerStyleDark6"/>
</timelines>
</file>

<file path=xl/worksheets/_rels/sheet1.xml.rels><?xml version="1.0" encoding="UTF-8" standalone="yes"?>
<Relationships xmlns="http://schemas.openxmlformats.org/package/2006/relationships"><Relationship Id="rId3" Type="http://schemas.microsoft.com/office/2011/relationships/timeline" Target="../timelines/timelin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table" Target="../tables/table7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table" Target="../tables/table6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rinterSettings" Target="../printerSettings/printerSettings5.bin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Relationship Id="rId14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3" Type="http://schemas.microsoft.com/office/2011/relationships/timeline" Target="../timelines/timeline2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X177"/>
  <sheetViews>
    <sheetView showGridLines="0" showRowColHeaders="0" tabSelected="1" zoomScale="70" zoomScaleNormal="70" workbookViewId="0">
      <selection activeCell="A80" sqref="A80"/>
    </sheetView>
  </sheetViews>
  <sheetFormatPr baseColWidth="10" defaultRowHeight="15" x14ac:dyDescent="0.25"/>
  <cols>
    <col min="1" max="1" width="14.42578125" style="11" customWidth="1"/>
    <col min="2" max="2" width="13.28515625" style="11" customWidth="1"/>
    <col min="3" max="16384" width="11.42578125" style="10"/>
  </cols>
  <sheetData>
    <row r="1" spans="2:24" x14ac:dyDescent="0.25">
      <c r="B1" s="12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</row>
    <row r="2" spans="2:24" x14ac:dyDescent="0.25">
      <c r="B2" s="12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</row>
    <row r="3" spans="2:24" x14ac:dyDescent="0.25">
      <c r="B3" s="12"/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</row>
    <row r="4" spans="2:24" x14ac:dyDescent="0.25">
      <c r="B4" s="12"/>
    </row>
    <row r="5" spans="2:24" x14ac:dyDescent="0.25">
      <c r="B5" s="12"/>
    </row>
    <row r="6" spans="2:24" x14ac:dyDescent="0.25">
      <c r="B6" s="12"/>
    </row>
    <row r="7" spans="2:24" x14ac:dyDescent="0.25">
      <c r="B7" s="12"/>
    </row>
    <row r="8" spans="2:24" x14ac:dyDescent="0.25">
      <c r="B8" s="12"/>
    </row>
    <row r="9" spans="2:24" x14ac:dyDescent="0.25">
      <c r="B9" s="12"/>
    </row>
    <row r="10" spans="2:24" x14ac:dyDescent="0.25">
      <c r="B10" s="12"/>
    </row>
    <row r="11" spans="2:24" x14ac:dyDescent="0.25">
      <c r="B11" s="12"/>
      <c r="F11" s="10" t="s">
        <v>111</v>
      </c>
    </row>
    <row r="12" spans="2:24" x14ac:dyDescent="0.25">
      <c r="B12" s="12"/>
    </row>
    <row r="13" spans="2:24" x14ac:dyDescent="0.25">
      <c r="B13" s="12"/>
    </row>
    <row r="14" spans="2:24" x14ac:dyDescent="0.25">
      <c r="B14" s="12"/>
    </row>
    <row r="15" spans="2:24" x14ac:dyDescent="0.25">
      <c r="B15" s="12"/>
    </row>
    <row r="16" spans="2:24" x14ac:dyDescent="0.25">
      <c r="B16" s="12"/>
    </row>
    <row r="17" spans="2:2" x14ac:dyDescent="0.25">
      <c r="B17" s="12"/>
    </row>
    <row r="18" spans="2:2" x14ac:dyDescent="0.25">
      <c r="B18" s="12"/>
    </row>
    <row r="19" spans="2:2" x14ac:dyDescent="0.25">
      <c r="B19" s="12"/>
    </row>
    <row r="20" spans="2:2" x14ac:dyDescent="0.25">
      <c r="B20" s="12"/>
    </row>
    <row r="21" spans="2:2" x14ac:dyDescent="0.25">
      <c r="B21" s="12"/>
    </row>
    <row r="22" spans="2:2" x14ac:dyDescent="0.25">
      <c r="B22" s="12" t="s">
        <v>100</v>
      </c>
    </row>
    <row r="23" spans="2:2" x14ac:dyDescent="0.25">
      <c r="B23" s="12"/>
    </row>
    <row r="24" spans="2:2" x14ac:dyDescent="0.25">
      <c r="B24" s="12"/>
    </row>
    <row r="25" spans="2:2" x14ac:dyDescent="0.25">
      <c r="B25" s="12"/>
    </row>
    <row r="26" spans="2:2" x14ac:dyDescent="0.25">
      <c r="B26" s="12"/>
    </row>
    <row r="27" spans="2:2" x14ac:dyDescent="0.25">
      <c r="B27" s="12"/>
    </row>
    <row r="28" spans="2:2" x14ac:dyDescent="0.25">
      <c r="B28" s="12"/>
    </row>
    <row r="29" spans="2:2" x14ac:dyDescent="0.25">
      <c r="B29" s="12"/>
    </row>
    <row r="30" spans="2:2" x14ac:dyDescent="0.25">
      <c r="B30" s="12"/>
    </row>
    <row r="31" spans="2:2" x14ac:dyDescent="0.25">
      <c r="B31" s="12"/>
    </row>
    <row r="32" spans="2:2" x14ac:dyDescent="0.25">
      <c r="B32" s="12"/>
    </row>
    <row r="33" spans="2:2" x14ac:dyDescent="0.25">
      <c r="B33" s="12"/>
    </row>
    <row r="34" spans="2:2" x14ac:dyDescent="0.25">
      <c r="B34" s="12"/>
    </row>
    <row r="35" spans="2:2" x14ac:dyDescent="0.25">
      <c r="B35" s="12"/>
    </row>
    <row r="36" spans="2:2" x14ac:dyDescent="0.25">
      <c r="B36" s="12"/>
    </row>
    <row r="37" spans="2:2" x14ac:dyDescent="0.25">
      <c r="B37" s="12"/>
    </row>
    <row r="38" spans="2:2" x14ac:dyDescent="0.25">
      <c r="B38" s="12"/>
    </row>
    <row r="39" spans="2:2" x14ac:dyDescent="0.25">
      <c r="B39" s="67"/>
    </row>
    <row r="40" spans="2:2" x14ac:dyDescent="0.25">
      <c r="B40" s="12"/>
    </row>
    <row r="41" spans="2:2" x14ac:dyDescent="0.25">
      <c r="B41" s="12"/>
    </row>
    <row r="42" spans="2:2" x14ac:dyDescent="0.25">
      <c r="B42" s="12"/>
    </row>
    <row r="43" spans="2:2" x14ac:dyDescent="0.25">
      <c r="B43" s="12"/>
    </row>
    <row r="44" spans="2:2" x14ac:dyDescent="0.25">
      <c r="B44" s="12"/>
    </row>
    <row r="45" spans="2:2" x14ac:dyDescent="0.25">
      <c r="B45" s="12"/>
    </row>
    <row r="46" spans="2:2" x14ac:dyDescent="0.25">
      <c r="B46" s="12"/>
    </row>
    <row r="47" spans="2:2" x14ac:dyDescent="0.25">
      <c r="B47" s="12"/>
    </row>
    <row r="48" spans="2:2" x14ac:dyDescent="0.25">
      <c r="B48" s="12"/>
    </row>
    <row r="49" spans="2:2" x14ac:dyDescent="0.25">
      <c r="B49" s="12"/>
    </row>
    <row r="50" spans="2:2" x14ac:dyDescent="0.25">
      <c r="B50" s="12"/>
    </row>
    <row r="51" spans="2:2" x14ac:dyDescent="0.25">
      <c r="B51" s="12"/>
    </row>
    <row r="52" spans="2:2" x14ac:dyDescent="0.25">
      <c r="B52" s="12"/>
    </row>
    <row r="53" spans="2:2" x14ac:dyDescent="0.25">
      <c r="B53" s="12"/>
    </row>
    <row r="54" spans="2:2" x14ac:dyDescent="0.25">
      <c r="B54" s="12"/>
    </row>
    <row r="55" spans="2:2" x14ac:dyDescent="0.25">
      <c r="B55" s="12"/>
    </row>
    <row r="56" spans="2:2" x14ac:dyDescent="0.25">
      <c r="B56" s="12"/>
    </row>
    <row r="57" spans="2:2" x14ac:dyDescent="0.25">
      <c r="B57" s="12"/>
    </row>
    <row r="58" spans="2:2" x14ac:dyDescent="0.25">
      <c r="B58" s="12"/>
    </row>
    <row r="59" spans="2:2" x14ac:dyDescent="0.25">
      <c r="B59" s="12"/>
    </row>
    <row r="60" spans="2:2" x14ac:dyDescent="0.25">
      <c r="B60" s="12"/>
    </row>
    <row r="61" spans="2:2" x14ac:dyDescent="0.25">
      <c r="B61" s="12"/>
    </row>
    <row r="62" spans="2:2" x14ac:dyDescent="0.25">
      <c r="B62" s="12"/>
    </row>
    <row r="63" spans="2:2" x14ac:dyDescent="0.25">
      <c r="B63" s="12"/>
    </row>
    <row r="64" spans="2:2" x14ac:dyDescent="0.25">
      <c r="B64" s="12"/>
    </row>
    <row r="65" spans="2:2" x14ac:dyDescent="0.25">
      <c r="B65" s="12"/>
    </row>
    <row r="66" spans="2:2" x14ac:dyDescent="0.25">
      <c r="B66" s="12"/>
    </row>
    <row r="67" spans="2:2" x14ac:dyDescent="0.25">
      <c r="B67" s="12"/>
    </row>
    <row r="68" spans="2:2" x14ac:dyDescent="0.25">
      <c r="B68" s="12"/>
    </row>
    <row r="69" spans="2:2" x14ac:dyDescent="0.25">
      <c r="B69" s="12"/>
    </row>
    <row r="70" spans="2:2" x14ac:dyDescent="0.25">
      <c r="B70" s="12"/>
    </row>
    <row r="71" spans="2:2" x14ac:dyDescent="0.25">
      <c r="B71" s="12"/>
    </row>
    <row r="72" spans="2:2" x14ac:dyDescent="0.25">
      <c r="B72" s="12"/>
    </row>
    <row r="73" spans="2:2" x14ac:dyDescent="0.25">
      <c r="B73" s="12"/>
    </row>
    <row r="74" spans="2:2" x14ac:dyDescent="0.25">
      <c r="B74" s="12"/>
    </row>
    <row r="75" spans="2:2" x14ac:dyDescent="0.25">
      <c r="B75" s="12"/>
    </row>
    <row r="76" spans="2:2" x14ac:dyDescent="0.25">
      <c r="B76" s="12"/>
    </row>
    <row r="77" spans="2:2" x14ac:dyDescent="0.25">
      <c r="B77" s="12"/>
    </row>
    <row r="78" spans="2:2" x14ac:dyDescent="0.25">
      <c r="B78" s="12"/>
    </row>
    <row r="79" spans="2:2" x14ac:dyDescent="0.25">
      <c r="B79" s="12"/>
    </row>
    <row r="80" spans="2:2" x14ac:dyDescent="0.25">
      <c r="B80" s="12"/>
    </row>
    <row r="81" spans="2:2" x14ac:dyDescent="0.25">
      <c r="B81" s="12"/>
    </row>
    <row r="82" spans="2:2" x14ac:dyDescent="0.25">
      <c r="B82" s="12"/>
    </row>
    <row r="83" spans="2:2" x14ac:dyDescent="0.25">
      <c r="B83" s="12"/>
    </row>
    <row r="84" spans="2:2" x14ac:dyDescent="0.25">
      <c r="B84" s="12"/>
    </row>
    <row r="85" spans="2:2" x14ac:dyDescent="0.25">
      <c r="B85" s="12"/>
    </row>
    <row r="86" spans="2:2" x14ac:dyDescent="0.25">
      <c r="B86" s="12"/>
    </row>
    <row r="87" spans="2:2" x14ac:dyDescent="0.25">
      <c r="B87" s="12"/>
    </row>
    <row r="88" spans="2:2" x14ac:dyDescent="0.25">
      <c r="B88" s="12"/>
    </row>
    <row r="89" spans="2:2" x14ac:dyDescent="0.25">
      <c r="B89" s="12"/>
    </row>
    <row r="90" spans="2:2" x14ac:dyDescent="0.25">
      <c r="B90" s="12"/>
    </row>
    <row r="91" spans="2:2" x14ac:dyDescent="0.25">
      <c r="B91" s="12"/>
    </row>
    <row r="92" spans="2:2" x14ac:dyDescent="0.25">
      <c r="B92" s="12"/>
    </row>
    <row r="93" spans="2:2" x14ac:dyDescent="0.25">
      <c r="B93" s="12"/>
    </row>
    <row r="94" spans="2:2" x14ac:dyDescent="0.25">
      <c r="B94" s="12"/>
    </row>
    <row r="95" spans="2:2" x14ac:dyDescent="0.25">
      <c r="B95" s="12"/>
    </row>
    <row r="96" spans="2:2" x14ac:dyDescent="0.25">
      <c r="B96" s="12"/>
    </row>
    <row r="97" spans="2:2" x14ac:dyDescent="0.25">
      <c r="B97" s="12"/>
    </row>
    <row r="98" spans="2:2" x14ac:dyDescent="0.25">
      <c r="B98" s="12"/>
    </row>
    <row r="99" spans="2:2" x14ac:dyDescent="0.25">
      <c r="B99" s="12"/>
    </row>
    <row r="100" spans="2:2" x14ac:dyDescent="0.25">
      <c r="B100" s="12"/>
    </row>
    <row r="101" spans="2:2" x14ac:dyDescent="0.25">
      <c r="B101" s="12"/>
    </row>
    <row r="102" spans="2:2" x14ac:dyDescent="0.25">
      <c r="B102" s="12"/>
    </row>
    <row r="103" spans="2:2" x14ac:dyDescent="0.25">
      <c r="B103" s="12"/>
    </row>
    <row r="104" spans="2:2" x14ac:dyDescent="0.25">
      <c r="B104" s="12"/>
    </row>
    <row r="105" spans="2:2" x14ac:dyDescent="0.25">
      <c r="B105" s="12"/>
    </row>
    <row r="106" spans="2:2" x14ac:dyDescent="0.25">
      <c r="B106" s="12"/>
    </row>
    <row r="107" spans="2:2" x14ac:dyDescent="0.25">
      <c r="B107" s="12"/>
    </row>
    <row r="108" spans="2:2" x14ac:dyDescent="0.25">
      <c r="B108" s="12"/>
    </row>
    <row r="109" spans="2:2" x14ac:dyDescent="0.25">
      <c r="B109" s="12"/>
    </row>
    <row r="110" spans="2:2" x14ac:dyDescent="0.25">
      <c r="B110" s="12"/>
    </row>
    <row r="111" spans="2:2" x14ac:dyDescent="0.25">
      <c r="B111" s="12"/>
    </row>
    <row r="112" spans="2:2" x14ac:dyDescent="0.25">
      <c r="B112" s="12"/>
    </row>
    <row r="113" spans="2:2" x14ac:dyDescent="0.25">
      <c r="B113" s="12"/>
    </row>
    <row r="114" spans="2:2" x14ac:dyDescent="0.25">
      <c r="B114" s="12"/>
    </row>
    <row r="115" spans="2:2" x14ac:dyDescent="0.25">
      <c r="B115" s="12"/>
    </row>
    <row r="116" spans="2:2" x14ac:dyDescent="0.25">
      <c r="B116" s="12"/>
    </row>
    <row r="117" spans="2:2" x14ac:dyDescent="0.25">
      <c r="B117" s="12"/>
    </row>
    <row r="118" spans="2:2" x14ac:dyDescent="0.25">
      <c r="B118" s="12"/>
    </row>
    <row r="119" spans="2:2" x14ac:dyDescent="0.25">
      <c r="B119" s="12"/>
    </row>
    <row r="120" spans="2:2" x14ac:dyDescent="0.25">
      <c r="B120" s="12"/>
    </row>
    <row r="121" spans="2:2" x14ac:dyDescent="0.25">
      <c r="B121" s="12"/>
    </row>
    <row r="122" spans="2:2" x14ac:dyDescent="0.25">
      <c r="B122" s="12"/>
    </row>
    <row r="123" spans="2:2" x14ac:dyDescent="0.25">
      <c r="B123" s="12"/>
    </row>
    <row r="124" spans="2:2" x14ac:dyDescent="0.25">
      <c r="B124" s="12"/>
    </row>
    <row r="125" spans="2:2" x14ac:dyDescent="0.25">
      <c r="B125" s="12"/>
    </row>
    <row r="126" spans="2:2" x14ac:dyDescent="0.25">
      <c r="B126" s="12"/>
    </row>
    <row r="127" spans="2:2" x14ac:dyDescent="0.25">
      <c r="B127" s="12"/>
    </row>
    <row r="128" spans="2:2" x14ac:dyDescent="0.25">
      <c r="B128" s="12"/>
    </row>
    <row r="129" spans="2:2" x14ac:dyDescent="0.25">
      <c r="B129" s="12"/>
    </row>
    <row r="130" spans="2:2" x14ac:dyDescent="0.25">
      <c r="B130" s="12"/>
    </row>
    <row r="131" spans="2:2" x14ac:dyDescent="0.25">
      <c r="B131" s="12"/>
    </row>
    <row r="132" spans="2:2" x14ac:dyDescent="0.25">
      <c r="B132" s="12"/>
    </row>
    <row r="133" spans="2:2" x14ac:dyDescent="0.25">
      <c r="B133" s="12"/>
    </row>
    <row r="134" spans="2:2" x14ac:dyDescent="0.25">
      <c r="B134" s="12"/>
    </row>
    <row r="135" spans="2:2" x14ac:dyDescent="0.25">
      <c r="B135" s="12"/>
    </row>
    <row r="136" spans="2:2" x14ac:dyDescent="0.25">
      <c r="B136" s="12"/>
    </row>
    <row r="137" spans="2:2" x14ac:dyDescent="0.25">
      <c r="B137" s="12"/>
    </row>
    <row r="138" spans="2:2" x14ac:dyDescent="0.25">
      <c r="B138" s="12"/>
    </row>
    <row r="139" spans="2:2" x14ac:dyDescent="0.25">
      <c r="B139" s="12"/>
    </row>
    <row r="140" spans="2:2" x14ac:dyDescent="0.25">
      <c r="B140" s="12"/>
    </row>
    <row r="141" spans="2:2" x14ac:dyDescent="0.25">
      <c r="B141" s="12"/>
    </row>
    <row r="142" spans="2:2" x14ac:dyDescent="0.25">
      <c r="B142" s="12"/>
    </row>
    <row r="143" spans="2:2" x14ac:dyDescent="0.25">
      <c r="B143" s="12"/>
    </row>
    <row r="144" spans="2:2" x14ac:dyDescent="0.25">
      <c r="B144" s="12"/>
    </row>
    <row r="145" spans="2:2" x14ac:dyDescent="0.25">
      <c r="B145" s="12"/>
    </row>
    <row r="146" spans="2:2" x14ac:dyDescent="0.25">
      <c r="B146" s="12"/>
    </row>
    <row r="147" spans="2:2" x14ac:dyDescent="0.25">
      <c r="B147" s="12"/>
    </row>
    <row r="148" spans="2:2" x14ac:dyDescent="0.25">
      <c r="B148" s="12"/>
    </row>
    <row r="149" spans="2:2" x14ac:dyDescent="0.25">
      <c r="B149" s="12"/>
    </row>
    <row r="150" spans="2:2" x14ac:dyDescent="0.25">
      <c r="B150" s="12"/>
    </row>
    <row r="151" spans="2:2" x14ac:dyDescent="0.25">
      <c r="B151" s="12"/>
    </row>
    <row r="152" spans="2:2" x14ac:dyDescent="0.25">
      <c r="B152" s="12"/>
    </row>
    <row r="153" spans="2:2" x14ac:dyDescent="0.25">
      <c r="B153" s="12"/>
    </row>
    <row r="154" spans="2:2" x14ac:dyDescent="0.25">
      <c r="B154" s="12"/>
    </row>
    <row r="155" spans="2:2" x14ac:dyDescent="0.25">
      <c r="B155" s="12"/>
    </row>
    <row r="156" spans="2:2" x14ac:dyDescent="0.25">
      <c r="B156" s="12"/>
    </row>
    <row r="157" spans="2:2" x14ac:dyDescent="0.25">
      <c r="B157" s="12"/>
    </row>
    <row r="158" spans="2:2" x14ac:dyDescent="0.25">
      <c r="B158" s="12"/>
    </row>
    <row r="159" spans="2:2" x14ac:dyDescent="0.25">
      <c r="B159" s="12"/>
    </row>
    <row r="160" spans="2:2" x14ac:dyDescent="0.25">
      <c r="B160" s="12"/>
    </row>
    <row r="161" spans="2:2" x14ac:dyDescent="0.25">
      <c r="B161" s="12"/>
    </row>
    <row r="162" spans="2:2" x14ac:dyDescent="0.25">
      <c r="B162" s="12"/>
    </row>
    <row r="163" spans="2:2" x14ac:dyDescent="0.25">
      <c r="B163" s="12"/>
    </row>
    <row r="164" spans="2:2" x14ac:dyDescent="0.25">
      <c r="B164" s="12"/>
    </row>
    <row r="165" spans="2:2" x14ac:dyDescent="0.25">
      <c r="B165" s="12"/>
    </row>
    <row r="166" spans="2:2" x14ac:dyDescent="0.25">
      <c r="B166" s="12"/>
    </row>
    <row r="167" spans="2:2" x14ac:dyDescent="0.25">
      <c r="B167" s="12"/>
    </row>
    <row r="168" spans="2:2" x14ac:dyDescent="0.25">
      <c r="B168" s="12"/>
    </row>
    <row r="169" spans="2:2" x14ac:dyDescent="0.25">
      <c r="B169" s="12"/>
    </row>
    <row r="170" spans="2:2" x14ac:dyDescent="0.25">
      <c r="B170" s="12"/>
    </row>
    <row r="171" spans="2:2" x14ac:dyDescent="0.25">
      <c r="B171" s="12"/>
    </row>
    <row r="172" spans="2:2" x14ac:dyDescent="0.25">
      <c r="B172" s="12"/>
    </row>
    <row r="173" spans="2:2" x14ac:dyDescent="0.25">
      <c r="B173" s="12"/>
    </row>
    <row r="174" spans="2:2" x14ac:dyDescent="0.25">
      <c r="B174" s="12"/>
    </row>
    <row r="175" spans="2:2" x14ac:dyDescent="0.25">
      <c r="B175" s="12"/>
    </row>
    <row r="176" spans="2:2" x14ac:dyDescent="0.25">
      <c r="B176" s="12"/>
    </row>
    <row r="177" spans="2:2" x14ac:dyDescent="0.25">
      <c r="B177" s="12"/>
    </row>
  </sheetData>
  <pageMargins left="0.7" right="0.7" top="0.75" bottom="0.75" header="0.3" footer="0.3"/>
  <pageSetup paperSize="9" orientation="portrait" r:id="rId1"/>
  <drawing r:id="rId2"/>
  <extLst>
    <ext xmlns:x15="http://schemas.microsoft.com/office/spreadsheetml/2010/11/main" uri="{7E03D99C-DC04-49d9-9315-930204A7B6E9}">
      <x15:timelineRefs>
        <x15:timelineRef r:id="rId3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I40"/>
  <sheetViews>
    <sheetView zoomScale="80" zoomScaleNormal="80" workbookViewId="0">
      <pane ySplit="14" topLeftCell="A15" activePane="bottomLeft" state="frozen"/>
      <selection pane="bottomLeft" activeCell="C41" sqref="C41"/>
    </sheetView>
  </sheetViews>
  <sheetFormatPr baseColWidth="10" defaultRowHeight="15.75" x14ac:dyDescent="0.25"/>
  <cols>
    <col min="1" max="1" width="4.85546875" style="4" customWidth="1"/>
    <col min="2" max="2" width="7" style="1" customWidth="1"/>
    <col min="3" max="3" width="36" style="1" customWidth="1"/>
    <col min="4" max="4" width="45.42578125" style="1" bestFit="1" customWidth="1"/>
    <col min="5" max="5" width="30" style="1" customWidth="1"/>
    <col min="6" max="6" width="26.42578125" style="1" bestFit="1" customWidth="1"/>
    <col min="7" max="7" width="26.5703125" style="1" bestFit="1" customWidth="1"/>
    <col min="8" max="8" width="24.7109375" style="1" bestFit="1" customWidth="1"/>
    <col min="9" max="9" width="11.42578125" style="1"/>
    <col min="10" max="16384" width="11.42578125" style="4"/>
  </cols>
  <sheetData>
    <row r="1" spans="1:9" s="1" customFormat="1" x14ac:dyDescent="0.25">
      <c r="A1" s="9"/>
      <c r="B1" s="9"/>
      <c r="C1" s="9"/>
    </row>
    <row r="2" spans="1:9" s="1" customFormat="1" x14ac:dyDescent="0.25"/>
    <row r="3" spans="1:9" s="1" customFormat="1" x14ac:dyDescent="0.25"/>
    <row r="4" spans="1:9" x14ac:dyDescent="0.25">
      <c r="B4" s="4"/>
      <c r="C4" s="4"/>
      <c r="D4" s="4"/>
      <c r="E4" s="4"/>
      <c r="F4" s="4"/>
      <c r="G4" s="4"/>
      <c r="H4" s="4"/>
      <c r="I4" s="4"/>
    </row>
    <row r="6" spans="1:9" x14ac:dyDescent="0.25">
      <c r="C6" s="5" t="s">
        <v>87</v>
      </c>
    </row>
    <row r="7" spans="1:9" x14ac:dyDescent="0.25">
      <c r="C7" s="3" t="s">
        <v>68</v>
      </c>
    </row>
    <row r="9" spans="1:9" x14ac:dyDescent="0.25">
      <c r="C9" s="141" t="s">
        <v>182</v>
      </c>
    </row>
    <row r="10" spans="1:9" x14ac:dyDescent="0.25">
      <c r="C10" s="140" t="s">
        <v>181</v>
      </c>
    </row>
    <row r="11" spans="1:9" x14ac:dyDescent="0.25">
      <c r="C11" s="140" t="s">
        <v>187</v>
      </c>
      <c r="F11"/>
    </row>
    <row r="12" spans="1:9" x14ac:dyDescent="0.25">
      <c r="C12" s="6"/>
      <c r="D12" s="7"/>
      <c r="E12" s="6"/>
      <c r="F12" s="7"/>
    </row>
    <row r="13" spans="1:9" ht="21.75" customHeight="1" x14ac:dyDescent="0.25">
      <c r="C13" s="8" t="s">
        <v>88</v>
      </c>
    </row>
    <row r="14" spans="1:9" x14ac:dyDescent="0.25">
      <c r="C14" s="29" t="s">
        <v>1</v>
      </c>
      <c r="D14" s="29" t="s">
        <v>0</v>
      </c>
      <c r="E14" s="29" t="s">
        <v>75</v>
      </c>
      <c r="F14" s="29" t="s">
        <v>3</v>
      </c>
      <c r="G14" s="29" t="s">
        <v>76</v>
      </c>
      <c r="H14" s="29" t="s">
        <v>77</v>
      </c>
    </row>
    <row r="15" spans="1:9" x14ac:dyDescent="0.25">
      <c r="C15" s="74" t="s">
        <v>10</v>
      </c>
      <c r="D15" s="1" t="s">
        <v>53</v>
      </c>
      <c r="E15" s="1" t="s">
        <v>11</v>
      </c>
      <c r="F15" s="1">
        <v>500</v>
      </c>
      <c r="G15" s="1">
        <v>800</v>
      </c>
      <c r="H15" s="1">
        <v>50</v>
      </c>
    </row>
    <row r="16" spans="1:9" x14ac:dyDescent="0.25">
      <c r="C16" s="1" t="s">
        <v>13</v>
      </c>
      <c r="D16" s="1" t="s">
        <v>52</v>
      </c>
      <c r="E16" s="1" t="s">
        <v>11</v>
      </c>
      <c r="F16" s="1">
        <v>800</v>
      </c>
      <c r="G16" s="1">
        <v>1200</v>
      </c>
      <c r="H16" s="1">
        <v>40</v>
      </c>
    </row>
    <row r="17" spans="3:8" x14ac:dyDescent="0.25">
      <c r="C17" s="1" t="s">
        <v>15</v>
      </c>
      <c r="D17" s="1" t="s">
        <v>50</v>
      </c>
      <c r="E17" s="1" t="s">
        <v>16</v>
      </c>
      <c r="F17" s="1">
        <v>700</v>
      </c>
      <c r="G17" s="1">
        <v>1100</v>
      </c>
      <c r="H17" s="1">
        <v>40</v>
      </c>
    </row>
    <row r="18" spans="3:8" x14ac:dyDescent="0.25">
      <c r="C18" s="1" t="s">
        <v>18</v>
      </c>
      <c r="D18" s="1" t="s">
        <v>49</v>
      </c>
      <c r="E18" s="1" t="s">
        <v>11</v>
      </c>
      <c r="F18" s="1">
        <v>600</v>
      </c>
      <c r="G18" s="1">
        <v>900</v>
      </c>
      <c r="H18" s="1">
        <v>30</v>
      </c>
    </row>
    <row r="19" spans="3:8" x14ac:dyDescent="0.25">
      <c r="C19" s="1" t="s">
        <v>20</v>
      </c>
      <c r="D19" s="1" t="s">
        <v>48</v>
      </c>
      <c r="E19" s="1" t="s">
        <v>21</v>
      </c>
      <c r="F19" s="1">
        <v>1500</v>
      </c>
      <c r="G19" s="1">
        <v>2200</v>
      </c>
      <c r="H19" s="1">
        <v>30</v>
      </c>
    </row>
    <row r="20" spans="3:8" x14ac:dyDescent="0.25">
      <c r="C20" s="1" t="s">
        <v>23</v>
      </c>
      <c r="D20" s="1" t="s">
        <v>47</v>
      </c>
      <c r="E20" s="1" t="s">
        <v>21</v>
      </c>
      <c r="F20" s="1">
        <v>1800</v>
      </c>
      <c r="G20" s="1">
        <v>2600</v>
      </c>
      <c r="H20" s="1">
        <v>25</v>
      </c>
    </row>
    <row r="21" spans="3:8" x14ac:dyDescent="0.25">
      <c r="C21" s="1" t="s">
        <v>25</v>
      </c>
      <c r="D21" s="1" t="s">
        <v>45</v>
      </c>
      <c r="E21" s="1" t="s">
        <v>21</v>
      </c>
      <c r="F21" s="1">
        <v>1200</v>
      </c>
      <c r="G21" s="1">
        <v>1800</v>
      </c>
      <c r="H21" s="1">
        <v>20</v>
      </c>
    </row>
    <row r="22" spans="3:8" x14ac:dyDescent="0.25">
      <c r="C22" s="1" t="s">
        <v>144</v>
      </c>
      <c r="D22" s="1" t="s">
        <v>43</v>
      </c>
      <c r="E22" s="1" t="s">
        <v>21</v>
      </c>
      <c r="F22" s="1">
        <v>1800</v>
      </c>
      <c r="G22" s="1">
        <v>2600</v>
      </c>
      <c r="H22" s="1">
        <v>20</v>
      </c>
    </row>
    <row r="23" spans="3:8" x14ac:dyDescent="0.25">
      <c r="C23" s="1" t="s">
        <v>27</v>
      </c>
      <c r="D23" s="1" t="s">
        <v>41</v>
      </c>
      <c r="E23" s="1" t="s">
        <v>21</v>
      </c>
      <c r="F23" s="1">
        <v>700</v>
      </c>
      <c r="G23" s="1">
        <v>1100</v>
      </c>
      <c r="H23" s="1">
        <v>20</v>
      </c>
    </row>
    <row r="24" spans="3:8" x14ac:dyDescent="0.25">
      <c r="C24" s="1" t="s">
        <v>143</v>
      </c>
      <c r="D24" s="1" t="s">
        <v>40</v>
      </c>
      <c r="E24" s="1" t="s">
        <v>21</v>
      </c>
      <c r="F24" s="1">
        <v>500</v>
      </c>
      <c r="G24" s="1">
        <v>800</v>
      </c>
      <c r="H24" s="1">
        <v>25</v>
      </c>
    </row>
    <row r="25" spans="3:8" x14ac:dyDescent="0.25">
      <c r="C25" s="1" t="s">
        <v>31</v>
      </c>
      <c r="D25" s="1" t="s">
        <v>39</v>
      </c>
      <c r="E25" s="1" t="s">
        <v>32</v>
      </c>
      <c r="F25" s="1">
        <v>300</v>
      </c>
      <c r="G25" s="1">
        <v>500</v>
      </c>
      <c r="H25" s="1">
        <v>30</v>
      </c>
    </row>
    <row r="26" spans="3:8" x14ac:dyDescent="0.25">
      <c r="C26" s="1" t="s">
        <v>34</v>
      </c>
      <c r="D26" s="1" t="s">
        <v>38</v>
      </c>
      <c r="E26" s="1" t="s">
        <v>32</v>
      </c>
      <c r="F26" s="1">
        <v>400</v>
      </c>
      <c r="G26" s="1">
        <v>600</v>
      </c>
      <c r="H26" s="1">
        <v>30</v>
      </c>
    </row>
    <row r="27" spans="3:8" x14ac:dyDescent="0.25">
      <c r="C27" s="1" t="s">
        <v>37</v>
      </c>
      <c r="D27" s="1" t="s">
        <v>36</v>
      </c>
      <c r="E27" s="1" t="s">
        <v>32</v>
      </c>
      <c r="F27" s="1">
        <v>900</v>
      </c>
      <c r="G27" s="1">
        <v>1400</v>
      </c>
      <c r="H27" s="1">
        <v>30</v>
      </c>
    </row>
    <row r="28" spans="3:8" x14ac:dyDescent="0.25">
      <c r="C28" s="1" t="s">
        <v>42</v>
      </c>
      <c r="D28" s="1" t="s">
        <v>35</v>
      </c>
      <c r="E28" s="1" t="s">
        <v>11</v>
      </c>
      <c r="F28" s="1">
        <v>1400</v>
      </c>
      <c r="G28" s="1">
        <v>2100</v>
      </c>
      <c r="H28" s="1">
        <v>25</v>
      </c>
    </row>
    <row r="29" spans="3:8" x14ac:dyDescent="0.25">
      <c r="C29" s="1" t="s">
        <v>46</v>
      </c>
      <c r="D29" s="1" t="s">
        <v>33</v>
      </c>
      <c r="E29" s="1" t="s">
        <v>44</v>
      </c>
      <c r="F29" s="1">
        <v>1300</v>
      </c>
      <c r="G29" s="1">
        <v>1900</v>
      </c>
      <c r="H29" s="1">
        <v>15</v>
      </c>
    </row>
    <row r="30" spans="3:8" x14ac:dyDescent="0.25">
      <c r="C30" s="1" t="s">
        <v>51</v>
      </c>
      <c r="D30" s="1" t="s">
        <v>30</v>
      </c>
      <c r="E30" s="1" t="s">
        <v>142</v>
      </c>
      <c r="F30" s="1">
        <v>1500</v>
      </c>
      <c r="G30" s="1">
        <v>2300</v>
      </c>
      <c r="H30" s="1">
        <v>20</v>
      </c>
    </row>
    <row r="31" spans="3:8" x14ac:dyDescent="0.25">
      <c r="C31" s="1" t="s">
        <v>54</v>
      </c>
      <c r="D31" s="1" t="s">
        <v>29</v>
      </c>
      <c r="E31" s="1" t="s">
        <v>142</v>
      </c>
      <c r="F31" s="1">
        <v>2500</v>
      </c>
      <c r="G31" s="1">
        <v>3500</v>
      </c>
      <c r="H31" s="1">
        <v>15</v>
      </c>
    </row>
    <row r="32" spans="3:8" x14ac:dyDescent="0.25">
      <c r="C32" s="1" t="s">
        <v>55</v>
      </c>
      <c r="D32" s="1" t="s">
        <v>28</v>
      </c>
      <c r="E32" s="1" t="s">
        <v>56</v>
      </c>
      <c r="F32" s="1">
        <v>500</v>
      </c>
      <c r="G32" s="1">
        <v>800</v>
      </c>
      <c r="H32" s="1">
        <v>20</v>
      </c>
    </row>
    <row r="33" spans="3:8" x14ac:dyDescent="0.25">
      <c r="C33" s="1" t="s">
        <v>57</v>
      </c>
      <c r="D33" s="1" t="s">
        <v>26</v>
      </c>
      <c r="E33" s="1" t="s">
        <v>58</v>
      </c>
      <c r="F33" s="1">
        <v>2200</v>
      </c>
      <c r="G33" s="1">
        <v>3200</v>
      </c>
      <c r="H33" s="1">
        <v>15</v>
      </c>
    </row>
    <row r="34" spans="3:8" x14ac:dyDescent="0.25">
      <c r="C34" s="1" t="s">
        <v>59</v>
      </c>
      <c r="D34" s="1" t="s">
        <v>24</v>
      </c>
      <c r="E34" s="1" t="s">
        <v>58</v>
      </c>
      <c r="F34" s="1">
        <v>2500</v>
      </c>
      <c r="G34" s="1">
        <v>3500</v>
      </c>
      <c r="H34" s="1">
        <v>15</v>
      </c>
    </row>
    <row r="35" spans="3:8" x14ac:dyDescent="0.25">
      <c r="C35" s="1" t="s">
        <v>60</v>
      </c>
      <c r="D35" s="1" t="s">
        <v>22</v>
      </c>
      <c r="E35" s="1" t="s">
        <v>21</v>
      </c>
      <c r="F35" s="1">
        <v>1800</v>
      </c>
      <c r="G35" s="1">
        <v>2600</v>
      </c>
      <c r="H35" s="1">
        <v>25</v>
      </c>
    </row>
    <row r="36" spans="3:8" x14ac:dyDescent="0.25">
      <c r="C36" s="1" t="s">
        <v>61</v>
      </c>
      <c r="D36" s="1" t="s">
        <v>19</v>
      </c>
      <c r="E36" s="1" t="s">
        <v>21</v>
      </c>
      <c r="F36" s="1">
        <v>1200</v>
      </c>
      <c r="G36" s="1">
        <v>1800</v>
      </c>
      <c r="H36" s="1">
        <v>15</v>
      </c>
    </row>
    <row r="37" spans="3:8" x14ac:dyDescent="0.25">
      <c r="C37" s="1" t="s">
        <v>62</v>
      </c>
      <c r="D37" s="1" t="s">
        <v>17</v>
      </c>
      <c r="E37" s="1" t="s">
        <v>16</v>
      </c>
      <c r="F37" s="1">
        <v>1200</v>
      </c>
      <c r="G37" s="1">
        <v>1800</v>
      </c>
      <c r="H37" s="1">
        <v>20</v>
      </c>
    </row>
    <row r="38" spans="3:8" x14ac:dyDescent="0.25">
      <c r="C38" s="1" t="s">
        <v>64</v>
      </c>
      <c r="D38" s="1" t="s">
        <v>14</v>
      </c>
      <c r="E38" s="1" t="s">
        <v>63</v>
      </c>
      <c r="F38" s="1">
        <v>800</v>
      </c>
      <c r="G38" s="1">
        <v>1200</v>
      </c>
      <c r="H38" s="1">
        <v>30</v>
      </c>
    </row>
    <row r="39" spans="3:8" x14ac:dyDescent="0.25">
      <c r="C39" s="1" t="s">
        <v>65</v>
      </c>
      <c r="D39" s="1" t="s">
        <v>12</v>
      </c>
      <c r="E39" s="1" t="s">
        <v>66</v>
      </c>
      <c r="F39" s="1">
        <v>1500</v>
      </c>
      <c r="G39" s="1">
        <v>2200</v>
      </c>
      <c r="H39" s="1">
        <v>20</v>
      </c>
    </row>
    <row r="40" spans="3:8" x14ac:dyDescent="0.25">
      <c r="C40" s="1" t="s">
        <v>67</v>
      </c>
      <c r="D40" s="1" t="s">
        <v>9</v>
      </c>
      <c r="E40" s="1" t="s">
        <v>66</v>
      </c>
      <c r="F40" s="1">
        <v>1000</v>
      </c>
      <c r="G40" s="1">
        <v>1500</v>
      </c>
      <c r="H40" s="1">
        <v>25</v>
      </c>
    </row>
  </sheetData>
  <sortState ref="C15:H40">
    <sortCondition descending="1" ref="D44"/>
  </sortState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B1:K67"/>
  <sheetViews>
    <sheetView showGridLines="0" zoomScale="80" zoomScaleNormal="80" workbookViewId="0">
      <pane ySplit="14" topLeftCell="A15" activePane="bottomLeft" state="frozen"/>
      <selection pane="bottomLeft" activeCell="C68" sqref="C68"/>
    </sheetView>
  </sheetViews>
  <sheetFormatPr baseColWidth="10" defaultRowHeight="15.75" x14ac:dyDescent="0.25"/>
  <cols>
    <col min="1" max="1" width="5.7109375" style="2" customWidth="1"/>
    <col min="2" max="2" width="5.5703125" style="1" customWidth="1"/>
    <col min="3" max="3" width="17.42578125" style="1" customWidth="1"/>
    <col min="4" max="4" width="30" style="1" customWidth="1"/>
    <col min="5" max="5" width="36.5703125" style="1" customWidth="1"/>
    <col min="6" max="6" width="21.85546875" style="1" customWidth="1"/>
    <col min="7" max="7" width="26" style="1" customWidth="1"/>
    <col min="8" max="8" width="23.5703125" style="1" bestFit="1" customWidth="1"/>
    <col min="9" max="9" width="16.42578125" style="1" customWidth="1"/>
    <col min="10" max="10" width="22.28515625" style="1" customWidth="1"/>
    <col min="11" max="11" width="11.42578125" style="1"/>
    <col min="12" max="16384" width="11.42578125" style="2"/>
  </cols>
  <sheetData>
    <row r="1" spans="2:11" s="1" customFormat="1" x14ac:dyDescent="0.25"/>
    <row r="2" spans="2:11" s="1" customFormat="1" x14ac:dyDescent="0.25"/>
    <row r="3" spans="2:11" s="1" customFormat="1" x14ac:dyDescent="0.25"/>
    <row r="4" spans="2:11" x14ac:dyDescent="0.25">
      <c r="B4" s="2"/>
      <c r="C4" s="2"/>
      <c r="D4" s="2"/>
      <c r="E4" s="2"/>
      <c r="F4" s="2"/>
      <c r="G4" s="2"/>
      <c r="H4" s="2"/>
      <c r="I4" s="2"/>
      <c r="J4" s="2"/>
      <c r="K4" s="2"/>
    </row>
    <row r="5" spans="2:11" x14ac:dyDescent="0.25">
      <c r="E5" s="24"/>
    </row>
    <row r="6" spans="2:11" x14ac:dyDescent="0.25">
      <c r="C6" s="3" t="s">
        <v>89</v>
      </c>
    </row>
    <row r="7" spans="2:11" x14ac:dyDescent="0.25">
      <c r="C7" s="3" t="s">
        <v>70</v>
      </c>
    </row>
    <row r="8" spans="2:11" x14ac:dyDescent="0.25">
      <c r="C8" s="3"/>
      <c r="E8" s="55"/>
      <c r="F8" s="55"/>
      <c r="G8" s="55"/>
      <c r="H8" s="55"/>
    </row>
    <row r="9" spans="2:11" x14ac:dyDescent="0.25">
      <c r="C9" s="55"/>
      <c r="D9" s="55"/>
      <c r="E9" s="55"/>
      <c r="F9" s="55"/>
      <c r="G9" s="55"/>
      <c r="H9" s="55"/>
    </row>
    <row r="10" spans="2:11" x14ac:dyDescent="0.25">
      <c r="C10" s="55"/>
      <c r="D10" s="55"/>
      <c r="E10" s="55"/>
      <c r="F10" s="55"/>
      <c r="G10" s="55"/>
      <c r="H10" s="55"/>
    </row>
    <row r="11" spans="2:11" x14ac:dyDescent="0.25">
      <c r="C11" s="55"/>
      <c r="D11" s="55"/>
      <c r="E11" s="55"/>
      <c r="F11" s="55"/>
      <c r="G11" s="55"/>
      <c r="H11" s="55"/>
    </row>
    <row r="12" spans="2:11" x14ac:dyDescent="0.25">
      <c r="E12" s="55"/>
      <c r="F12" s="55"/>
      <c r="G12" s="55"/>
      <c r="H12" s="55"/>
    </row>
    <row r="13" spans="2:11" ht="21.75" customHeight="1" x14ac:dyDescent="0.25">
      <c r="C13" s="8" t="s">
        <v>90</v>
      </c>
    </row>
    <row r="14" spans="2:11" x14ac:dyDescent="0.25">
      <c r="C14" s="17" t="s">
        <v>4</v>
      </c>
      <c r="D14" s="18" t="s">
        <v>0</v>
      </c>
      <c r="E14" s="18" t="s">
        <v>1</v>
      </c>
      <c r="F14" s="18" t="s">
        <v>80</v>
      </c>
      <c r="G14" s="18" t="s">
        <v>5</v>
      </c>
      <c r="H14" s="18" t="s">
        <v>6</v>
      </c>
      <c r="I14" s="19" t="s">
        <v>3</v>
      </c>
      <c r="J14" s="18" t="s">
        <v>7</v>
      </c>
    </row>
    <row r="15" spans="2:11" x14ac:dyDescent="0.25">
      <c r="C15" s="25" t="s">
        <v>161</v>
      </c>
      <c r="D15" s="14" t="s">
        <v>17</v>
      </c>
      <c r="E15" s="14" t="s">
        <v>62</v>
      </c>
      <c r="F15" s="127">
        <v>46251</v>
      </c>
      <c r="G15" s="128">
        <v>46752</v>
      </c>
      <c r="H15" s="26">
        <v>20</v>
      </c>
      <c r="I15" s="15">
        <v>1200</v>
      </c>
      <c r="J15" s="16">
        <v>24000</v>
      </c>
    </row>
    <row r="16" spans="2:11" x14ac:dyDescent="0.25">
      <c r="C16" s="25" t="s">
        <v>161</v>
      </c>
      <c r="D16" s="14" t="s">
        <v>26</v>
      </c>
      <c r="E16" s="14" t="s">
        <v>57</v>
      </c>
      <c r="F16" s="127">
        <v>46251</v>
      </c>
      <c r="G16" s="128">
        <v>46752</v>
      </c>
      <c r="H16" s="26">
        <v>30</v>
      </c>
      <c r="I16" s="15">
        <v>2200</v>
      </c>
      <c r="J16" s="16">
        <v>66000</v>
      </c>
    </row>
    <row r="17" spans="3:10" x14ac:dyDescent="0.25">
      <c r="C17" s="25" t="s">
        <v>161</v>
      </c>
      <c r="D17" s="14" t="s">
        <v>33</v>
      </c>
      <c r="E17" s="14" t="s">
        <v>46</v>
      </c>
      <c r="F17" s="127">
        <v>46251</v>
      </c>
      <c r="G17" s="128">
        <v>46752</v>
      </c>
      <c r="H17" s="26">
        <v>45</v>
      </c>
      <c r="I17" s="15">
        <v>1300</v>
      </c>
      <c r="J17" s="16">
        <v>58500</v>
      </c>
    </row>
    <row r="18" spans="3:10" x14ac:dyDescent="0.25">
      <c r="C18" s="25" t="s">
        <v>161</v>
      </c>
      <c r="D18" s="14" t="s">
        <v>53</v>
      </c>
      <c r="E18" s="14" t="s">
        <v>10</v>
      </c>
      <c r="F18" s="127">
        <v>46229</v>
      </c>
      <c r="G18" s="128">
        <v>46325</v>
      </c>
      <c r="H18" s="26">
        <v>23</v>
      </c>
      <c r="I18" s="15">
        <v>500</v>
      </c>
      <c r="J18" s="16">
        <v>11500</v>
      </c>
    </row>
    <row r="19" spans="3:10" x14ac:dyDescent="0.25">
      <c r="C19" s="25" t="s">
        <v>145</v>
      </c>
      <c r="D19" s="14" t="s">
        <v>49</v>
      </c>
      <c r="E19" s="14" t="s">
        <v>18</v>
      </c>
      <c r="F19" s="127">
        <v>46229</v>
      </c>
      <c r="G19" s="128">
        <v>46351</v>
      </c>
      <c r="H19" s="26">
        <v>50</v>
      </c>
      <c r="I19" s="15">
        <v>600</v>
      </c>
      <c r="J19" s="16">
        <v>30000</v>
      </c>
    </row>
    <row r="20" spans="3:10" x14ac:dyDescent="0.25">
      <c r="C20" s="25" t="s">
        <v>145</v>
      </c>
      <c r="D20" s="14" t="s">
        <v>14</v>
      </c>
      <c r="E20" s="14" t="s">
        <v>64</v>
      </c>
      <c r="F20" s="127">
        <v>46183</v>
      </c>
      <c r="G20" s="128">
        <v>46305</v>
      </c>
      <c r="H20" s="26">
        <v>32</v>
      </c>
      <c r="I20" s="15">
        <v>800</v>
      </c>
      <c r="J20" s="16">
        <v>25600</v>
      </c>
    </row>
    <row r="21" spans="3:10" x14ac:dyDescent="0.25">
      <c r="C21" s="25" t="s">
        <v>145</v>
      </c>
      <c r="D21" s="14" t="s">
        <v>33</v>
      </c>
      <c r="E21" s="14" t="s">
        <v>46</v>
      </c>
      <c r="F21" s="127">
        <v>46183</v>
      </c>
      <c r="G21" s="128">
        <v>46275</v>
      </c>
      <c r="H21" s="26">
        <v>95</v>
      </c>
      <c r="I21" s="15">
        <v>1300</v>
      </c>
      <c r="J21" s="16">
        <v>123500</v>
      </c>
    </row>
    <row r="22" spans="3:10" x14ac:dyDescent="0.25">
      <c r="C22" s="25" t="s">
        <v>145</v>
      </c>
      <c r="D22" s="14" t="s">
        <v>30</v>
      </c>
      <c r="E22" s="14" t="s">
        <v>51</v>
      </c>
      <c r="F22" s="127">
        <v>46183</v>
      </c>
      <c r="G22" s="128">
        <v>46275</v>
      </c>
      <c r="H22" s="26">
        <v>67</v>
      </c>
      <c r="I22" s="15">
        <v>1500</v>
      </c>
      <c r="J22" s="16">
        <v>100500</v>
      </c>
    </row>
    <row r="23" spans="3:10" x14ac:dyDescent="0.25">
      <c r="C23" s="25" t="s">
        <v>145</v>
      </c>
      <c r="D23" s="14" t="s">
        <v>41</v>
      </c>
      <c r="E23" s="14" t="s">
        <v>27</v>
      </c>
      <c r="F23" s="127">
        <v>46183</v>
      </c>
      <c r="G23" s="128">
        <v>46275</v>
      </c>
      <c r="H23" s="26">
        <v>45</v>
      </c>
      <c r="I23" s="15">
        <v>700</v>
      </c>
      <c r="J23" s="16">
        <v>31500</v>
      </c>
    </row>
    <row r="24" spans="3:10" x14ac:dyDescent="0.25">
      <c r="C24" s="25" t="s">
        <v>145</v>
      </c>
      <c r="D24" s="14" t="s">
        <v>12</v>
      </c>
      <c r="E24" s="14" t="s">
        <v>65</v>
      </c>
      <c r="F24" s="127">
        <v>46183</v>
      </c>
      <c r="G24" s="128">
        <v>46275</v>
      </c>
      <c r="H24" s="26">
        <v>60</v>
      </c>
      <c r="I24" s="15">
        <v>1500</v>
      </c>
      <c r="J24" s="16">
        <v>90000</v>
      </c>
    </row>
    <row r="25" spans="3:10" x14ac:dyDescent="0.25">
      <c r="C25" s="25" t="s">
        <v>145</v>
      </c>
      <c r="D25" s="14" t="s">
        <v>38</v>
      </c>
      <c r="E25" s="14" t="s">
        <v>34</v>
      </c>
      <c r="F25" s="127">
        <v>46165</v>
      </c>
      <c r="G25" s="128">
        <v>46387</v>
      </c>
      <c r="H25" s="26">
        <v>30</v>
      </c>
      <c r="I25" s="15">
        <v>400</v>
      </c>
      <c r="J25" s="16">
        <v>12000</v>
      </c>
    </row>
    <row r="26" spans="3:10" x14ac:dyDescent="0.25">
      <c r="C26" s="25" t="s">
        <v>145</v>
      </c>
      <c r="D26" s="14" t="s">
        <v>39</v>
      </c>
      <c r="E26" s="14" t="s">
        <v>31</v>
      </c>
      <c r="F26" s="127">
        <v>46165</v>
      </c>
      <c r="G26" s="128">
        <v>46387</v>
      </c>
      <c r="H26" s="26">
        <v>30</v>
      </c>
      <c r="I26" s="15">
        <v>300</v>
      </c>
      <c r="J26" s="16">
        <v>9000</v>
      </c>
    </row>
    <row r="27" spans="3:10" x14ac:dyDescent="0.25">
      <c r="C27" s="25" t="s">
        <v>145</v>
      </c>
      <c r="D27" s="14" t="s">
        <v>52</v>
      </c>
      <c r="E27" s="14" t="s">
        <v>13</v>
      </c>
      <c r="F27" s="127">
        <v>46165</v>
      </c>
      <c r="G27" s="128">
        <v>46356</v>
      </c>
      <c r="H27" s="26">
        <v>50</v>
      </c>
      <c r="I27" s="15">
        <v>800</v>
      </c>
      <c r="J27" s="16">
        <v>40000</v>
      </c>
    </row>
    <row r="28" spans="3:10" x14ac:dyDescent="0.25">
      <c r="C28" s="25" t="s">
        <v>145</v>
      </c>
      <c r="D28" s="14" t="s">
        <v>45</v>
      </c>
      <c r="E28" s="14" t="s">
        <v>25</v>
      </c>
      <c r="F28" s="127">
        <v>46165</v>
      </c>
      <c r="G28" s="128">
        <v>46356</v>
      </c>
      <c r="H28" s="26">
        <v>20</v>
      </c>
      <c r="I28" s="15">
        <v>1200</v>
      </c>
      <c r="J28" s="16">
        <v>24000</v>
      </c>
    </row>
    <row r="29" spans="3:10" x14ac:dyDescent="0.25">
      <c r="C29" s="25" t="s">
        <v>145</v>
      </c>
      <c r="D29" s="14" t="s">
        <v>19</v>
      </c>
      <c r="E29" s="14" t="s">
        <v>61</v>
      </c>
      <c r="F29" s="127">
        <v>46165</v>
      </c>
      <c r="G29" s="128">
        <v>46356</v>
      </c>
      <c r="H29" s="26">
        <v>15</v>
      </c>
      <c r="I29" s="15">
        <v>1200</v>
      </c>
      <c r="J29" s="16">
        <v>18000</v>
      </c>
    </row>
    <row r="30" spans="3:10" x14ac:dyDescent="0.25">
      <c r="C30" s="25" t="s">
        <v>145</v>
      </c>
      <c r="D30" s="14" t="s">
        <v>53</v>
      </c>
      <c r="E30" s="14" t="s">
        <v>10</v>
      </c>
      <c r="F30" s="127">
        <v>46151</v>
      </c>
      <c r="G30" s="128">
        <v>46356</v>
      </c>
      <c r="H30" s="26">
        <v>100</v>
      </c>
      <c r="I30" s="15">
        <v>500</v>
      </c>
      <c r="J30" s="16">
        <v>50000</v>
      </c>
    </row>
    <row r="31" spans="3:10" x14ac:dyDescent="0.25">
      <c r="C31" s="25" t="s">
        <v>145</v>
      </c>
      <c r="D31" s="14" t="s">
        <v>17</v>
      </c>
      <c r="E31" s="14" t="s">
        <v>62</v>
      </c>
      <c r="F31" s="127">
        <v>46151</v>
      </c>
      <c r="G31" s="128">
        <v>46341</v>
      </c>
      <c r="H31" s="26">
        <v>20</v>
      </c>
      <c r="I31" s="15">
        <v>1200</v>
      </c>
      <c r="J31" s="16">
        <v>24000</v>
      </c>
    </row>
    <row r="32" spans="3:10" x14ac:dyDescent="0.25">
      <c r="C32" s="25" t="s">
        <v>145</v>
      </c>
      <c r="D32" s="14" t="s">
        <v>26</v>
      </c>
      <c r="E32" s="14" t="s">
        <v>57</v>
      </c>
      <c r="F32" s="127">
        <v>46127</v>
      </c>
      <c r="G32" s="128">
        <v>46371</v>
      </c>
      <c r="H32" s="26">
        <v>30</v>
      </c>
      <c r="I32" s="15">
        <v>2200</v>
      </c>
      <c r="J32" s="16">
        <v>66000</v>
      </c>
    </row>
    <row r="33" spans="3:10" x14ac:dyDescent="0.25">
      <c r="C33" s="25" t="s">
        <v>145</v>
      </c>
      <c r="D33" s="14" t="s">
        <v>43</v>
      </c>
      <c r="E33" s="14" t="s">
        <v>144</v>
      </c>
      <c r="F33" s="127">
        <v>46120</v>
      </c>
      <c r="G33" s="128">
        <v>46386</v>
      </c>
      <c r="H33" s="26">
        <v>30</v>
      </c>
      <c r="I33" s="15">
        <v>1800</v>
      </c>
      <c r="J33" s="16">
        <v>54000</v>
      </c>
    </row>
    <row r="34" spans="3:10" x14ac:dyDescent="0.25">
      <c r="C34" s="25" t="s">
        <v>145</v>
      </c>
      <c r="D34" s="14" t="s">
        <v>50</v>
      </c>
      <c r="E34" s="14" t="s">
        <v>15</v>
      </c>
      <c r="F34" s="75">
        <v>46103</v>
      </c>
      <c r="G34" s="76">
        <v>46356</v>
      </c>
      <c r="H34" s="26">
        <v>40</v>
      </c>
      <c r="I34" s="15">
        <v>700</v>
      </c>
      <c r="J34" s="16">
        <v>28000</v>
      </c>
    </row>
    <row r="35" spans="3:10" x14ac:dyDescent="0.25">
      <c r="C35" s="25" t="s">
        <v>145</v>
      </c>
      <c r="D35" s="14" t="s">
        <v>48</v>
      </c>
      <c r="E35" s="14" t="s">
        <v>20</v>
      </c>
      <c r="F35" s="75">
        <v>46096</v>
      </c>
      <c r="G35" s="76">
        <v>46310</v>
      </c>
      <c r="H35" s="26">
        <v>30</v>
      </c>
      <c r="I35" s="15">
        <v>1500</v>
      </c>
      <c r="J35" s="16">
        <v>45000</v>
      </c>
    </row>
    <row r="36" spans="3:10" x14ac:dyDescent="0.25">
      <c r="C36" s="25" t="s">
        <v>145</v>
      </c>
      <c r="D36" s="14" t="s">
        <v>28</v>
      </c>
      <c r="E36" s="14" t="s">
        <v>55</v>
      </c>
      <c r="F36" s="75">
        <v>46096</v>
      </c>
      <c r="G36" s="76">
        <v>46371</v>
      </c>
      <c r="H36" s="26">
        <v>30</v>
      </c>
      <c r="I36" s="15">
        <v>500</v>
      </c>
      <c r="J36" s="16">
        <v>15000</v>
      </c>
    </row>
    <row r="37" spans="3:10" x14ac:dyDescent="0.25">
      <c r="C37" s="25" t="s">
        <v>102</v>
      </c>
      <c r="D37" s="14" t="s">
        <v>24</v>
      </c>
      <c r="E37" s="14" t="s">
        <v>59</v>
      </c>
      <c r="F37" s="75">
        <v>46089</v>
      </c>
      <c r="G37" s="76">
        <v>46387</v>
      </c>
      <c r="H37" s="26">
        <v>45</v>
      </c>
      <c r="I37" s="15">
        <v>2500</v>
      </c>
      <c r="J37" s="16">
        <v>112500</v>
      </c>
    </row>
    <row r="38" spans="3:10" x14ac:dyDescent="0.25">
      <c r="C38" s="25" t="s">
        <v>145</v>
      </c>
      <c r="D38" s="14" t="s">
        <v>9</v>
      </c>
      <c r="E38" s="14" t="s">
        <v>67</v>
      </c>
      <c r="F38" s="75">
        <v>46089</v>
      </c>
      <c r="G38" s="76">
        <v>46325</v>
      </c>
      <c r="H38" s="26">
        <v>50</v>
      </c>
      <c r="I38" s="15">
        <v>1000</v>
      </c>
      <c r="J38" s="16">
        <v>50000</v>
      </c>
    </row>
    <row r="39" spans="3:10" x14ac:dyDescent="0.25">
      <c r="C39" s="25" t="s">
        <v>145</v>
      </c>
      <c r="D39" s="14" t="s">
        <v>40</v>
      </c>
      <c r="E39" s="14" t="s">
        <v>143</v>
      </c>
      <c r="F39" s="75">
        <v>46082</v>
      </c>
      <c r="G39" s="76">
        <v>46356</v>
      </c>
      <c r="H39" s="26">
        <v>25</v>
      </c>
      <c r="I39" s="15">
        <v>500</v>
      </c>
      <c r="J39" s="16">
        <v>12500</v>
      </c>
    </row>
    <row r="40" spans="3:10" x14ac:dyDescent="0.25">
      <c r="C40" s="25" t="s">
        <v>145</v>
      </c>
      <c r="D40" s="14" t="s">
        <v>22</v>
      </c>
      <c r="E40" s="14" t="s">
        <v>60</v>
      </c>
      <c r="F40" s="75">
        <v>46068</v>
      </c>
      <c r="G40" s="76">
        <v>46356</v>
      </c>
      <c r="H40" s="26">
        <v>40</v>
      </c>
      <c r="I40" s="15">
        <v>1800</v>
      </c>
      <c r="J40" s="16">
        <v>72000</v>
      </c>
    </row>
    <row r="41" spans="3:10" x14ac:dyDescent="0.25">
      <c r="C41" s="25" t="s">
        <v>145</v>
      </c>
      <c r="D41" s="14" t="s">
        <v>29</v>
      </c>
      <c r="E41" s="14" t="s">
        <v>54</v>
      </c>
      <c r="F41" s="75">
        <v>46061</v>
      </c>
      <c r="G41" s="76">
        <v>46325</v>
      </c>
      <c r="H41" s="26">
        <v>20</v>
      </c>
      <c r="I41" s="15">
        <v>2500</v>
      </c>
      <c r="J41" s="16">
        <v>50000</v>
      </c>
    </row>
    <row r="42" spans="3:10" x14ac:dyDescent="0.25">
      <c r="C42" s="25" t="s">
        <v>145</v>
      </c>
      <c r="D42" s="14" t="s">
        <v>35</v>
      </c>
      <c r="E42" s="14" t="s">
        <v>42</v>
      </c>
      <c r="F42" s="75">
        <v>46054</v>
      </c>
      <c r="G42" s="76">
        <v>46371</v>
      </c>
      <c r="H42" s="26">
        <v>50</v>
      </c>
      <c r="I42" s="15">
        <v>1400</v>
      </c>
      <c r="J42" s="16">
        <v>70000</v>
      </c>
    </row>
    <row r="43" spans="3:10" x14ac:dyDescent="0.25">
      <c r="C43" s="25" t="s">
        <v>102</v>
      </c>
      <c r="D43" s="14" t="s">
        <v>53</v>
      </c>
      <c r="E43" s="14" t="s">
        <v>10</v>
      </c>
      <c r="F43" s="75">
        <v>46023</v>
      </c>
      <c r="G43" s="76">
        <v>46173</v>
      </c>
      <c r="H43" s="26">
        <v>200</v>
      </c>
      <c r="I43" s="15">
        <v>500</v>
      </c>
      <c r="J43" s="16">
        <v>100000</v>
      </c>
    </row>
    <row r="44" spans="3:10" x14ac:dyDescent="0.25">
      <c r="C44" s="25" t="s">
        <v>102</v>
      </c>
      <c r="D44" s="14" t="s">
        <v>52</v>
      </c>
      <c r="E44" s="14" t="s">
        <v>13</v>
      </c>
      <c r="F44" s="75">
        <v>46023</v>
      </c>
      <c r="G44" s="76">
        <v>46275</v>
      </c>
      <c r="H44" s="26">
        <v>40</v>
      </c>
      <c r="I44" s="15">
        <v>800</v>
      </c>
      <c r="J44" s="16">
        <v>32000</v>
      </c>
    </row>
    <row r="45" spans="3:10" x14ac:dyDescent="0.25">
      <c r="C45" s="25" t="s">
        <v>102</v>
      </c>
      <c r="D45" s="14" t="s">
        <v>50</v>
      </c>
      <c r="E45" s="14" t="s">
        <v>15</v>
      </c>
      <c r="F45" s="75">
        <v>46023</v>
      </c>
      <c r="G45" s="76">
        <v>46300</v>
      </c>
      <c r="H45" s="26">
        <v>40</v>
      </c>
      <c r="I45" s="15">
        <v>700</v>
      </c>
      <c r="J45" s="16">
        <v>28000</v>
      </c>
    </row>
    <row r="46" spans="3:10" x14ac:dyDescent="0.25">
      <c r="C46" s="25" t="s">
        <v>102</v>
      </c>
      <c r="D46" s="14" t="s">
        <v>49</v>
      </c>
      <c r="E46" s="14" t="s">
        <v>18</v>
      </c>
      <c r="F46" s="75">
        <v>46023</v>
      </c>
      <c r="G46" s="76">
        <v>46387</v>
      </c>
      <c r="H46" s="26">
        <v>120</v>
      </c>
      <c r="I46" s="15">
        <v>600</v>
      </c>
      <c r="J46" s="16">
        <v>72000</v>
      </c>
    </row>
    <row r="47" spans="3:10" x14ac:dyDescent="0.25">
      <c r="C47" s="25" t="s">
        <v>102</v>
      </c>
      <c r="D47" s="14" t="s">
        <v>48</v>
      </c>
      <c r="E47" s="14" t="s">
        <v>20</v>
      </c>
      <c r="F47" s="75">
        <v>46023</v>
      </c>
      <c r="G47" s="76">
        <v>46568</v>
      </c>
      <c r="H47" s="26">
        <v>60</v>
      </c>
      <c r="I47" s="15">
        <v>1500</v>
      </c>
      <c r="J47" s="16">
        <v>90000</v>
      </c>
    </row>
    <row r="48" spans="3:10" x14ac:dyDescent="0.25">
      <c r="C48" s="25" t="s">
        <v>102</v>
      </c>
      <c r="D48" s="14" t="s">
        <v>47</v>
      </c>
      <c r="E48" s="14" t="s">
        <v>23</v>
      </c>
      <c r="F48" s="75">
        <v>46023</v>
      </c>
      <c r="G48" s="76">
        <v>46173</v>
      </c>
      <c r="H48" s="26">
        <v>40</v>
      </c>
      <c r="I48" s="15">
        <v>1800</v>
      </c>
      <c r="J48" s="16">
        <v>72000</v>
      </c>
    </row>
    <row r="49" spans="3:10" x14ac:dyDescent="0.25">
      <c r="C49" s="25" t="s">
        <v>102</v>
      </c>
      <c r="D49" s="14" t="s">
        <v>45</v>
      </c>
      <c r="E49" s="14" t="s">
        <v>25</v>
      </c>
      <c r="F49" s="75">
        <v>46023</v>
      </c>
      <c r="G49" s="76">
        <v>46275</v>
      </c>
      <c r="H49" s="26">
        <v>60</v>
      </c>
      <c r="I49" s="15">
        <v>1200</v>
      </c>
      <c r="J49" s="16">
        <v>72000</v>
      </c>
    </row>
    <row r="50" spans="3:10" x14ac:dyDescent="0.25">
      <c r="C50" s="25" t="s">
        <v>102</v>
      </c>
      <c r="D50" s="14" t="s">
        <v>43</v>
      </c>
      <c r="E50" s="14" t="s">
        <v>144</v>
      </c>
      <c r="F50" s="75">
        <v>46023</v>
      </c>
      <c r="G50" s="76">
        <v>46300</v>
      </c>
      <c r="H50" s="26">
        <v>60</v>
      </c>
      <c r="I50" s="15">
        <v>1800</v>
      </c>
      <c r="J50" s="16">
        <v>108000</v>
      </c>
    </row>
    <row r="51" spans="3:10" x14ac:dyDescent="0.25">
      <c r="C51" s="25" t="s">
        <v>102</v>
      </c>
      <c r="D51" s="14" t="s">
        <v>41</v>
      </c>
      <c r="E51" s="14" t="s">
        <v>27</v>
      </c>
      <c r="F51" s="75">
        <v>46023</v>
      </c>
      <c r="G51" s="76">
        <v>46387</v>
      </c>
      <c r="H51" s="26">
        <v>20</v>
      </c>
      <c r="I51" s="15">
        <v>700</v>
      </c>
      <c r="J51" s="16">
        <v>14000</v>
      </c>
    </row>
    <row r="52" spans="3:10" x14ac:dyDescent="0.25">
      <c r="C52" s="25" t="s">
        <v>102</v>
      </c>
      <c r="D52" s="14" t="s">
        <v>40</v>
      </c>
      <c r="E52" s="14" t="s">
        <v>143</v>
      </c>
      <c r="F52" s="75">
        <v>46023</v>
      </c>
      <c r="G52" s="76">
        <v>46568</v>
      </c>
      <c r="H52" s="26">
        <v>75</v>
      </c>
      <c r="I52" s="15">
        <v>500</v>
      </c>
      <c r="J52" s="16">
        <v>37500</v>
      </c>
    </row>
    <row r="53" spans="3:10" x14ac:dyDescent="0.25">
      <c r="C53" s="25" t="s">
        <v>102</v>
      </c>
      <c r="D53" s="14" t="s">
        <v>39</v>
      </c>
      <c r="E53" s="14" t="s">
        <v>31</v>
      </c>
      <c r="F53" s="75">
        <v>46023</v>
      </c>
      <c r="G53" s="76">
        <v>46300</v>
      </c>
      <c r="H53" s="26">
        <v>30</v>
      </c>
      <c r="I53" s="15">
        <v>300</v>
      </c>
      <c r="J53" s="16">
        <v>9000</v>
      </c>
    </row>
    <row r="54" spans="3:10" x14ac:dyDescent="0.25">
      <c r="C54" s="25" t="s">
        <v>102</v>
      </c>
      <c r="D54" s="14" t="s">
        <v>38</v>
      </c>
      <c r="E54" s="14" t="s">
        <v>34</v>
      </c>
      <c r="F54" s="75">
        <v>46023</v>
      </c>
      <c r="G54" s="76">
        <v>46275</v>
      </c>
      <c r="H54" s="26">
        <v>30</v>
      </c>
      <c r="I54" s="15">
        <v>400</v>
      </c>
      <c r="J54" s="16">
        <v>12000</v>
      </c>
    </row>
    <row r="55" spans="3:10" x14ac:dyDescent="0.25">
      <c r="C55" s="25" t="s">
        <v>102</v>
      </c>
      <c r="D55" s="14" t="s">
        <v>36</v>
      </c>
      <c r="E55" s="14" t="s">
        <v>37</v>
      </c>
      <c r="F55" s="75">
        <v>46023</v>
      </c>
      <c r="G55" s="76">
        <v>46387</v>
      </c>
      <c r="H55" s="26">
        <v>30</v>
      </c>
      <c r="I55" s="15">
        <v>900</v>
      </c>
      <c r="J55" s="16">
        <v>27000</v>
      </c>
    </row>
    <row r="56" spans="3:10" x14ac:dyDescent="0.25">
      <c r="C56" s="25" t="s">
        <v>102</v>
      </c>
      <c r="D56" s="14" t="s">
        <v>35</v>
      </c>
      <c r="E56" s="14" t="s">
        <v>42</v>
      </c>
      <c r="F56" s="75">
        <v>46023</v>
      </c>
      <c r="G56" s="76">
        <v>46300</v>
      </c>
      <c r="H56" s="26">
        <v>75</v>
      </c>
      <c r="I56" s="15">
        <v>1400</v>
      </c>
      <c r="J56" s="16">
        <v>105000</v>
      </c>
    </row>
    <row r="57" spans="3:10" x14ac:dyDescent="0.25">
      <c r="C57" s="25" t="s">
        <v>102</v>
      </c>
      <c r="D57" s="14" t="s">
        <v>33</v>
      </c>
      <c r="E57" s="14" t="s">
        <v>46</v>
      </c>
      <c r="F57" s="75">
        <v>46023</v>
      </c>
      <c r="G57" s="76">
        <v>46275</v>
      </c>
      <c r="H57" s="26">
        <v>60</v>
      </c>
      <c r="I57" s="15">
        <v>1300</v>
      </c>
      <c r="J57" s="16">
        <v>78000</v>
      </c>
    </row>
    <row r="58" spans="3:10" x14ac:dyDescent="0.25">
      <c r="C58" s="25" t="s">
        <v>102</v>
      </c>
      <c r="D58" s="14" t="s">
        <v>30</v>
      </c>
      <c r="E58" s="14" t="s">
        <v>51</v>
      </c>
      <c r="F58" s="75">
        <v>46023</v>
      </c>
      <c r="G58" s="76">
        <v>46173</v>
      </c>
      <c r="H58" s="26">
        <v>50</v>
      </c>
      <c r="I58" s="15">
        <v>1500</v>
      </c>
      <c r="J58" s="16">
        <v>75000</v>
      </c>
    </row>
    <row r="59" spans="3:10" x14ac:dyDescent="0.25">
      <c r="C59" s="25" t="s">
        <v>102</v>
      </c>
      <c r="D59" s="14" t="s">
        <v>29</v>
      </c>
      <c r="E59" s="14" t="s">
        <v>54</v>
      </c>
      <c r="F59" s="75">
        <v>46023</v>
      </c>
      <c r="G59" s="76">
        <v>46568</v>
      </c>
      <c r="H59" s="26">
        <v>45</v>
      </c>
      <c r="I59" s="15">
        <v>2500</v>
      </c>
      <c r="J59" s="16">
        <v>112500</v>
      </c>
    </row>
    <row r="60" spans="3:10" x14ac:dyDescent="0.25">
      <c r="C60" s="25" t="s">
        <v>102</v>
      </c>
      <c r="D60" s="14" t="s">
        <v>28</v>
      </c>
      <c r="E60" s="14" t="s">
        <v>55</v>
      </c>
      <c r="F60" s="75">
        <v>46023</v>
      </c>
      <c r="G60" s="76">
        <v>46387</v>
      </c>
      <c r="H60" s="26">
        <v>20</v>
      </c>
      <c r="I60" s="15">
        <v>500</v>
      </c>
      <c r="J60" s="16">
        <v>10000</v>
      </c>
    </row>
    <row r="61" spans="3:10" x14ac:dyDescent="0.25">
      <c r="C61" s="25" t="s">
        <v>102</v>
      </c>
      <c r="D61" s="14" t="s">
        <v>26</v>
      </c>
      <c r="E61" s="14" t="s">
        <v>57</v>
      </c>
      <c r="F61" s="75">
        <v>46023</v>
      </c>
      <c r="G61" s="76">
        <v>46173</v>
      </c>
      <c r="H61" s="26">
        <v>60</v>
      </c>
      <c r="I61" s="15">
        <v>2200</v>
      </c>
      <c r="J61" s="16">
        <v>132000</v>
      </c>
    </row>
    <row r="62" spans="3:10" x14ac:dyDescent="0.25">
      <c r="C62" s="25" t="s">
        <v>102</v>
      </c>
      <c r="D62" s="14" t="s">
        <v>22</v>
      </c>
      <c r="E62" s="14" t="s">
        <v>60</v>
      </c>
      <c r="F62" s="75">
        <v>46023</v>
      </c>
      <c r="G62" s="76">
        <v>46275</v>
      </c>
      <c r="H62" s="26">
        <v>40</v>
      </c>
      <c r="I62" s="15">
        <v>1800</v>
      </c>
      <c r="J62" s="16">
        <v>72000</v>
      </c>
    </row>
    <row r="63" spans="3:10" x14ac:dyDescent="0.25">
      <c r="C63" s="25" t="s">
        <v>102</v>
      </c>
      <c r="D63" s="14" t="s">
        <v>19</v>
      </c>
      <c r="E63" s="14" t="s">
        <v>61</v>
      </c>
      <c r="F63" s="75">
        <v>46023</v>
      </c>
      <c r="G63" s="76">
        <v>46300</v>
      </c>
      <c r="H63" s="26">
        <v>20</v>
      </c>
      <c r="I63" s="15">
        <v>1200</v>
      </c>
      <c r="J63" s="16">
        <v>24000</v>
      </c>
    </row>
    <row r="64" spans="3:10" x14ac:dyDescent="0.25">
      <c r="C64" s="25" t="s">
        <v>102</v>
      </c>
      <c r="D64" s="14" t="s">
        <v>17</v>
      </c>
      <c r="E64" s="14" t="s">
        <v>62</v>
      </c>
      <c r="F64" s="75">
        <v>46023</v>
      </c>
      <c r="G64" s="76">
        <v>46387</v>
      </c>
      <c r="H64" s="26">
        <v>80</v>
      </c>
      <c r="I64" s="15">
        <v>1200</v>
      </c>
      <c r="J64" s="16">
        <v>96000</v>
      </c>
    </row>
    <row r="65" spans="3:10" x14ac:dyDescent="0.25">
      <c r="C65" s="25" t="s">
        <v>102</v>
      </c>
      <c r="D65" s="14" t="s">
        <v>14</v>
      </c>
      <c r="E65" s="14" t="s">
        <v>64</v>
      </c>
      <c r="F65" s="75">
        <v>46023</v>
      </c>
      <c r="G65" s="76">
        <v>46173</v>
      </c>
      <c r="H65" s="26">
        <v>45</v>
      </c>
      <c r="I65" s="15">
        <v>800</v>
      </c>
      <c r="J65" s="16">
        <v>36000</v>
      </c>
    </row>
    <row r="66" spans="3:10" x14ac:dyDescent="0.25">
      <c r="C66" s="25" t="s">
        <v>102</v>
      </c>
      <c r="D66" s="14" t="s">
        <v>12</v>
      </c>
      <c r="E66" s="14" t="s">
        <v>65</v>
      </c>
      <c r="F66" s="75">
        <v>46023</v>
      </c>
      <c r="G66" s="76">
        <v>46568</v>
      </c>
      <c r="H66" s="26">
        <v>30</v>
      </c>
      <c r="I66" s="15">
        <v>1500</v>
      </c>
      <c r="J66" s="16">
        <v>45000</v>
      </c>
    </row>
    <row r="67" spans="3:10" x14ac:dyDescent="0.25">
      <c r="C67" s="25" t="s">
        <v>102</v>
      </c>
      <c r="D67" s="14" t="s">
        <v>9</v>
      </c>
      <c r="E67" s="14" t="s">
        <v>67</v>
      </c>
      <c r="F67" s="75">
        <v>46023</v>
      </c>
      <c r="G67" s="76">
        <v>46173</v>
      </c>
      <c r="H67" s="26">
        <v>40</v>
      </c>
      <c r="I67" s="15">
        <v>1000</v>
      </c>
      <c r="J67" s="16">
        <v>40000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B1:M209"/>
  <sheetViews>
    <sheetView zoomScale="80" zoomScaleNormal="80" workbookViewId="0">
      <pane ySplit="14" topLeftCell="A15" activePane="bottomLeft" state="frozen"/>
      <selection pane="bottomLeft" activeCell="E153" sqref="E153"/>
    </sheetView>
  </sheetViews>
  <sheetFormatPr baseColWidth="10" defaultRowHeight="15.75" x14ac:dyDescent="0.25"/>
  <cols>
    <col min="1" max="1" width="5.140625" style="2" customWidth="1"/>
    <col min="2" max="2" width="5.5703125" style="1" customWidth="1"/>
    <col min="3" max="3" width="14.7109375" style="1" customWidth="1"/>
    <col min="4" max="4" width="30" style="1" customWidth="1"/>
    <col min="5" max="5" width="36.5703125" style="1" customWidth="1"/>
    <col min="6" max="6" width="21.85546875" style="1" customWidth="1"/>
    <col min="7" max="7" width="28.42578125" style="1" customWidth="1"/>
    <col min="8" max="8" width="17.28515625" style="1" customWidth="1"/>
    <col min="9" max="9" width="18.28515625" style="1" customWidth="1"/>
    <col min="10" max="10" width="25.140625" style="24" bestFit="1" customWidth="1"/>
    <col min="11" max="11" width="15.28515625" style="1" customWidth="1"/>
    <col min="12" max="12" width="26.5703125" style="1" bestFit="1" customWidth="1"/>
    <col min="13" max="13" width="11.42578125" style="1"/>
    <col min="14" max="16384" width="11.42578125" style="2"/>
  </cols>
  <sheetData>
    <row r="1" spans="2:13" s="1" customFormat="1" x14ac:dyDescent="0.25">
      <c r="J1" s="24"/>
    </row>
    <row r="2" spans="2:13" s="1" customFormat="1" x14ac:dyDescent="0.25">
      <c r="J2" s="24"/>
    </row>
    <row r="3" spans="2:13" s="1" customFormat="1" x14ac:dyDescent="0.25">
      <c r="J3" s="24"/>
    </row>
    <row r="4" spans="2:13" x14ac:dyDescent="0.25">
      <c r="B4" s="2"/>
      <c r="C4" s="2"/>
      <c r="D4" s="2"/>
      <c r="E4" s="2"/>
      <c r="F4" s="2"/>
      <c r="G4" s="2"/>
      <c r="H4" s="2"/>
      <c r="I4" s="2"/>
      <c r="J4" s="27"/>
      <c r="K4" s="27"/>
      <c r="L4" s="27"/>
      <c r="M4" s="27"/>
    </row>
    <row r="6" spans="2:13" x14ac:dyDescent="0.25">
      <c r="C6" s="3" t="s">
        <v>91</v>
      </c>
    </row>
    <row r="7" spans="2:13" x14ac:dyDescent="0.25">
      <c r="C7" s="3" t="s">
        <v>71</v>
      </c>
    </row>
    <row r="13" spans="2:13" ht="21.75" customHeight="1" x14ac:dyDescent="0.25">
      <c r="C13" s="8" t="s">
        <v>92</v>
      </c>
    </row>
    <row r="14" spans="2:13" x14ac:dyDescent="0.25">
      <c r="C14" s="20" t="s">
        <v>69</v>
      </c>
      <c r="D14" s="21" t="s">
        <v>0</v>
      </c>
      <c r="E14" s="21" t="s">
        <v>1</v>
      </c>
      <c r="F14" s="21" t="s">
        <v>4</v>
      </c>
      <c r="G14" s="21" t="s">
        <v>72</v>
      </c>
      <c r="H14" s="21" t="s">
        <v>8</v>
      </c>
      <c r="I14" s="22" t="s">
        <v>7</v>
      </c>
      <c r="J14" s="28" t="s">
        <v>101</v>
      </c>
      <c r="K14" s="28" t="s">
        <v>164</v>
      </c>
      <c r="L14" s="28" t="s">
        <v>165</v>
      </c>
    </row>
    <row r="15" spans="2:13" x14ac:dyDescent="0.25">
      <c r="C15" s="158">
        <v>46255</v>
      </c>
      <c r="D15" s="116" t="s">
        <v>53</v>
      </c>
      <c r="E15" s="116" t="s">
        <v>10</v>
      </c>
      <c r="F15" s="116" t="s">
        <v>145</v>
      </c>
      <c r="G15" s="129">
        <v>800</v>
      </c>
      <c r="H15" s="116">
        <v>4</v>
      </c>
      <c r="I15" s="129">
        <v>3200</v>
      </c>
      <c r="J15" s="159">
        <v>46356</v>
      </c>
      <c r="K15" s="148">
        <f>VLOOKUP(HistoriqueVentes[[#This Row],[Désignation]],ListeProduits[],4,FALSE)</f>
        <v>500</v>
      </c>
      <c r="L15" s="148">
        <f>HistoriqueVentes[[#This Row],[Prix d''achat]]*HistoriqueVentes[[#This Row],[Quantité]]</f>
        <v>2000</v>
      </c>
    </row>
    <row r="16" spans="2:13" x14ac:dyDescent="0.25">
      <c r="C16" s="155">
        <v>46255</v>
      </c>
      <c r="D16" s="150" t="s">
        <v>53</v>
      </c>
      <c r="E16" s="150" t="s">
        <v>10</v>
      </c>
      <c r="F16" s="150" t="s">
        <v>145</v>
      </c>
      <c r="G16" s="151">
        <v>800</v>
      </c>
      <c r="H16" s="150">
        <v>2</v>
      </c>
      <c r="I16" s="151">
        <v>1600</v>
      </c>
      <c r="J16" s="156">
        <v>46356</v>
      </c>
      <c r="K16" s="148">
        <f>VLOOKUP(HistoriqueVentes[[#This Row],[Désignation]],ListeProduits[],4,FALSE)</f>
        <v>500</v>
      </c>
      <c r="L16" s="148">
        <f>HistoriqueVentes[[#This Row],[Prix d''achat]]*HistoriqueVentes[[#This Row],[Quantité]]</f>
        <v>1000</v>
      </c>
    </row>
    <row r="17" spans="3:12" x14ac:dyDescent="0.25">
      <c r="C17" s="120">
        <v>46251</v>
      </c>
      <c r="D17" s="116" t="s">
        <v>9</v>
      </c>
      <c r="E17" s="116" t="s">
        <v>67</v>
      </c>
      <c r="F17" s="116" t="s">
        <v>145</v>
      </c>
      <c r="G17" s="129">
        <v>1500</v>
      </c>
      <c r="H17" s="116">
        <v>25</v>
      </c>
      <c r="I17" s="129">
        <v>37500</v>
      </c>
      <c r="J17" s="121">
        <v>46325</v>
      </c>
      <c r="K17" s="134">
        <f>VLOOKUP(HistoriqueVentes[[#This Row],[Désignation]],ListeProduits[],4,FALSE)</f>
        <v>1000</v>
      </c>
      <c r="L17" s="134">
        <f>HistoriqueVentes[[#This Row],[Prix d''achat]]*HistoriqueVentes[[#This Row],[Quantité]]</f>
        <v>25000</v>
      </c>
    </row>
    <row r="18" spans="3:12" x14ac:dyDescent="0.25">
      <c r="C18" s="120">
        <v>46251</v>
      </c>
      <c r="D18" s="116" t="s">
        <v>9</v>
      </c>
      <c r="E18" s="116" t="s">
        <v>67</v>
      </c>
      <c r="F18" s="116" t="s">
        <v>102</v>
      </c>
      <c r="G18" s="129">
        <v>1500</v>
      </c>
      <c r="H18" s="116">
        <v>7</v>
      </c>
      <c r="I18" s="129">
        <v>10500</v>
      </c>
      <c r="J18" s="121">
        <v>46173</v>
      </c>
      <c r="K18" s="134">
        <f>VLOOKUP(HistoriqueVentes[[#This Row],[Désignation]],ListeProduits[],4,FALSE)</f>
        <v>1000</v>
      </c>
      <c r="L18" s="134">
        <f>HistoriqueVentes[[#This Row],[Prix d''achat]]*HistoriqueVentes[[#This Row],[Quantité]]</f>
        <v>7000</v>
      </c>
    </row>
    <row r="19" spans="3:12" x14ac:dyDescent="0.25">
      <c r="C19" s="120">
        <v>46236</v>
      </c>
      <c r="D19" s="116" t="s">
        <v>39</v>
      </c>
      <c r="E19" s="116" t="s">
        <v>31</v>
      </c>
      <c r="F19" s="116" t="s">
        <v>145</v>
      </c>
      <c r="G19" s="129">
        <v>500</v>
      </c>
      <c r="H19" s="116">
        <v>3</v>
      </c>
      <c r="I19" s="129">
        <v>1500</v>
      </c>
      <c r="J19" s="121">
        <v>46387</v>
      </c>
      <c r="K19" s="134">
        <f>VLOOKUP(HistoriqueVentes[[#This Row],[Désignation]],ListeProduits[],4,FALSE)</f>
        <v>300</v>
      </c>
      <c r="L19" s="134">
        <f>HistoriqueVentes[[#This Row],[Prix d''achat]]*HistoriqueVentes[[#This Row],[Quantité]]</f>
        <v>900</v>
      </c>
    </row>
    <row r="20" spans="3:12" x14ac:dyDescent="0.25">
      <c r="C20" s="120">
        <v>46236</v>
      </c>
      <c r="D20" s="116" t="s">
        <v>39</v>
      </c>
      <c r="E20" s="116" t="s">
        <v>31</v>
      </c>
      <c r="F20" s="116" t="s">
        <v>102</v>
      </c>
      <c r="G20" s="129">
        <v>500</v>
      </c>
      <c r="H20" s="116">
        <v>15</v>
      </c>
      <c r="I20" s="129">
        <v>7500</v>
      </c>
      <c r="J20" s="121">
        <v>46300</v>
      </c>
      <c r="K20" s="134">
        <f>VLOOKUP(HistoriqueVentes[[#This Row],[Désignation]],ListeProduits[],4,FALSE)</f>
        <v>300</v>
      </c>
      <c r="L20" s="134">
        <f>HistoriqueVentes[[#This Row],[Prix d''achat]]*HistoriqueVentes[[#This Row],[Quantité]]</f>
        <v>4500</v>
      </c>
    </row>
    <row r="21" spans="3:12" x14ac:dyDescent="0.25">
      <c r="C21" s="120">
        <v>46236</v>
      </c>
      <c r="D21" s="116" t="s">
        <v>40</v>
      </c>
      <c r="E21" s="116" t="s">
        <v>143</v>
      </c>
      <c r="F21" s="116" t="s">
        <v>102</v>
      </c>
      <c r="G21" s="129">
        <v>800</v>
      </c>
      <c r="H21" s="116">
        <v>18</v>
      </c>
      <c r="I21" s="129">
        <v>14400</v>
      </c>
      <c r="J21" s="121">
        <v>46568</v>
      </c>
      <c r="K21" s="134">
        <f>VLOOKUP(HistoriqueVentes[[#This Row],[Désignation]],ListeProduits[],4,FALSE)</f>
        <v>500</v>
      </c>
      <c r="L21" s="134">
        <f>HistoriqueVentes[[#This Row],[Prix d''achat]]*HistoriqueVentes[[#This Row],[Quantité]]</f>
        <v>9000</v>
      </c>
    </row>
    <row r="22" spans="3:12" x14ac:dyDescent="0.25">
      <c r="C22" s="120">
        <v>46236</v>
      </c>
      <c r="D22" s="116" t="s">
        <v>48</v>
      </c>
      <c r="E22" s="116" t="s">
        <v>20</v>
      </c>
      <c r="F22" s="116" t="s">
        <v>102</v>
      </c>
      <c r="G22" s="129">
        <v>2200</v>
      </c>
      <c r="H22" s="116">
        <v>29</v>
      </c>
      <c r="I22" s="129">
        <v>63800</v>
      </c>
      <c r="J22" s="121">
        <v>46568</v>
      </c>
      <c r="K22" s="134">
        <f>VLOOKUP(HistoriqueVentes[[#This Row],[Désignation]],ListeProduits[],4,FALSE)</f>
        <v>1500</v>
      </c>
      <c r="L22" s="134">
        <f>HistoriqueVentes[[#This Row],[Prix d''achat]]*HistoriqueVentes[[#This Row],[Quantité]]</f>
        <v>43500</v>
      </c>
    </row>
    <row r="23" spans="3:12" x14ac:dyDescent="0.25">
      <c r="C23" s="120">
        <v>46236</v>
      </c>
      <c r="D23" s="116" t="s">
        <v>48</v>
      </c>
      <c r="E23" s="116" t="s">
        <v>20</v>
      </c>
      <c r="F23" s="116" t="s">
        <v>145</v>
      </c>
      <c r="G23" s="129">
        <v>2200</v>
      </c>
      <c r="H23" s="116">
        <v>1</v>
      </c>
      <c r="I23" s="129">
        <v>2200</v>
      </c>
      <c r="J23" s="121">
        <v>46310</v>
      </c>
      <c r="K23" s="134">
        <f>VLOOKUP(HistoriqueVentes[[#This Row],[Désignation]],ListeProduits[],4,FALSE)</f>
        <v>1500</v>
      </c>
      <c r="L23" s="134">
        <f>HistoriqueVentes[[#This Row],[Prix d''achat]]*HistoriqueVentes[[#This Row],[Quantité]]</f>
        <v>1500</v>
      </c>
    </row>
    <row r="24" spans="3:12" x14ac:dyDescent="0.25">
      <c r="C24" s="120">
        <v>46236</v>
      </c>
      <c r="D24" s="116" t="s">
        <v>53</v>
      </c>
      <c r="E24" s="116" t="s">
        <v>10</v>
      </c>
      <c r="F24" s="116" t="s">
        <v>145</v>
      </c>
      <c r="G24" s="129">
        <v>800</v>
      </c>
      <c r="H24" s="116">
        <v>48</v>
      </c>
      <c r="I24" s="129">
        <v>38400</v>
      </c>
      <c r="J24" s="121">
        <v>46356</v>
      </c>
      <c r="K24" s="134">
        <f>VLOOKUP(HistoriqueVentes[[#This Row],[Désignation]],ListeProduits[],4,FALSE)</f>
        <v>500</v>
      </c>
      <c r="L24" s="134">
        <f>HistoriqueVentes[[#This Row],[Prix d''achat]]*HistoriqueVentes[[#This Row],[Quantité]]</f>
        <v>24000</v>
      </c>
    </row>
    <row r="25" spans="3:12" x14ac:dyDescent="0.25">
      <c r="C25" s="120">
        <v>46236</v>
      </c>
      <c r="D25" s="116" t="s">
        <v>50</v>
      </c>
      <c r="E25" s="116" t="s">
        <v>15</v>
      </c>
      <c r="F25" s="116" t="s">
        <v>145</v>
      </c>
      <c r="G25" s="129">
        <v>1100</v>
      </c>
      <c r="H25" s="116">
        <v>10</v>
      </c>
      <c r="I25" s="129">
        <v>11000</v>
      </c>
      <c r="J25" s="121">
        <v>46356</v>
      </c>
      <c r="K25" s="134">
        <f>VLOOKUP(HistoriqueVentes[[#This Row],[Désignation]],ListeProduits[],4,FALSE)</f>
        <v>700</v>
      </c>
      <c r="L25" s="134">
        <f>HistoriqueVentes[[#This Row],[Prix d''achat]]*HistoriqueVentes[[#This Row],[Quantité]]</f>
        <v>7000</v>
      </c>
    </row>
    <row r="26" spans="3:12" x14ac:dyDescent="0.25">
      <c r="C26" s="120">
        <v>46236</v>
      </c>
      <c r="D26" s="116" t="s">
        <v>50</v>
      </c>
      <c r="E26" s="116" t="s">
        <v>15</v>
      </c>
      <c r="F26" s="116" t="s">
        <v>102</v>
      </c>
      <c r="G26" s="129">
        <v>1100</v>
      </c>
      <c r="H26" s="116">
        <v>15</v>
      </c>
      <c r="I26" s="129">
        <v>16500</v>
      </c>
      <c r="J26" s="121">
        <v>46300</v>
      </c>
      <c r="K26" s="134">
        <f>VLOOKUP(HistoriqueVentes[[#This Row],[Désignation]],ListeProduits[],4,FALSE)</f>
        <v>700</v>
      </c>
      <c r="L26" s="134">
        <f>HistoriqueVentes[[#This Row],[Prix d''achat]]*HistoriqueVentes[[#This Row],[Quantité]]</f>
        <v>10500</v>
      </c>
    </row>
    <row r="27" spans="3:12" x14ac:dyDescent="0.25">
      <c r="C27" s="120">
        <v>46236</v>
      </c>
      <c r="D27" s="116" t="s">
        <v>53</v>
      </c>
      <c r="E27" s="116" t="s">
        <v>10</v>
      </c>
      <c r="F27" s="116" t="s">
        <v>145</v>
      </c>
      <c r="G27" s="129">
        <v>800</v>
      </c>
      <c r="H27" s="116">
        <v>27</v>
      </c>
      <c r="I27" s="129">
        <v>21600</v>
      </c>
      <c r="J27" s="121">
        <v>46356</v>
      </c>
      <c r="K27" s="134">
        <f>VLOOKUP(HistoriqueVentes[[#This Row],[Désignation]],ListeProduits[],4,FALSE)</f>
        <v>500</v>
      </c>
      <c r="L27" s="134">
        <f>HistoriqueVentes[[#This Row],[Prix d''achat]]*HistoriqueVentes[[#This Row],[Quantité]]</f>
        <v>13500</v>
      </c>
    </row>
    <row r="28" spans="3:12" x14ac:dyDescent="0.25">
      <c r="C28" s="120">
        <v>46236</v>
      </c>
      <c r="D28" s="116" t="s">
        <v>53</v>
      </c>
      <c r="E28" s="116" t="s">
        <v>10</v>
      </c>
      <c r="F28" s="116" t="s">
        <v>161</v>
      </c>
      <c r="G28" s="129">
        <v>800</v>
      </c>
      <c r="H28" s="116">
        <v>23</v>
      </c>
      <c r="I28" s="129">
        <v>18400</v>
      </c>
      <c r="J28" s="121">
        <v>46325</v>
      </c>
      <c r="K28" s="134">
        <f>VLOOKUP(HistoriqueVentes[[#This Row],[Désignation]],ListeProduits[],4,FALSE)</f>
        <v>500</v>
      </c>
      <c r="L28" s="134">
        <f>HistoriqueVentes[[#This Row],[Prix d''achat]]*HistoriqueVentes[[#This Row],[Quantité]]</f>
        <v>11500</v>
      </c>
    </row>
    <row r="29" spans="3:12" x14ac:dyDescent="0.25">
      <c r="C29" s="120">
        <v>46220</v>
      </c>
      <c r="D29" s="116" t="s">
        <v>30</v>
      </c>
      <c r="E29" s="116" t="s">
        <v>51</v>
      </c>
      <c r="F29" s="116" t="s">
        <v>102</v>
      </c>
      <c r="G29" s="129">
        <v>2300</v>
      </c>
      <c r="H29" s="116">
        <v>23</v>
      </c>
      <c r="I29" s="129">
        <v>52900</v>
      </c>
      <c r="J29" s="121">
        <v>46173</v>
      </c>
      <c r="K29" s="134">
        <f>VLOOKUP(HistoriqueVentes[[#This Row],[Désignation]],ListeProduits[],4,FALSE)</f>
        <v>1500</v>
      </c>
      <c r="L29" s="134">
        <f>HistoriqueVentes[[#This Row],[Prix d''achat]]*HistoriqueVentes[[#This Row],[Quantité]]</f>
        <v>34500</v>
      </c>
    </row>
    <row r="30" spans="3:12" x14ac:dyDescent="0.25">
      <c r="C30" s="120">
        <v>46220</v>
      </c>
      <c r="D30" s="116" t="s">
        <v>53</v>
      </c>
      <c r="E30" s="116" t="s">
        <v>10</v>
      </c>
      <c r="F30" s="116" t="s">
        <v>102</v>
      </c>
      <c r="G30" s="129">
        <v>800</v>
      </c>
      <c r="H30" s="116">
        <v>9</v>
      </c>
      <c r="I30" s="129">
        <v>7200</v>
      </c>
      <c r="J30" s="121">
        <v>46173</v>
      </c>
      <c r="K30" s="134">
        <f>VLOOKUP(HistoriqueVentes[[#This Row],[Désignation]],ListeProduits[],4,FALSE)</f>
        <v>500</v>
      </c>
      <c r="L30" s="134">
        <f>HistoriqueVentes[[#This Row],[Prix d''achat]]*HistoriqueVentes[[#This Row],[Quantité]]</f>
        <v>4500</v>
      </c>
    </row>
    <row r="31" spans="3:12" x14ac:dyDescent="0.25">
      <c r="C31" s="120">
        <v>46220</v>
      </c>
      <c r="D31" s="116" t="s">
        <v>19</v>
      </c>
      <c r="E31" s="116" t="s">
        <v>61</v>
      </c>
      <c r="F31" s="116" t="s">
        <v>102</v>
      </c>
      <c r="G31" s="129">
        <v>1800</v>
      </c>
      <c r="H31" s="116">
        <v>11</v>
      </c>
      <c r="I31" s="129">
        <v>19800</v>
      </c>
      <c r="J31" s="121">
        <v>46300</v>
      </c>
      <c r="K31" s="134">
        <f>VLOOKUP(HistoriqueVentes[[#This Row],[Désignation]],ListeProduits[],4,FALSE)</f>
        <v>1200</v>
      </c>
      <c r="L31" s="134">
        <f>HistoriqueVentes[[#This Row],[Prix d''achat]]*HistoriqueVentes[[#This Row],[Quantité]]</f>
        <v>13200</v>
      </c>
    </row>
    <row r="32" spans="3:12" x14ac:dyDescent="0.25">
      <c r="C32" s="120">
        <v>46220</v>
      </c>
      <c r="D32" s="116" t="s">
        <v>17</v>
      </c>
      <c r="E32" s="116" t="s">
        <v>62</v>
      </c>
      <c r="F32" s="116" t="s">
        <v>145</v>
      </c>
      <c r="G32" s="129">
        <v>1800</v>
      </c>
      <c r="H32" s="116">
        <v>8</v>
      </c>
      <c r="I32" s="129">
        <v>14400</v>
      </c>
      <c r="J32" s="121">
        <v>46341</v>
      </c>
      <c r="K32" s="134">
        <f>VLOOKUP(HistoriqueVentes[[#This Row],[Désignation]],ListeProduits[],4,FALSE)</f>
        <v>1200</v>
      </c>
      <c r="L32" s="134">
        <f>HistoriqueVentes[[#This Row],[Prix d''achat]]*HistoriqueVentes[[#This Row],[Quantité]]</f>
        <v>9600</v>
      </c>
    </row>
    <row r="33" spans="3:12" x14ac:dyDescent="0.25">
      <c r="C33" s="120">
        <v>46220</v>
      </c>
      <c r="D33" s="116" t="s">
        <v>50</v>
      </c>
      <c r="E33" s="116" t="s">
        <v>15</v>
      </c>
      <c r="F33" s="116" t="s">
        <v>102</v>
      </c>
      <c r="G33" s="129">
        <v>1100</v>
      </c>
      <c r="H33" s="116">
        <v>21</v>
      </c>
      <c r="I33" s="129">
        <v>23100</v>
      </c>
      <c r="J33" s="121">
        <v>46300</v>
      </c>
      <c r="K33" s="134">
        <f>VLOOKUP(HistoriqueVentes[[#This Row],[Désignation]],ListeProduits[],4,FALSE)</f>
        <v>700</v>
      </c>
      <c r="L33" s="134">
        <f>HistoriqueVentes[[#This Row],[Prix d''achat]]*HistoriqueVentes[[#This Row],[Quantité]]</f>
        <v>14700</v>
      </c>
    </row>
    <row r="34" spans="3:12" x14ac:dyDescent="0.25">
      <c r="C34" s="120">
        <v>46220</v>
      </c>
      <c r="D34" s="116" t="s">
        <v>9</v>
      </c>
      <c r="E34" s="116" t="s">
        <v>67</v>
      </c>
      <c r="F34" s="116" t="s">
        <v>102</v>
      </c>
      <c r="G34" s="129">
        <v>1500</v>
      </c>
      <c r="H34" s="116">
        <v>3</v>
      </c>
      <c r="I34" s="129">
        <v>4500</v>
      </c>
      <c r="J34" s="121">
        <v>46173</v>
      </c>
      <c r="K34" s="134">
        <f>VLOOKUP(HistoriqueVentes[[#This Row],[Désignation]],ListeProduits[],4,FALSE)</f>
        <v>1000</v>
      </c>
      <c r="L34" s="134">
        <f>HistoriqueVentes[[#This Row],[Prix d''achat]]*HistoriqueVentes[[#This Row],[Quantité]]</f>
        <v>3000</v>
      </c>
    </row>
    <row r="35" spans="3:12" x14ac:dyDescent="0.25">
      <c r="C35" s="120">
        <v>46220</v>
      </c>
      <c r="D35" s="116" t="s">
        <v>48</v>
      </c>
      <c r="E35" s="116" t="s">
        <v>20</v>
      </c>
      <c r="F35" s="116" t="s">
        <v>145</v>
      </c>
      <c r="G35" s="129">
        <v>2200</v>
      </c>
      <c r="H35" s="116">
        <v>9</v>
      </c>
      <c r="I35" s="129">
        <v>19800</v>
      </c>
      <c r="J35" s="121">
        <v>46310</v>
      </c>
      <c r="K35" s="134">
        <f>VLOOKUP(HistoriqueVentes[[#This Row],[Désignation]],ListeProduits[],4,FALSE)</f>
        <v>1500</v>
      </c>
      <c r="L35" s="134">
        <f>HistoriqueVentes[[#This Row],[Prix d''achat]]*HistoriqueVentes[[#This Row],[Quantité]]</f>
        <v>13500</v>
      </c>
    </row>
    <row r="36" spans="3:12" x14ac:dyDescent="0.25">
      <c r="C36" s="120">
        <v>46220</v>
      </c>
      <c r="D36" s="116" t="s">
        <v>53</v>
      </c>
      <c r="E36" s="116" t="s">
        <v>10</v>
      </c>
      <c r="F36" s="116" t="s">
        <v>102</v>
      </c>
      <c r="G36" s="129">
        <v>800</v>
      </c>
      <c r="H36" s="116">
        <v>3</v>
      </c>
      <c r="I36" s="129">
        <v>2400</v>
      </c>
      <c r="J36" s="121">
        <v>46173</v>
      </c>
      <c r="K36" s="134">
        <f>VLOOKUP(HistoriqueVentes[[#This Row],[Désignation]],ListeProduits[],4,FALSE)</f>
        <v>500</v>
      </c>
      <c r="L36" s="134">
        <f>HistoriqueVentes[[#This Row],[Prix d''achat]]*HistoriqueVentes[[#This Row],[Quantité]]</f>
        <v>1500</v>
      </c>
    </row>
    <row r="37" spans="3:12" x14ac:dyDescent="0.25">
      <c r="C37" s="120">
        <v>46220</v>
      </c>
      <c r="D37" s="116" t="s">
        <v>40</v>
      </c>
      <c r="E37" s="116" t="s">
        <v>143</v>
      </c>
      <c r="F37" s="116" t="s">
        <v>102</v>
      </c>
      <c r="G37" s="129">
        <v>800</v>
      </c>
      <c r="H37" s="116">
        <v>13</v>
      </c>
      <c r="I37" s="129">
        <v>10400</v>
      </c>
      <c r="J37" s="121">
        <v>46568</v>
      </c>
      <c r="K37" s="134">
        <f>VLOOKUP(HistoriqueVentes[[#This Row],[Désignation]],ListeProduits[],4,FALSE)</f>
        <v>500</v>
      </c>
      <c r="L37" s="134">
        <f>HistoriqueVentes[[#This Row],[Prix d''achat]]*HistoriqueVentes[[#This Row],[Quantité]]</f>
        <v>6500</v>
      </c>
    </row>
    <row r="38" spans="3:12" x14ac:dyDescent="0.25">
      <c r="C38" s="120">
        <v>46183</v>
      </c>
      <c r="D38" s="116" t="s">
        <v>40</v>
      </c>
      <c r="E38" s="116" t="s">
        <v>143</v>
      </c>
      <c r="F38" s="116" t="s">
        <v>102</v>
      </c>
      <c r="G38" s="129">
        <v>800</v>
      </c>
      <c r="H38" s="116">
        <v>14</v>
      </c>
      <c r="I38" s="129">
        <v>11200</v>
      </c>
      <c r="J38" s="121">
        <v>46568</v>
      </c>
      <c r="K38" s="134">
        <f>VLOOKUP(HistoriqueVentes[[#This Row],[Désignation]],ListeProduits[],4,FALSE)</f>
        <v>500</v>
      </c>
      <c r="L38" s="134">
        <f>HistoriqueVentes[[#This Row],[Prix d''achat]]*HistoriqueVentes[[#This Row],[Quantité]]</f>
        <v>7000</v>
      </c>
    </row>
    <row r="39" spans="3:12" x14ac:dyDescent="0.25">
      <c r="C39" s="120">
        <v>46183</v>
      </c>
      <c r="D39" s="116" t="s">
        <v>40</v>
      </c>
      <c r="E39" s="116" t="s">
        <v>143</v>
      </c>
      <c r="F39" s="116" t="s">
        <v>145</v>
      </c>
      <c r="G39" s="129">
        <v>800</v>
      </c>
      <c r="H39" s="116">
        <v>15</v>
      </c>
      <c r="I39" s="129">
        <v>12000</v>
      </c>
      <c r="J39" s="121">
        <v>46356</v>
      </c>
      <c r="K39" s="134">
        <f>VLOOKUP(HistoriqueVentes[[#This Row],[Désignation]],ListeProduits[],4,FALSE)</f>
        <v>500</v>
      </c>
      <c r="L39" s="134">
        <f>HistoriqueVentes[[#This Row],[Prix d''achat]]*HistoriqueVentes[[#This Row],[Quantité]]</f>
        <v>7500</v>
      </c>
    </row>
    <row r="40" spans="3:12" x14ac:dyDescent="0.25">
      <c r="C40" s="120">
        <v>46183</v>
      </c>
      <c r="D40" s="116" t="s">
        <v>49</v>
      </c>
      <c r="E40" s="116" t="s">
        <v>18</v>
      </c>
      <c r="F40" s="116" t="s">
        <v>102</v>
      </c>
      <c r="G40" s="129">
        <v>900</v>
      </c>
      <c r="H40" s="116">
        <v>20</v>
      </c>
      <c r="I40" s="129">
        <v>18000</v>
      </c>
      <c r="J40" s="121">
        <v>46387</v>
      </c>
      <c r="K40" s="134">
        <f>VLOOKUP(HistoriqueVentes[[#This Row],[Désignation]],ListeProduits[],4,FALSE)</f>
        <v>600</v>
      </c>
      <c r="L40" s="134">
        <f>HistoriqueVentes[[#This Row],[Prix d''achat]]*HistoriqueVentes[[#This Row],[Quantité]]</f>
        <v>12000</v>
      </c>
    </row>
    <row r="41" spans="3:12" x14ac:dyDescent="0.25">
      <c r="C41" s="120">
        <v>46183</v>
      </c>
      <c r="D41" s="116" t="s">
        <v>35</v>
      </c>
      <c r="E41" s="116" t="s">
        <v>42</v>
      </c>
      <c r="F41" s="116" t="s">
        <v>102</v>
      </c>
      <c r="G41" s="129">
        <v>2100</v>
      </c>
      <c r="H41" s="116">
        <v>30</v>
      </c>
      <c r="I41" s="129">
        <v>63000</v>
      </c>
      <c r="J41" s="121">
        <v>46300</v>
      </c>
      <c r="K41" s="134">
        <f>VLOOKUP(HistoriqueVentes[[#This Row],[Désignation]],ListeProduits[],4,FALSE)</f>
        <v>1400</v>
      </c>
      <c r="L41" s="134">
        <f>HistoriqueVentes[[#This Row],[Prix d''achat]]*HistoriqueVentes[[#This Row],[Quantité]]</f>
        <v>42000</v>
      </c>
    </row>
    <row r="42" spans="3:12" x14ac:dyDescent="0.25">
      <c r="C42" s="120">
        <v>46183</v>
      </c>
      <c r="D42" s="116" t="s">
        <v>53</v>
      </c>
      <c r="E42" s="116" t="s">
        <v>10</v>
      </c>
      <c r="F42" s="116" t="s">
        <v>102</v>
      </c>
      <c r="G42" s="129">
        <v>800</v>
      </c>
      <c r="H42" s="116">
        <v>80</v>
      </c>
      <c r="I42" s="129">
        <v>64000</v>
      </c>
      <c r="J42" s="121">
        <v>46173</v>
      </c>
      <c r="K42" s="134">
        <f>VLOOKUP(HistoriqueVentes[[#This Row],[Désignation]],ListeProduits[],4,FALSE)</f>
        <v>500</v>
      </c>
      <c r="L42" s="134">
        <f>HistoriqueVentes[[#This Row],[Prix d''achat]]*HistoriqueVentes[[#This Row],[Quantité]]</f>
        <v>40000</v>
      </c>
    </row>
    <row r="43" spans="3:12" x14ac:dyDescent="0.25">
      <c r="C43" s="120">
        <v>46174</v>
      </c>
      <c r="D43" s="116" t="s">
        <v>39</v>
      </c>
      <c r="E43" s="116" t="s">
        <v>31</v>
      </c>
      <c r="F43" s="116" t="s">
        <v>102</v>
      </c>
      <c r="G43" s="129">
        <v>500</v>
      </c>
      <c r="H43" s="116">
        <v>5</v>
      </c>
      <c r="I43" s="129">
        <v>2500</v>
      </c>
      <c r="J43" s="121">
        <v>46300</v>
      </c>
      <c r="K43" s="134">
        <f>VLOOKUP(HistoriqueVentes[[#This Row],[Désignation]],ListeProduits[],4,FALSE)</f>
        <v>300</v>
      </c>
      <c r="L43" s="134">
        <f>HistoriqueVentes[[#This Row],[Prix d''achat]]*HistoriqueVentes[[#This Row],[Quantité]]</f>
        <v>1500</v>
      </c>
    </row>
    <row r="44" spans="3:12" x14ac:dyDescent="0.25">
      <c r="C44" s="120">
        <v>46174</v>
      </c>
      <c r="D44" s="116" t="s">
        <v>12</v>
      </c>
      <c r="E44" s="116" t="s">
        <v>65</v>
      </c>
      <c r="F44" s="116" t="s">
        <v>102</v>
      </c>
      <c r="G44" s="129">
        <v>2200</v>
      </c>
      <c r="H44" s="116">
        <v>2</v>
      </c>
      <c r="I44" s="129">
        <v>4400</v>
      </c>
      <c r="J44" s="121">
        <v>46568</v>
      </c>
      <c r="K44" s="134">
        <f>VLOOKUP(HistoriqueVentes[[#This Row],[Désignation]],ListeProduits[],4,FALSE)</f>
        <v>1500</v>
      </c>
      <c r="L44" s="134">
        <f>HistoriqueVentes[[#This Row],[Prix d''achat]]*HistoriqueVentes[[#This Row],[Quantité]]</f>
        <v>3000</v>
      </c>
    </row>
    <row r="45" spans="3:12" x14ac:dyDescent="0.25">
      <c r="C45" s="120">
        <v>46174</v>
      </c>
      <c r="D45" s="116" t="s">
        <v>48</v>
      </c>
      <c r="E45" s="116" t="s">
        <v>20</v>
      </c>
      <c r="F45" s="116" t="s">
        <v>145</v>
      </c>
      <c r="G45" s="129">
        <v>2200</v>
      </c>
      <c r="H45" s="116">
        <v>5</v>
      </c>
      <c r="I45" s="129">
        <v>11000</v>
      </c>
      <c r="J45" s="121">
        <v>46310</v>
      </c>
      <c r="K45" s="134">
        <f>VLOOKUP(HistoriqueVentes[[#This Row],[Désignation]],ListeProduits[],4,FALSE)</f>
        <v>1500</v>
      </c>
      <c r="L45" s="134">
        <f>HistoriqueVentes[[#This Row],[Prix d''achat]]*HistoriqueVentes[[#This Row],[Quantité]]</f>
        <v>7500</v>
      </c>
    </row>
    <row r="46" spans="3:12" x14ac:dyDescent="0.25">
      <c r="C46" s="120">
        <v>46174</v>
      </c>
      <c r="D46" s="116" t="s">
        <v>28</v>
      </c>
      <c r="E46" s="116" t="s">
        <v>55</v>
      </c>
      <c r="F46" s="116" t="s">
        <v>145</v>
      </c>
      <c r="G46" s="129">
        <v>800</v>
      </c>
      <c r="H46" s="116">
        <v>10</v>
      </c>
      <c r="I46" s="129">
        <v>8000</v>
      </c>
      <c r="J46" s="121">
        <v>46371</v>
      </c>
      <c r="K46" s="134">
        <f>VLOOKUP(HistoriqueVentes[[#This Row],[Désignation]],ListeProduits[],4,FALSE)</f>
        <v>500</v>
      </c>
      <c r="L46" s="134">
        <f>HistoriqueVentes[[#This Row],[Prix d''achat]]*HistoriqueVentes[[#This Row],[Quantité]]</f>
        <v>5000</v>
      </c>
    </row>
    <row r="47" spans="3:12" x14ac:dyDescent="0.25">
      <c r="C47" s="120">
        <v>46174</v>
      </c>
      <c r="D47" s="116" t="s">
        <v>49</v>
      </c>
      <c r="E47" s="116" t="s">
        <v>18</v>
      </c>
      <c r="F47" s="116" t="s">
        <v>102</v>
      </c>
      <c r="G47" s="129">
        <v>900</v>
      </c>
      <c r="H47" s="116">
        <v>15</v>
      </c>
      <c r="I47" s="129">
        <v>13500</v>
      </c>
      <c r="J47" s="121">
        <v>46387</v>
      </c>
      <c r="K47" s="134">
        <f>VLOOKUP(HistoriqueVentes[[#This Row],[Désignation]],ListeProduits[],4,FALSE)</f>
        <v>600</v>
      </c>
      <c r="L47" s="134">
        <f>HistoriqueVentes[[#This Row],[Prix d''achat]]*HistoriqueVentes[[#This Row],[Quantité]]</f>
        <v>9000</v>
      </c>
    </row>
    <row r="48" spans="3:12" x14ac:dyDescent="0.25">
      <c r="C48" s="120">
        <v>46174</v>
      </c>
      <c r="D48" s="116" t="s">
        <v>24</v>
      </c>
      <c r="E48" s="116" t="s">
        <v>59</v>
      </c>
      <c r="F48" s="116" t="s">
        <v>102</v>
      </c>
      <c r="G48" s="129">
        <v>3500</v>
      </c>
      <c r="H48" s="116">
        <v>3</v>
      </c>
      <c r="I48" s="129">
        <v>10500</v>
      </c>
      <c r="J48" s="121">
        <v>46387</v>
      </c>
      <c r="K48" s="134">
        <f>VLOOKUP(HistoriqueVentes[[#This Row],[Désignation]],ListeProduits[],4,FALSE)</f>
        <v>2500</v>
      </c>
      <c r="L48" s="134">
        <f>HistoriqueVentes[[#This Row],[Prix d''achat]]*HistoriqueVentes[[#This Row],[Quantité]]</f>
        <v>7500</v>
      </c>
    </row>
    <row r="49" spans="3:12" x14ac:dyDescent="0.25">
      <c r="C49" s="120">
        <v>46165</v>
      </c>
      <c r="D49" s="116" t="s">
        <v>12</v>
      </c>
      <c r="E49" s="116" t="s">
        <v>65</v>
      </c>
      <c r="F49" s="116" t="s">
        <v>102</v>
      </c>
      <c r="G49" s="129">
        <v>2200</v>
      </c>
      <c r="H49" s="116">
        <v>2</v>
      </c>
      <c r="I49" s="129">
        <v>4400</v>
      </c>
      <c r="J49" s="121">
        <v>46568</v>
      </c>
      <c r="K49" s="134">
        <f>VLOOKUP(HistoriqueVentes[[#This Row],[Désignation]],ListeProduits[],4,FALSE)</f>
        <v>1500</v>
      </c>
      <c r="L49" s="134">
        <f>HistoriqueVentes[[#This Row],[Prix d''achat]]*HistoriqueVentes[[#This Row],[Quantité]]</f>
        <v>3000</v>
      </c>
    </row>
    <row r="50" spans="3:12" x14ac:dyDescent="0.25">
      <c r="C50" s="120">
        <v>46165</v>
      </c>
      <c r="D50" s="116" t="s">
        <v>33</v>
      </c>
      <c r="E50" s="116" t="s">
        <v>46</v>
      </c>
      <c r="F50" s="116" t="s">
        <v>102</v>
      </c>
      <c r="G50" s="129">
        <v>1900</v>
      </c>
      <c r="H50" s="116">
        <v>4</v>
      </c>
      <c r="I50" s="129">
        <v>7600</v>
      </c>
      <c r="J50" s="121">
        <v>46275</v>
      </c>
      <c r="K50" s="134">
        <f>VLOOKUP(HistoriqueVentes[[#This Row],[Désignation]],ListeProduits[],4,FALSE)</f>
        <v>1300</v>
      </c>
      <c r="L50" s="134">
        <f>HistoriqueVentes[[#This Row],[Prix d''achat]]*HistoriqueVentes[[#This Row],[Quantité]]</f>
        <v>5200</v>
      </c>
    </row>
    <row r="51" spans="3:12" x14ac:dyDescent="0.25">
      <c r="C51" s="120">
        <v>46165</v>
      </c>
      <c r="D51" s="116" t="s">
        <v>53</v>
      </c>
      <c r="E51" s="116" t="s">
        <v>10</v>
      </c>
      <c r="F51" s="116" t="s">
        <v>102</v>
      </c>
      <c r="G51" s="129">
        <v>800</v>
      </c>
      <c r="H51" s="116">
        <v>42</v>
      </c>
      <c r="I51" s="129">
        <v>33600</v>
      </c>
      <c r="J51" s="121">
        <v>46173</v>
      </c>
      <c r="K51" s="134">
        <f>VLOOKUP(HistoriqueVentes[[#This Row],[Désignation]],ListeProduits[],4,FALSE)</f>
        <v>500</v>
      </c>
      <c r="L51" s="134">
        <f>HistoriqueVentes[[#This Row],[Prix d''achat]]*HistoriqueVentes[[#This Row],[Quantité]]</f>
        <v>21000</v>
      </c>
    </row>
    <row r="52" spans="3:12" x14ac:dyDescent="0.25">
      <c r="C52" s="120">
        <v>46165</v>
      </c>
      <c r="D52" s="116" t="s">
        <v>12</v>
      </c>
      <c r="E52" s="116" t="s">
        <v>65</v>
      </c>
      <c r="F52" s="116" t="s">
        <v>102</v>
      </c>
      <c r="G52" s="129">
        <v>2200</v>
      </c>
      <c r="H52" s="116">
        <v>2</v>
      </c>
      <c r="I52" s="129">
        <v>4400</v>
      </c>
      <c r="J52" s="121">
        <v>46568</v>
      </c>
      <c r="K52" s="134">
        <f>VLOOKUP(HistoriqueVentes[[#This Row],[Désignation]],ListeProduits[],4,FALSE)</f>
        <v>1500</v>
      </c>
      <c r="L52" s="134">
        <f>HistoriqueVentes[[#This Row],[Prix d''achat]]*HistoriqueVentes[[#This Row],[Quantité]]</f>
        <v>3000</v>
      </c>
    </row>
    <row r="53" spans="3:12" x14ac:dyDescent="0.25">
      <c r="C53" s="120">
        <v>46165</v>
      </c>
      <c r="D53" s="116" t="s">
        <v>53</v>
      </c>
      <c r="E53" s="116" t="s">
        <v>10</v>
      </c>
      <c r="F53" s="116" t="s">
        <v>102</v>
      </c>
      <c r="G53" s="129">
        <v>800</v>
      </c>
      <c r="H53" s="116">
        <v>4</v>
      </c>
      <c r="I53" s="129">
        <v>3200</v>
      </c>
      <c r="J53" s="121">
        <v>46173</v>
      </c>
      <c r="K53" s="134">
        <f>VLOOKUP(HistoriqueVentes[[#This Row],[Désignation]],ListeProduits[],4,FALSE)</f>
        <v>500</v>
      </c>
      <c r="L53" s="134">
        <f>HistoriqueVentes[[#This Row],[Prix d''achat]]*HistoriqueVentes[[#This Row],[Quantité]]</f>
        <v>2000</v>
      </c>
    </row>
    <row r="54" spans="3:12" x14ac:dyDescent="0.25">
      <c r="C54" s="120">
        <v>46165</v>
      </c>
      <c r="D54" s="116" t="s">
        <v>40</v>
      </c>
      <c r="E54" s="116" t="s">
        <v>143</v>
      </c>
      <c r="F54" s="116" t="s">
        <v>145</v>
      </c>
      <c r="G54" s="129">
        <v>800</v>
      </c>
      <c r="H54" s="116">
        <v>1</v>
      </c>
      <c r="I54" s="129">
        <v>800</v>
      </c>
      <c r="J54" s="121">
        <v>46356</v>
      </c>
      <c r="K54" s="134">
        <f>VLOOKUP(HistoriqueVentes[[#This Row],[Désignation]],ListeProduits[],4,FALSE)</f>
        <v>500</v>
      </c>
      <c r="L54" s="134">
        <f>HistoriqueVentes[[#This Row],[Prix d''achat]]*HistoriqueVentes[[#This Row],[Quantité]]</f>
        <v>500</v>
      </c>
    </row>
    <row r="55" spans="3:12" x14ac:dyDescent="0.25">
      <c r="C55" s="120">
        <v>46165</v>
      </c>
      <c r="D55" s="116" t="s">
        <v>24</v>
      </c>
      <c r="E55" s="116" t="s">
        <v>59</v>
      </c>
      <c r="F55" s="116" t="s">
        <v>102</v>
      </c>
      <c r="G55" s="129">
        <v>3500</v>
      </c>
      <c r="H55" s="116">
        <v>1</v>
      </c>
      <c r="I55" s="129">
        <v>3500</v>
      </c>
      <c r="J55" s="121">
        <v>46387</v>
      </c>
      <c r="K55" s="134">
        <f>VLOOKUP(HistoriqueVentes[[#This Row],[Désignation]],ListeProduits[],4,FALSE)</f>
        <v>2500</v>
      </c>
      <c r="L55" s="134">
        <f>HistoriqueVentes[[#This Row],[Prix d''achat]]*HistoriqueVentes[[#This Row],[Quantité]]</f>
        <v>2500</v>
      </c>
    </row>
    <row r="56" spans="3:12" x14ac:dyDescent="0.25">
      <c r="C56" s="120">
        <v>46165</v>
      </c>
      <c r="D56" s="116" t="s">
        <v>14</v>
      </c>
      <c r="E56" s="116" t="s">
        <v>64</v>
      </c>
      <c r="F56" s="116" t="s">
        <v>102</v>
      </c>
      <c r="G56" s="129">
        <v>1200</v>
      </c>
      <c r="H56" s="116">
        <v>3</v>
      </c>
      <c r="I56" s="129">
        <v>3600</v>
      </c>
      <c r="J56" s="121">
        <v>46173</v>
      </c>
      <c r="K56" s="134">
        <f>VLOOKUP(HistoriqueVentes[[#This Row],[Désignation]],ListeProduits[],4,FALSE)</f>
        <v>800</v>
      </c>
      <c r="L56" s="134">
        <f>HistoriqueVentes[[#This Row],[Prix d''achat]]*HistoriqueVentes[[#This Row],[Quantité]]</f>
        <v>2400</v>
      </c>
    </row>
    <row r="57" spans="3:12" x14ac:dyDescent="0.25">
      <c r="C57" s="120">
        <v>46165</v>
      </c>
      <c r="D57" s="116" t="s">
        <v>33</v>
      </c>
      <c r="E57" s="116" t="s">
        <v>46</v>
      </c>
      <c r="F57" s="116" t="s">
        <v>102</v>
      </c>
      <c r="G57" s="129">
        <v>1900</v>
      </c>
      <c r="H57" s="116">
        <v>4</v>
      </c>
      <c r="I57" s="129">
        <v>7600</v>
      </c>
      <c r="J57" s="121">
        <v>46275</v>
      </c>
      <c r="K57" s="134">
        <f>VLOOKUP(HistoriqueVentes[[#This Row],[Désignation]],ListeProduits[],4,FALSE)</f>
        <v>1300</v>
      </c>
      <c r="L57" s="134">
        <f>HistoriqueVentes[[#This Row],[Prix d''achat]]*HistoriqueVentes[[#This Row],[Quantité]]</f>
        <v>5200</v>
      </c>
    </row>
    <row r="58" spans="3:12" x14ac:dyDescent="0.25">
      <c r="C58" s="120">
        <v>46165</v>
      </c>
      <c r="D58" s="116" t="s">
        <v>52</v>
      </c>
      <c r="E58" s="116" t="s">
        <v>13</v>
      </c>
      <c r="F58" s="116" t="s">
        <v>102</v>
      </c>
      <c r="G58" s="129">
        <v>1200</v>
      </c>
      <c r="H58" s="116">
        <v>4</v>
      </c>
      <c r="I58" s="129">
        <v>4800</v>
      </c>
      <c r="J58" s="121">
        <v>46275</v>
      </c>
      <c r="K58" s="134">
        <f>VLOOKUP(HistoriqueVentes[[#This Row],[Désignation]],ListeProduits[],4,FALSE)</f>
        <v>800</v>
      </c>
      <c r="L58" s="134">
        <f>HistoriqueVentes[[#This Row],[Prix d''achat]]*HistoriqueVentes[[#This Row],[Quantité]]</f>
        <v>3200</v>
      </c>
    </row>
    <row r="59" spans="3:12" x14ac:dyDescent="0.25">
      <c r="C59" s="120">
        <v>46165</v>
      </c>
      <c r="D59" s="116" t="s">
        <v>19</v>
      </c>
      <c r="E59" s="116" t="s">
        <v>61</v>
      </c>
      <c r="F59" s="116" t="s">
        <v>102</v>
      </c>
      <c r="G59" s="129">
        <v>1800</v>
      </c>
      <c r="H59" s="116">
        <v>1</v>
      </c>
      <c r="I59" s="129">
        <v>1800</v>
      </c>
      <c r="J59" s="121">
        <v>46300</v>
      </c>
      <c r="K59" s="134">
        <f>VLOOKUP(HistoriqueVentes[[#This Row],[Désignation]],ListeProduits[],4,FALSE)</f>
        <v>1200</v>
      </c>
      <c r="L59" s="134">
        <f>HistoriqueVentes[[#This Row],[Prix d''achat]]*HistoriqueVentes[[#This Row],[Quantité]]</f>
        <v>1200</v>
      </c>
    </row>
    <row r="60" spans="3:12" x14ac:dyDescent="0.25">
      <c r="C60" s="120">
        <v>46165</v>
      </c>
      <c r="D60" s="116" t="s">
        <v>48</v>
      </c>
      <c r="E60" s="116" t="s">
        <v>20</v>
      </c>
      <c r="F60" s="116" t="s">
        <v>145</v>
      </c>
      <c r="G60" s="129">
        <v>2200</v>
      </c>
      <c r="H60" s="116">
        <v>1</v>
      </c>
      <c r="I60" s="129">
        <v>2200</v>
      </c>
      <c r="J60" s="121">
        <v>46310</v>
      </c>
      <c r="K60" s="134">
        <f>VLOOKUP(HistoriqueVentes[[#This Row],[Désignation]],ListeProduits[],4,FALSE)</f>
        <v>1500</v>
      </c>
      <c r="L60" s="134">
        <f>HistoriqueVentes[[#This Row],[Prix d''achat]]*HistoriqueVentes[[#This Row],[Quantité]]</f>
        <v>1500</v>
      </c>
    </row>
    <row r="61" spans="3:12" x14ac:dyDescent="0.25">
      <c r="C61" s="120">
        <v>46165</v>
      </c>
      <c r="D61" s="116" t="s">
        <v>12</v>
      </c>
      <c r="E61" s="116" t="s">
        <v>65</v>
      </c>
      <c r="F61" s="116" t="s">
        <v>102</v>
      </c>
      <c r="G61" s="129">
        <v>2200</v>
      </c>
      <c r="H61" s="116">
        <v>1</v>
      </c>
      <c r="I61" s="129">
        <v>2200</v>
      </c>
      <c r="J61" s="121">
        <v>46568</v>
      </c>
      <c r="K61" s="134">
        <f>VLOOKUP(HistoriqueVentes[[#This Row],[Désignation]],ListeProduits[],4,FALSE)</f>
        <v>1500</v>
      </c>
      <c r="L61" s="134">
        <f>HistoriqueVentes[[#This Row],[Prix d''achat]]*HistoriqueVentes[[#This Row],[Quantité]]</f>
        <v>1500</v>
      </c>
    </row>
    <row r="62" spans="3:12" x14ac:dyDescent="0.25">
      <c r="C62" s="120">
        <v>46165</v>
      </c>
      <c r="D62" s="116" t="s">
        <v>28</v>
      </c>
      <c r="E62" s="116" t="s">
        <v>55</v>
      </c>
      <c r="F62" s="116" t="s">
        <v>145</v>
      </c>
      <c r="G62" s="129">
        <v>800</v>
      </c>
      <c r="H62" s="116">
        <v>2</v>
      </c>
      <c r="I62" s="129">
        <v>1600</v>
      </c>
      <c r="J62" s="121">
        <v>46371</v>
      </c>
      <c r="K62" s="134">
        <f>VLOOKUP(HistoriqueVentes[[#This Row],[Désignation]],ListeProduits[],4,FALSE)</f>
        <v>500</v>
      </c>
      <c r="L62" s="134">
        <f>HistoriqueVentes[[#This Row],[Prix d''achat]]*HistoriqueVentes[[#This Row],[Quantité]]</f>
        <v>1000</v>
      </c>
    </row>
    <row r="63" spans="3:12" x14ac:dyDescent="0.25">
      <c r="C63" s="120">
        <v>46165</v>
      </c>
      <c r="D63" s="116" t="s">
        <v>50</v>
      </c>
      <c r="E63" s="116" t="s">
        <v>15</v>
      </c>
      <c r="F63" s="116" t="s">
        <v>102</v>
      </c>
      <c r="G63" s="129">
        <v>1100</v>
      </c>
      <c r="H63" s="116">
        <v>3</v>
      </c>
      <c r="I63" s="129">
        <v>3300</v>
      </c>
      <c r="J63" s="121">
        <v>46300</v>
      </c>
      <c r="K63" s="134">
        <f>VLOOKUP(HistoriqueVentes[[#This Row],[Désignation]],ListeProduits[],4,FALSE)</f>
        <v>700</v>
      </c>
      <c r="L63" s="134">
        <f>HistoriqueVentes[[#This Row],[Prix d''achat]]*HistoriqueVentes[[#This Row],[Quantité]]</f>
        <v>2100</v>
      </c>
    </row>
    <row r="64" spans="3:12" x14ac:dyDescent="0.25">
      <c r="C64" s="120">
        <v>46165</v>
      </c>
      <c r="D64" s="116" t="s">
        <v>41</v>
      </c>
      <c r="E64" s="116" t="s">
        <v>27</v>
      </c>
      <c r="F64" s="116" t="s">
        <v>102</v>
      </c>
      <c r="G64" s="129">
        <v>1100</v>
      </c>
      <c r="H64" s="116">
        <v>3</v>
      </c>
      <c r="I64" s="129">
        <v>3300</v>
      </c>
      <c r="J64" s="121">
        <v>46387</v>
      </c>
      <c r="K64" s="134">
        <f>VLOOKUP(HistoriqueVentes[[#This Row],[Désignation]],ListeProduits[],4,FALSE)</f>
        <v>700</v>
      </c>
      <c r="L64" s="134">
        <f>HistoriqueVentes[[#This Row],[Prix d''achat]]*HistoriqueVentes[[#This Row],[Quantité]]</f>
        <v>2100</v>
      </c>
    </row>
    <row r="65" spans="3:12" x14ac:dyDescent="0.25">
      <c r="C65" s="120">
        <v>46165</v>
      </c>
      <c r="D65" s="116" t="s">
        <v>47</v>
      </c>
      <c r="E65" s="116" t="s">
        <v>23</v>
      </c>
      <c r="F65" s="116" t="s">
        <v>102</v>
      </c>
      <c r="G65" s="129">
        <v>2600</v>
      </c>
      <c r="H65" s="116">
        <v>3</v>
      </c>
      <c r="I65" s="129">
        <v>7800</v>
      </c>
      <c r="J65" s="121">
        <v>46173</v>
      </c>
      <c r="K65" s="134">
        <f>VLOOKUP(HistoriqueVentes[[#This Row],[Désignation]],ListeProduits[],4,FALSE)</f>
        <v>1800</v>
      </c>
      <c r="L65" s="134">
        <f>HistoriqueVentes[[#This Row],[Prix d''achat]]*HistoriqueVentes[[#This Row],[Quantité]]</f>
        <v>5400</v>
      </c>
    </row>
    <row r="66" spans="3:12" x14ac:dyDescent="0.25">
      <c r="C66" s="120">
        <v>46157</v>
      </c>
      <c r="D66" s="116" t="s">
        <v>29</v>
      </c>
      <c r="E66" s="116" t="s">
        <v>54</v>
      </c>
      <c r="F66" s="116" t="s">
        <v>102</v>
      </c>
      <c r="G66" s="129">
        <v>3500</v>
      </c>
      <c r="H66" s="116">
        <v>1</v>
      </c>
      <c r="I66" s="129">
        <v>3500</v>
      </c>
      <c r="J66" s="121">
        <v>46568</v>
      </c>
      <c r="K66" s="134">
        <f>VLOOKUP(HistoriqueVentes[[#This Row],[Désignation]],ListeProduits[],4,FALSE)</f>
        <v>2500</v>
      </c>
      <c r="L66" s="134">
        <f>HistoriqueVentes[[#This Row],[Prix d''achat]]*HistoriqueVentes[[#This Row],[Quantité]]</f>
        <v>2500</v>
      </c>
    </row>
    <row r="67" spans="3:12" x14ac:dyDescent="0.25">
      <c r="C67" s="120">
        <v>46151</v>
      </c>
      <c r="D67" s="116" t="s">
        <v>29</v>
      </c>
      <c r="E67" s="116" t="s">
        <v>54</v>
      </c>
      <c r="F67" s="116" t="s">
        <v>102</v>
      </c>
      <c r="G67" s="129">
        <v>3500</v>
      </c>
      <c r="H67" s="116">
        <v>1</v>
      </c>
      <c r="I67" s="129">
        <v>3500</v>
      </c>
      <c r="J67" s="121">
        <v>46568</v>
      </c>
      <c r="K67" s="134">
        <f>VLOOKUP(HistoriqueVentes[[#This Row],[Désignation]],ListeProduits[],4,FALSE)</f>
        <v>2500</v>
      </c>
      <c r="L67" s="134">
        <f>HistoriqueVentes[[#This Row],[Prix d''achat]]*HistoriqueVentes[[#This Row],[Quantité]]</f>
        <v>2500</v>
      </c>
    </row>
    <row r="68" spans="3:12" x14ac:dyDescent="0.25">
      <c r="C68" s="120">
        <v>46151</v>
      </c>
      <c r="D68" s="116" t="s">
        <v>9</v>
      </c>
      <c r="E68" s="116" t="s">
        <v>67</v>
      </c>
      <c r="F68" s="116" t="s">
        <v>102</v>
      </c>
      <c r="G68" s="129">
        <v>1500</v>
      </c>
      <c r="H68" s="116">
        <v>2</v>
      </c>
      <c r="I68" s="129">
        <v>3000</v>
      </c>
      <c r="J68" s="121">
        <v>46173</v>
      </c>
      <c r="K68" s="134">
        <f>VLOOKUP(HistoriqueVentes[[#This Row],[Désignation]],ListeProduits[],4,FALSE)</f>
        <v>1000</v>
      </c>
      <c r="L68" s="134">
        <f>HistoriqueVentes[[#This Row],[Prix d''achat]]*HistoriqueVentes[[#This Row],[Quantité]]</f>
        <v>2000</v>
      </c>
    </row>
    <row r="69" spans="3:12" x14ac:dyDescent="0.25">
      <c r="C69" s="120">
        <v>46151</v>
      </c>
      <c r="D69" s="116" t="s">
        <v>40</v>
      </c>
      <c r="E69" s="116" t="s">
        <v>143</v>
      </c>
      <c r="F69" s="116" t="s">
        <v>145</v>
      </c>
      <c r="G69" s="129">
        <v>800</v>
      </c>
      <c r="H69" s="116">
        <v>9</v>
      </c>
      <c r="I69" s="129">
        <v>7200</v>
      </c>
      <c r="J69" s="121">
        <v>46356</v>
      </c>
      <c r="K69" s="134">
        <f>VLOOKUP(HistoriqueVentes[[#This Row],[Désignation]],ListeProduits[],4,FALSE)</f>
        <v>500</v>
      </c>
      <c r="L69" s="134">
        <f>HistoriqueVentes[[#This Row],[Prix d''achat]]*HistoriqueVentes[[#This Row],[Quantité]]</f>
        <v>4500</v>
      </c>
    </row>
    <row r="70" spans="3:12" x14ac:dyDescent="0.25">
      <c r="C70" s="120">
        <v>46151</v>
      </c>
      <c r="D70" s="116" t="s">
        <v>29</v>
      </c>
      <c r="E70" s="116" t="s">
        <v>54</v>
      </c>
      <c r="F70" s="116" t="s">
        <v>102</v>
      </c>
      <c r="G70" s="129">
        <v>3500</v>
      </c>
      <c r="H70" s="116">
        <v>5</v>
      </c>
      <c r="I70" s="129">
        <v>17500</v>
      </c>
      <c r="J70" s="121">
        <v>46568</v>
      </c>
      <c r="K70" s="134">
        <f>VLOOKUP(HistoriqueVentes[[#This Row],[Désignation]],ListeProduits[],4,FALSE)</f>
        <v>2500</v>
      </c>
      <c r="L70" s="134">
        <f>HistoriqueVentes[[#This Row],[Prix d''achat]]*HistoriqueVentes[[#This Row],[Quantité]]</f>
        <v>12500</v>
      </c>
    </row>
    <row r="71" spans="3:12" x14ac:dyDescent="0.25">
      <c r="C71" s="120">
        <v>46141</v>
      </c>
      <c r="D71" s="116" t="s">
        <v>35</v>
      </c>
      <c r="E71" s="116" t="s">
        <v>42</v>
      </c>
      <c r="F71" s="116" t="s">
        <v>102</v>
      </c>
      <c r="G71" s="129">
        <v>2100</v>
      </c>
      <c r="H71" s="116">
        <v>7</v>
      </c>
      <c r="I71" s="129">
        <v>14700</v>
      </c>
      <c r="J71" s="121">
        <v>46300</v>
      </c>
      <c r="K71" s="134">
        <f>VLOOKUP(HistoriqueVentes[[#This Row],[Désignation]],ListeProduits[],4,FALSE)</f>
        <v>1400</v>
      </c>
      <c r="L71" s="134">
        <f>HistoriqueVentes[[#This Row],[Prix d''achat]]*HistoriqueVentes[[#This Row],[Quantité]]</f>
        <v>9800</v>
      </c>
    </row>
    <row r="72" spans="3:12" x14ac:dyDescent="0.25">
      <c r="C72" s="120">
        <v>46141</v>
      </c>
      <c r="D72" s="116" t="s">
        <v>12</v>
      </c>
      <c r="E72" s="116" t="s">
        <v>65</v>
      </c>
      <c r="F72" s="116" t="s">
        <v>102</v>
      </c>
      <c r="G72" s="129">
        <v>2200</v>
      </c>
      <c r="H72" s="116">
        <v>2</v>
      </c>
      <c r="I72" s="129">
        <v>4400</v>
      </c>
      <c r="J72" s="121">
        <v>46568</v>
      </c>
      <c r="K72" s="134">
        <f>VLOOKUP(HistoriqueVentes[[#This Row],[Désignation]],ListeProduits[],4,FALSE)</f>
        <v>1500</v>
      </c>
      <c r="L72" s="134">
        <f>HistoriqueVentes[[#This Row],[Prix d''achat]]*HistoriqueVentes[[#This Row],[Quantité]]</f>
        <v>3000</v>
      </c>
    </row>
    <row r="73" spans="3:12" x14ac:dyDescent="0.25">
      <c r="C73" s="120">
        <v>46141</v>
      </c>
      <c r="D73" s="116" t="s">
        <v>35</v>
      </c>
      <c r="E73" s="116" t="s">
        <v>42</v>
      </c>
      <c r="F73" s="116" t="s">
        <v>102</v>
      </c>
      <c r="G73" s="129">
        <v>2100</v>
      </c>
      <c r="H73" s="116">
        <v>1</v>
      </c>
      <c r="I73" s="129">
        <v>2100</v>
      </c>
      <c r="J73" s="121">
        <v>46300</v>
      </c>
      <c r="K73" s="134">
        <f>VLOOKUP(HistoriqueVentes[[#This Row],[Désignation]],ListeProduits[],4,FALSE)</f>
        <v>1400</v>
      </c>
      <c r="L73" s="134">
        <f>HistoriqueVentes[[#This Row],[Prix d''achat]]*HistoriqueVentes[[#This Row],[Quantité]]</f>
        <v>1400</v>
      </c>
    </row>
    <row r="74" spans="3:12" x14ac:dyDescent="0.25">
      <c r="C74" s="120">
        <v>46141</v>
      </c>
      <c r="D74" s="116" t="s">
        <v>30</v>
      </c>
      <c r="E74" s="116" t="s">
        <v>51</v>
      </c>
      <c r="F74" s="116" t="s">
        <v>102</v>
      </c>
      <c r="G74" s="129">
        <v>2300</v>
      </c>
      <c r="H74" s="116">
        <v>1</v>
      </c>
      <c r="I74" s="129">
        <v>2300</v>
      </c>
      <c r="J74" s="121">
        <v>46173</v>
      </c>
      <c r="K74" s="134">
        <f>VLOOKUP(HistoriqueVentes[[#This Row],[Désignation]],ListeProduits[],4,FALSE)</f>
        <v>1500</v>
      </c>
      <c r="L74" s="134">
        <f>HistoriqueVentes[[#This Row],[Prix d''achat]]*HistoriqueVentes[[#This Row],[Quantité]]</f>
        <v>1500</v>
      </c>
    </row>
    <row r="75" spans="3:12" x14ac:dyDescent="0.25">
      <c r="C75" s="120">
        <v>46135</v>
      </c>
      <c r="D75" s="116" t="s">
        <v>17</v>
      </c>
      <c r="E75" s="116" t="s">
        <v>62</v>
      </c>
      <c r="F75" s="116" t="s">
        <v>102</v>
      </c>
      <c r="G75" s="129">
        <v>1800</v>
      </c>
      <c r="H75" s="116">
        <v>5</v>
      </c>
      <c r="I75" s="129">
        <v>9000</v>
      </c>
      <c r="J75" s="121">
        <v>46387</v>
      </c>
      <c r="K75" s="134">
        <f>VLOOKUP(HistoriqueVentes[[#This Row],[Désignation]],ListeProduits[],4,FALSE)</f>
        <v>1200</v>
      </c>
      <c r="L75" s="134">
        <f>HistoriqueVentes[[#This Row],[Prix d''achat]]*HistoriqueVentes[[#This Row],[Quantité]]</f>
        <v>6000</v>
      </c>
    </row>
    <row r="76" spans="3:12" x14ac:dyDescent="0.25">
      <c r="C76" s="120">
        <v>46135</v>
      </c>
      <c r="D76" s="116" t="s">
        <v>29</v>
      </c>
      <c r="E76" s="116" t="s">
        <v>54</v>
      </c>
      <c r="F76" s="116" t="s">
        <v>102</v>
      </c>
      <c r="G76" s="129">
        <v>3500</v>
      </c>
      <c r="H76" s="116">
        <v>30</v>
      </c>
      <c r="I76" s="129">
        <v>105000</v>
      </c>
      <c r="J76" s="121">
        <v>46568</v>
      </c>
      <c r="K76" s="134">
        <f>VLOOKUP(HistoriqueVentes[[#This Row],[Désignation]],ListeProduits[],4,FALSE)</f>
        <v>2500</v>
      </c>
      <c r="L76" s="134">
        <f>HistoriqueVentes[[#This Row],[Prix d''achat]]*HistoriqueVentes[[#This Row],[Quantité]]</f>
        <v>75000</v>
      </c>
    </row>
    <row r="77" spans="3:12" x14ac:dyDescent="0.25">
      <c r="C77" s="120">
        <v>46135</v>
      </c>
      <c r="D77" s="116" t="s">
        <v>29</v>
      </c>
      <c r="E77" s="116" t="s">
        <v>54</v>
      </c>
      <c r="F77" s="116" t="s">
        <v>145</v>
      </c>
      <c r="G77" s="129">
        <v>3500</v>
      </c>
      <c r="H77" s="116">
        <v>10</v>
      </c>
      <c r="I77" s="129">
        <v>35000</v>
      </c>
      <c r="J77" s="121">
        <v>46325</v>
      </c>
      <c r="K77" s="134">
        <f>VLOOKUP(HistoriqueVentes[[#This Row],[Désignation]],ListeProduits[],4,FALSE)</f>
        <v>2500</v>
      </c>
      <c r="L77" s="134">
        <f>HistoriqueVentes[[#This Row],[Prix d''achat]]*HistoriqueVentes[[#This Row],[Quantité]]</f>
        <v>25000</v>
      </c>
    </row>
    <row r="78" spans="3:12" x14ac:dyDescent="0.25">
      <c r="C78" s="120">
        <v>46135</v>
      </c>
      <c r="D78" s="116" t="s">
        <v>38</v>
      </c>
      <c r="E78" s="116" t="s">
        <v>34</v>
      </c>
      <c r="F78" s="116" t="s">
        <v>102</v>
      </c>
      <c r="G78" s="129">
        <v>600</v>
      </c>
      <c r="H78" s="116">
        <v>5</v>
      </c>
      <c r="I78" s="129">
        <v>3000</v>
      </c>
      <c r="J78" s="121">
        <v>46275</v>
      </c>
      <c r="K78" s="134">
        <f>VLOOKUP(HistoriqueVentes[[#This Row],[Désignation]],ListeProduits[],4,FALSE)</f>
        <v>400</v>
      </c>
      <c r="L78" s="134">
        <f>HistoriqueVentes[[#This Row],[Prix d''achat]]*HistoriqueVentes[[#This Row],[Quantité]]</f>
        <v>2000</v>
      </c>
    </row>
    <row r="79" spans="3:12" x14ac:dyDescent="0.25">
      <c r="C79" s="120">
        <v>46135</v>
      </c>
      <c r="D79" s="116" t="s">
        <v>49</v>
      </c>
      <c r="E79" s="116" t="s">
        <v>18</v>
      </c>
      <c r="F79" s="116" t="s">
        <v>102</v>
      </c>
      <c r="G79" s="129">
        <v>900</v>
      </c>
      <c r="H79" s="116">
        <v>9</v>
      </c>
      <c r="I79" s="129">
        <v>8100</v>
      </c>
      <c r="J79" s="121">
        <v>46387</v>
      </c>
      <c r="K79" s="134">
        <f>VLOOKUP(HistoriqueVentes[[#This Row],[Désignation]],ListeProduits[],4,FALSE)</f>
        <v>600</v>
      </c>
      <c r="L79" s="134">
        <f>HistoriqueVentes[[#This Row],[Prix d''achat]]*HistoriqueVentes[[#This Row],[Quantité]]</f>
        <v>5400</v>
      </c>
    </row>
    <row r="80" spans="3:12" x14ac:dyDescent="0.25">
      <c r="C80" s="120">
        <v>46127</v>
      </c>
      <c r="D80" s="116" t="s">
        <v>49</v>
      </c>
      <c r="E80" s="116" t="s">
        <v>18</v>
      </c>
      <c r="F80" s="116" t="s">
        <v>102</v>
      </c>
      <c r="G80" s="129">
        <v>900</v>
      </c>
      <c r="H80" s="116">
        <v>5</v>
      </c>
      <c r="I80" s="129">
        <v>4500</v>
      </c>
      <c r="J80" s="121">
        <v>46387</v>
      </c>
      <c r="K80" s="134">
        <f>VLOOKUP(HistoriqueVentes[[#This Row],[Désignation]],ListeProduits[],4,FALSE)</f>
        <v>600</v>
      </c>
      <c r="L80" s="134">
        <f>HistoriqueVentes[[#This Row],[Prix d''achat]]*HistoriqueVentes[[#This Row],[Quantité]]</f>
        <v>3000</v>
      </c>
    </row>
    <row r="81" spans="3:12" x14ac:dyDescent="0.25">
      <c r="C81" s="120">
        <v>46127</v>
      </c>
      <c r="D81" s="116" t="s">
        <v>14</v>
      </c>
      <c r="E81" s="116" t="s">
        <v>64</v>
      </c>
      <c r="F81" s="116" t="s">
        <v>102</v>
      </c>
      <c r="G81" s="129">
        <v>1200</v>
      </c>
      <c r="H81" s="116">
        <v>5</v>
      </c>
      <c r="I81" s="129">
        <v>6000</v>
      </c>
      <c r="J81" s="121">
        <v>46173</v>
      </c>
      <c r="K81" s="134">
        <f>VLOOKUP(HistoriqueVentes[[#This Row],[Désignation]],ListeProduits[],4,FALSE)</f>
        <v>800</v>
      </c>
      <c r="L81" s="134">
        <f>HistoriqueVentes[[#This Row],[Prix d''achat]]*HistoriqueVentes[[#This Row],[Quantité]]</f>
        <v>4000</v>
      </c>
    </row>
    <row r="82" spans="3:12" x14ac:dyDescent="0.25">
      <c r="C82" s="120">
        <v>46127</v>
      </c>
      <c r="D82" s="116" t="s">
        <v>45</v>
      </c>
      <c r="E82" s="116" t="s">
        <v>25</v>
      </c>
      <c r="F82" s="116" t="s">
        <v>102</v>
      </c>
      <c r="G82" s="129">
        <v>1800</v>
      </c>
      <c r="H82" s="116">
        <v>9</v>
      </c>
      <c r="I82" s="129">
        <v>16200</v>
      </c>
      <c r="J82" s="121">
        <v>46275</v>
      </c>
      <c r="K82" s="134">
        <f>VLOOKUP(HistoriqueVentes[[#This Row],[Désignation]],ListeProduits[],4,FALSE)</f>
        <v>1200</v>
      </c>
      <c r="L82" s="134">
        <f>HistoriqueVentes[[#This Row],[Prix d''achat]]*HistoriqueVentes[[#This Row],[Quantité]]</f>
        <v>10800</v>
      </c>
    </row>
    <row r="83" spans="3:12" x14ac:dyDescent="0.25">
      <c r="C83" s="120">
        <v>46121</v>
      </c>
      <c r="D83" s="116" t="s">
        <v>35</v>
      </c>
      <c r="E83" s="116" t="s">
        <v>42</v>
      </c>
      <c r="F83" s="116" t="s">
        <v>102</v>
      </c>
      <c r="G83" s="129">
        <v>2100</v>
      </c>
      <c r="H83" s="116">
        <v>2</v>
      </c>
      <c r="I83" s="129">
        <v>4200</v>
      </c>
      <c r="J83" s="121">
        <v>46300</v>
      </c>
      <c r="K83" s="134">
        <f>VLOOKUP(HistoriqueVentes[[#This Row],[Désignation]],ListeProduits[],4,FALSE)</f>
        <v>1400</v>
      </c>
      <c r="L83" s="134">
        <f>HistoriqueVentes[[#This Row],[Prix d''achat]]*HistoriqueVentes[[#This Row],[Quantité]]</f>
        <v>2800</v>
      </c>
    </row>
    <row r="84" spans="3:12" x14ac:dyDescent="0.25">
      <c r="C84" s="120">
        <v>46121</v>
      </c>
      <c r="D84" s="116" t="s">
        <v>45</v>
      </c>
      <c r="E84" s="116" t="s">
        <v>25</v>
      </c>
      <c r="F84" s="116" t="s">
        <v>102</v>
      </c>
      <c r="G84" s="129">
        <v>1800</v>
      </c>
      <c r="H84" s="116">
        <v>10</v>
      </c>
      <c r="I84" s="129">
        <v>18000</v>
      </c>
      <c r="J84" s="121">
        <v>46275</v>
      </c>
      <c r="K84" s="134">
        <f>VLOOKUP(HistoriqueVentes[[#This Row],[Désignation]],ListeProduits[],4,FALSE)</f>
        <v>1200</v>
      </c>
      <c r="L84" s="134">
        <f>HistoriqueVentes[[#This Row],[Prix d''achat]]*HistoriqueVentes[[#This Row],[Quantité]]</f>
        <v>12000</v>
      </c>
    </row>
    <row r="85" spans="3:12" x14ac:dyDescent="0.25">
      <c r="C85" s="120">
        <v>46121</v>
      </c>
      <c r="D85" s="116" t="s">
        <v>48</v>
      </c>
      <c r="E85" s="116" t="s">
        <v>20</v>
      </c>
      <c r="F85" s="116" t="s">
        <v>145</v>
      </c>
      <c r="G85" s="129">
        <v>2200</v>
      </c>
      <c r="H85" s="116">
        <v>1</v>
      </c>
      <c r="I85" s="129">
        <v>2200</v>
      </c>
      <c r="J85" s="121">
        <v>46310</v>
      </c>
      <c r="K85" s="134">
        <f>VLOOKUP(HistoriqueVentes[[#This Row],[Désignation]],ListeProduits[],4,FALSE)</f>
        <v>1500</v>
      </c>
      <c r="L85" s="134">
        <f>HistoriqueVentes[[#This Row],[Prix d''achat]]*HistoriqueVentes[[#This Row],[Quantité]]</f>
        <v>1500</v>
      </c>
    </row>
    <row r="86" spans="3:12" x14ac:dyDescent="0.25">
      <c r="C86" s="120">
        <v>46116</v>
      </c>
      <c r="D86" s="116" t="s">
        <v>22</v>
      </c>
      <c r="E86" s="116" t="s">
        <v>60</v>
      </c>
      <c r="F86" s="116" t="s">
        <v>102</v>
      </c>
      <c r="G86" s="129">
        <v>2600</v>
      </c>
      <c r="H86" s="116">
        <v>5</v>
      </c>
      <c r="I86" s="129">
        <v>13000</v>
      </c>
      <c r="J86" s="121">
        <v>46275</v>
      </c>
      <c r="K86" s="134">
        <f>VLOOKUP(HistoriqueVentes[[#This Row],[Désignation]],ListeProduits[],4,FALSE)</f>
        <v>1800</v>
      </c>
      <c r="L86" s="134">
        <f>HistoriqueVentes[[#This Row],[Prix d''achat]]*HistoriqueVentes[[#This Row],[Quantité]]</f>
        <v>9000</v>
      </c>
    </row>
    <row r="87" spans="3:12" x14ac:dyDescent="0.25">
      <c r="C87" s="120">
        <v>46113</v>
      </c>
      <c r="D87" s="116" t="s">
        <v>9</v>
      </c>
      <c r="E87" s="116" t="s">
        <v>67</v>
      </c>
      <c r="F87" s="116" t="s">
        <v>102</v>
      </c>
      <c r="G87" s="129">
        <v>1500</v>
      </c>
      <c r="H87" s="116">
        <v>10</v>
      </c>
      <c r="I87" s="129">
        <v>15000</v>
      </c>
      <c r="J87" s="121">
        <v>46173</v>
      </c>
      <c r="K87" s="134">
        <f>VLOOKUP(HistoriqueVentes[[#This Row],[Désignation]],ListeProduits[],4,FALSE)</f>
        <v>1000</v>
      </c>
      <c r="L87" s="134">
        <f>HistoriqueVentes[[#This Row],[Prix d''achat]]*HistoriqueVentes[[#This Row],[Quantité]]</f>
        <v>10000</v>
      </c>
    </row>
    <row r="88" spans="3:12" x14ac:dyDescent="0.25">
      <c r="C88" s="120">
        <v>46113</v>
      </c>
      <c r="D88" s="116" t="s">
        <v>12</v>
      </c>
      <c r="E88" s="116" t="s">
        <v>65</v>
      </c>
      <c r="F88" s="116" t="s">
        <v>102</v>
      </c>
      <c r="G88" s="129">
        <v>2200</v>
      </c>
      <c r="H88" s="116">
        <v>1</v>
      </c>
      <c r="I88" s="129">
        <v>2200</v>
      </c>
      <c r="J88" s="121">
        <v>46568</v>
      </c>
      <c r="K88" s="134">
        <f>VLOOKUP(HistoriqueVentes[[#This Row],[Désignation]],ListeProduits[],4,FALSE)</f>
        <v>1500</v>
      </c>
      <c r="L88" s="134">
        <f>HistoriqueVentes[[#This Row],[Prix d''achat]]*HistoriqueVentes[[#This Row],[Quantité]]</f>
        <v>1500</v>
      </c>
    </row>
    <row r="89" spans="3:12" x14ac:dyDescent="0.25">
      <c r="C89" s="120">
        <v>46113</v>
      </c>
      <c r="D89" s="116" t="s">
        <v>53</v>
      </c>
      <c r="E89" s="116" t="s">
        <v>10</v>
      </c>
      <c r="F89" s="116" t="s">
        <v>102</v>
      </c>
      <c r="G89" s="129">
        <v>800</v>
      </c>
      <c r="H89" s="116">
        <v>26</v>
      </c>
      <c r="I89" s="129">
        <v>20800</v>
      </c>
      <c r="J89" s="121">
        <v>46173</v>
      </c>
      <c r="K89" s="134">
        <f>VLOOKUP(HistoriqueVentes[[#This Row],[Désignation]],ListeProduits[],4,FALSE)</f>
        <v>500</v>
      </c>
      <c r="L89" s="134">
        <f>HistoriqueVentes[[#This Row],[Prix d''achat]]*HistoriqueVentes[[#This Row],[Quantité]]</f>
        <v>13000</v>
      </c>
    </row>
    <row r="90" spans="3:12" x14ac:dyDescent="0.25">
      <c r="C90" s="120">
        <v>46112</v>
      </c>
      <c r="D90" s="116" t="s">
        <v>17</v>
      </c>
      <c r="E90" s="116" t="s">
        <v>62</v>
      </c>
      <c r="F90" s="116" t="s">
        <v>102</v>
      </c>
      <c r="G90" s="129">
        <v>1800</v>
      </c>
      <c r="H90" s="116">
        <v>8</v>
      </c>
      <c r="I90" s="129">
        <v>14400</v>
      </c>
      <c r="J90" s="121">
        <v>46387</v>
      </c>
      <c r="K90" s="134">
        <f>VLOOKUP(HistoriqueVentes[[#This Row],[Désignation]],ListeProduits[],4,FALSE)</f>
        <v>1200</v>
      </c>
      <c r="L90" s="134">
        <f>HistoriqueVentes[[#This Row],[Prix d''achat]]*HistoriqueVentes[[#This Row],[Quantité]]</f>
        <v>9600</v>
      </c>
    </row>
    <row r="91" spans="3:12" x14ac:dyDescent="0.25">
      <c r="C91" s="120">
        <v>46109</v>
      </c>
      <c r="D91" s="116" t="s">
        <v>43</v>
      </c>
      <c r="E91" s="116" t="s">
        <v>144</v>
      </c>
      <c r="F91" s="116" t="s">
        <v>102</v>
      </c>
      <c r="G91" s="129">
        <v>2600</v>
      </c>
      <c r="H91" s="116">
        <v>6</v>
      </c>
      <c r="I91" s="129">
        <v>15600</v>
      </c>
      <c r="J91" s="121">
        <v>46300</v>
      </c>
      <c r="K91" s="134">
        <f>VLOOKUP(HistoriqueVentes[[#This Row],[Désignation]],ListeProduits[],4,FALSE)</f>
        <v>1800</v>
      </c>
      <c r="L91" s="134">
        <f>HistoriqueVentes[[#This Row],[Prix d''achat]]*HistoriqueVentes[[#This Row],[Quantité]]</f>
        <v>10800</v>
      </c>
    </row>
    <row r="92" spans="3:12" x14ac:dyDescent="0.25">
      <c r="C92" s="120">
        <v>46109</v>
      </c>
      <c r="D92" s="116" t="s">
        <v>47</v>
      </c>
      <c r="E92" s="116" t="s">
        <v>23</v>
      </c>
      <c r="F92" s="116" t="s">
        <v>102</v>
      </c>
      <c r="G92" s="129">
        <v>2600</v>
      </c>
      <c r="H92" s="116">
        <v>1</v>
      </c>
      <c r="I92" s="129">
        <v>2600</v>
      </c>
      <c r="J92" s="121">
        <v>46173</v>
      </c>
      <c r="K92" s="134">
        <f>VLOOKUP(HistoriqueVentes[[#This Row],[Désignation]],ListeProduits[],4,FALSE)</f>
        <v>1800</v>
      </c>
      <c r="L92" s="134">
        <f>HistoriqueVentes[[#This Row],[Prix d''achat]]*HistoriqueVentes[[#This Row],[Quantité]]</f>
        <v>1800</v>
      </c>
    </row>
    <row r="93" spans="3:12" x14ac:dyDescent="0.25">
      <c r="C93" s="120">
        <v>46108</v>
      </c>
      <c r="D93" s="116" t="s">
        <v>39</v>
      </c>
      <c r="E93" s="116" t="s">
        <v>31</v>
      </c>
      <c r="F93" s="116" t="s">
        <v>102</v>
      </c>
      <c r="G93" s="129">
        <v>500</v>
      </c>
      <c r="H93" s="116">
        <v>1</v>
      </c>
      <c r="I93" s="129">
        <v>500</v>
      </c>
      <c r="J93" s="121">
        <v>46300</v>
      </c>
      <c r="K93" s="134">
        <f>VLOOKUP(HistoriqueVentes[[#This Row],[Désignation]],ListeProduits[],4,FALSE)</f>
        <v>300</v>
      </c>
      <c r="L93" s="134">
        <f>HistoriqueVentes[[#This Row],[Prix d''achat]]*HistoriqueVentes[[#This Row],[Quantité]]</f>
        <v>300</v>
      </c>
    </row>
    <row r="94" spans="3:12" x14ac:dyDescent="0.25">
      <c r="C94" s="120">
        <v>46108</v>
      </c>
      <c r="D94" s="116" t="s">
        <v>48</v>
      </c>
      <c r="E94" s="116" t="s">
        <v>20</v>
      </c>
      <c r="F94" s="116" t="s">
        <v>145</v>
      </c>
      <c r="G94" s="129">
        <v>2200</v>
      </c>
      <c r="H94" s="116">
        <v>8</v>
      </c>
      <c r="I94" s="129">
        <v>17600</v>
      </c>
      <c r="J94" s="121">
        <v>46310</v>
      </c>
      <c r="K94" s="134">
        <f>VLOOKUP(HistoriqueVentes[[#This Row],[Désignation]],ListeProduits[],4,FALSE)</f>
        <v>1500</v>
      </c>
      <c r="L94" s="134">
        <f>HistoriqueVentes[[#This Row],[Prix d''achat]]*HistoriqueVentes[[#This Row],[Quantité]]</f>
        <v>12000</v>
      </c>
    </row>
    <row r="95" spans="3:12" x14ac:dyDescent="0.25">
      <c r="C95" s="120">
        <v>46105</v>
      </c>
      <c r="D95" s="116" t="s">
        <v>45</v>
      </c>
      <c r="E95" s="116" t="s">
        <v>25</v>
      </c>
      <c r="F95" s="116" t="s">
        <v>102</v>
      </c>
      <c r="G95" s="129">
        <v>1800</v>
      </c>
      <c r="H95" s="116">
        <v>3</v>
      </c>
      <c r="I95" s="129">
        <v>5400</v>
      </c>
      <c r="J95" s="121">
        <v>46275</v>
      </c>
      <c r="K95" s="134">
        <f>VLOOKUP(HistoriqueVentes[[#This Row],[Désignation]],ListeProduits[],4,FALSE)</f>
        <v>1200</v>
      </c>
      <c r="L95" s="134">
        <f>HistoriqueVentes[[#This Row],[Prix d''achat]]*HistoriqueVentes[[#This Row],[Quantité]]</f>
        <v>3600</v>
      </c>
    </row>
    <row r="96" spans="3:12" x14ac:dyDescent="0.25">
      <c r="C96" s="120">
        <v>46101</v>
      </c>
      <c r="D96" s="116" t="s">
        <v>48</v>
      </c>
      <c r="E96" s="116" t="s">
        <v>20</v>
      </c>
      <c r="F96" s="116" t="s">
        <v>145</v>
      </c>
      <c r="G96" s="129">
        <v>2200</v>
      </c>
      <c r="H96" s="116">
        <v>2</v>
      </c>
      <c r="I96" s="129">
        <v>4400</v>
      </c>
      <c r="J96" s="121">
        <v>46310</v>
      </c>
      <c r="K96" s="134">
        <f>VLOOKUP(HistoriqueVentes[[#This Row],[Désignation]],ListeProduits[],4,FALSE)</f>
        <v>1500</v>
      </c>
      <c r="L96" s="134">
        <f>HistoriqueVentes[[#This Row],[Prix d''achat]]*HistoriqueVentes[[#This Row],[Quantité]]</f>
        <v>3000</v>
      </c>
    </row>
    <row r="97" spans="3:12" x14ac:dyDescent="0.25">
      <c r="C97" s="120">
        <v>46100</v>
      </c>
      <c r="D97" s="116" t="s">
        <v>43</v>
      </c>
      <c r="E97" s="116" t="s">
        <v>144</v>
      </c>
      <c r="F97" s="116" t="s">
        <v>102</v>
      </c>
      <c r="G97" s="129">
        <v>2600</v>
      </c>
      <c r="H97" s="116">
        <v>2</v>
      </c>
      <c r="I97" s="129">
        <v>5200</v>
      </c>
      <c r="J97" s="121">
        <v>46300</v>
      </c>
      <c r="K97" s="134">
        <f>VLOOKUP(HistoriqueVentes[[#This Row],[Désignation]],ListeProduits[],4,FALSE)</f>
        <v>1800</v>
      </c>
      <c r="L97" s="134">
        <f>HistoriqueVentes[[#This Row],[Prix d''achat]]*HistoriqueVentes[[#This Row],[Quantité]]</f>
        <v>3600</v>
      </c>
    </row>
    <row r="98" spans="3:12" x14ac:dyDescent="0.25">
      <c r="C98" s="120">
        <v>46100</v>
      </c>
      <c r="D98" s="116" t="s">
        <v>45</v>
      </c>
      <c r="E98" s="116" t="s">
        <v>25</v>
      </c>
      <c r="F98" s="116" t="s">
        <v>102</v>
      </c>
      <c r="G98" s="129">
        <v>1800</v>
      </c>
      <c r="H98" s="116">
        <v>6</v>
      </c>
      <c r="I98" s="129">
        <v>10800</v>
      </c>
      <c r="J98" s="121">
        <v>46275</v>
      </c>
      <c r="K98" s="134">
        <f>VLOOKUP(HistoriqueVentes[[#This Row],[Désignation]],ListeProduits[],4,FALSE)</f>
        <v>1200</v>
      </c>
      <c r="L98" s="134">
        <f>HistoriqueVentes[[#This Row],[Prix d''achat]]*HistoriqueVentes[[#This Row],[Quantité]]</f>
        <v>7200</v>
      </c>
    </row>
    <row r="99" spans="3:12" x14ac:dyDescent="0.25">
      <c r="C99" s="120">
        <v>46100</v>
      </c>
      <c r="D99" s="116" t="s">
        <v>38</v>
      </c>
      <c r="E99" s="116" t="s">
        <v>34</v>
      </c>
      <c r="F99" s="116" t="s">
        <v>102</v>
      </c>
      <c r="G99" s="129">
        <v>600</v>
      </c>
      <c r="H99" s="116">
        <v>8</v>
      </c>
      <c r="I99" s="129">
        <v>4800</v>
      </c>
      <c r="J99" s="121">
        <v>46275</v>
      </c>
      <c r="K99" s="134">
        <f>VLOOKUP(HistoriqueVentes[[#This Row],[Désignation]],ListeProduits[],4,FALSE)</f>
        <v>400</v>
      </c>
      <c r="L99" s="134">
        <f>HistoriqueVentes[[#This Row],[Prix d''achat]]*HistoriqueVentes[[#This Row],[Quantité]]</f>
        <v>3200</v>
      </c>
    </row>
    <row r="100" spans="3:12" x14ac:dyDescent="0.25">
      <c r="C100" s="120">
        <v>46096</v>
      </c>
      <c r="D100" s="116" t="s">
        <v>41</v>
      </c>
      <c r="E100" s="116" t="s">
        <v>27</v>
      </c>
      <c r="F100" s="116" t="s">
        <v>102</v>
      </c>
      <c r="G100" s="129">
        <v>1100</v>
      </c>
      <c r="H100" s="116">
        <v>1</v>
      </c>
      <c r="I100" s="129">
        <v>1100</v>
      </c>
      <c r="J100" s="121">
        <v>46387</v>
      </c>
      <c r="K100" s="134">
        <f>VLOOKUP(HistoriqueVentes[[#This Row],[Désignation]],ListeProduits[],4,FALSE)</f>
        <v>700</v>
      </c>
      <c r="L100" s="134">
        <f>HistoriqueVentes[[#This Row],[Prix d''achat]]*HistoriqueVentes[[#This Row],[Quantité]]</f>
        <v>700</v>
      </c>
    </row>
    <row r="101" spans="3:12" x14ac:dyDescent="0.25">
      <c r="C101" s="120">
        <v>46096</v>
      </c>
      <c r="D101" s="116" t="s">
        <v>29</v>
      </c>
      <c r="E101" s="116" t="s">
        <v>54</v>
      </c>
      <c r="F101" s="116" t="s">
        <v>145</v>
      </c>
      <c r="G101" s="129">
        <v>3500</v>
      </c>
      <c r="H101" s="116">
        <v>7</v>
      </c>
      <c r="I101" s="129">
        <v>24500</v>
      </c>
      <c r="J101" s="121">
        <v>46325</v>
      </c>
      <c r="K101" s="134">
        <f>VLOOKUP(HistoriqueVentes[[#This Row],[Désignation]],ListeProduits[],4,FALSE)</f>
        <v>2500</v>
      </c>
      <c r="L101" s="134">
        <f>HistoriqueVentes[[#This Row],[Prix d''achat]]*HistoriqueVentes[[#This Row],[Quantité]]</f>
        <v>17500</v>
      </c>
    </row>
    <row r="102" spans="3:12" x14ac:dyDescent="0.25">
      <c r="C102" s="120">
        <v>46096</v>
      </c>
      <c r="D102" s="116" t="s">
        <v>36</v>
      </c>
      <c r="E102" s="116" t="s">
        <v>37</v>
      </c>
      <c r="F102" s="116" t="s">
        <v>102</v>
      </c>
      <c r="G102" s="129">
        <v>1400</v>
      </c>
      <c r="H102" s="116">
        <v>3</v>
      </c>
      <c r="I102" s="129">
        <v>4200</v>
      </c>
      <c r="J102" s="121">
        <v>46387</v>
      </c>
      <c r="K102" s="134">
        <f>VLOOKUP(HistoriqueVentes[[#This Row],[Désignation]],ListeProduits[],4,FALSE)</f>
        <v>900</v>
      </c>
      <c r="L102" s="134">
        <f>HistoriqueVentes[[#This Row],[Prix d''achat]]*HistoriqueVentes[[#This Row],[Quantité]]</f>
        <v>2700</v>
      </c>
    </row>
    <row r="103" spans="3:12" x14ac:dyDescent="0.25">
      <c r="C103" s="120">
        <v>46096</v>
      </c>
      <c r="D103" s="116" t="s">
        <v>52</v>
      </c>
      <c r="E103" s="116" t="s">
        <v>13</v>
      </c>
      <c r="F103" s="116" t="s">
        <v>102</v>
      </c>
      <c r="G103" s="129">
        <v>1200</v>
      </c>
      <c r="H103" s="116">
        <v>2</v>
      </c>
      <c r="I103" s="129">
        <v>2400</v>
      </c>
      <c r="J103" s="121">
        <v>46275</v>
      </c>
      <c r="K103" s="134">
        <f>VLOOKUP(HistoriqueVentes[[#This Row],[Désignation]],ListeProduits[],4,FALSE)</f>
        <v>800</v>
      </c>
      <c r="L103" s="134">
        <f>HistoriqueVentes[[#This Row],[Prix d''achat]]*HistoriqueVentes[[#This Row],[Quantité]]</f>
        <v>1600</v>
      </c>
    </row>
    <row r="104" spans="3:12" x14ac:dyDescent="0.25">
      <c r="C104" s="120">
        <v>46095</v>
      </c>
      <c r="D104" s="116" t="s">
        <v>45</v>
      </c>
      <c r="E104" s="116" t="s">
        <v>25</v>
      </c>
      <c r="F104" s="116" t="s">
        <v>102</v>
      </c>
      <c r="G104" s="129">
        <v>1800</v>
      </c>
      <c r="H104" s="116">
        <v>5</v>
      </c>
      <c r="I104" s="129">
        <v>9000</v>
      </c>
      <c r="J104" s="121">
        <v>46275</v>
      </c>
      <c r="K104" s="134">
        <f>VLOOKUP(HistoriqueVentes[[#This Row],[Désignation]],ListeProduits[],4,FALSE)</f>
        <v>1200</v>
      </c>
      <c r="L104" s="134">
        <f>HistoriqueVentes[[#This Row],[Prix d''achat]]*HistoriqueVentes[[#This Row],[Quantité]]</f>
        <v>6000</v>
      </c>
    </row>
    <row r="105" spans="3:12" x14ac:dyDescent="0.25">
      <c r="C105" s="120">
        <v>46093</v>
      </c>
      <c r="D105" s="116" t="s">
        <v>30</v>
      </c>
      <c r="E105" s="116" t="s">
        <v>51</v>
      </c>
      <c r="F105" s="116" t="s">
        <v>102</v>
      </c>
      <c r="G105" s="129">
        <v>2300</v>
      </c>
      <c r="H105" s="116">
        <v>2</v>
      </c>
      <c r="I105" s="129">
        <v>4600</v>
      </c>
      <c r="J105" s="121">
        <v>46173</v>
      </c>
      <c r="K105" s="134">
        <f>VLOOKUP(HistoriqueVentes[[#This Row],[Désignation]],ListeProduits[],4,FALSE)</f>
        <v>1500</v>
      </c>
      <c r="L105" s="134">
        <f>HistoriqueVentes[[#This Row],[Prix d''achat]]*HistoriqueVentes[[#This Row],[Quantité]]</f>
        <v>3000</v>
      </c>
    </row>
    <row r="106" spans="3:12" x14ac:dyDescent="0.25">
      <c r="C106" s="120">
        <v>46091</v>
      </c>
      <c r="D106" s="116" t="s">
        <v>26</v>
      </c>
      <c r="E106" s="116" t="s">
        <v>57</v>
      </c>
      <c r="F106" s="116" t="s">
        <v>102</v>
      </c>
      <c r="G106" s="129">
        <v>3200</v>
      </c>
      <c r="H106" s="116">
        <v>17</v>
      </c>
      <c r="I106" s="129">
        <v>54400</v>
      </c>
      <c r="J106" s="121">
        <v>46173</v>
      </c>
      <c r="K106" s="134">
        <f>VLOOKUP(HistoriqueVentes[[#This Row],[Désignation]],ListeProduits[],4,FALSE)</f>
        <v>2200</v>
      </c>
      <c r="L106" s="134">
        <f>HistoriqueVentes[[#This Row],[Prix d''achat]]*HistoriqueVentes[[#This Row],[Quantité]]</f>
        <v>37400</v>
      </c>
    </row>
    <row r="107" spans="3:12" x14ac:dyDescent="0.25">
      <c r="C107" s="120">
        <v>46091</v>
      </c>
      <c r="D107" s="116" t="s">
        <v>24</v>
      </c>
      <c r="E107" s="116" t="s">
        <v>59</v>
      </c>
      <c r="F107" s="116" t="s">
        <v>102</v>
      </c>
      <c r="G107" s="129">
        <v>3500</v>
      </c>
      <c r="H107" s="116">
        <v>1</v>
      </c>
      <c r="I107" s="129">
        <v>3500</v>
      </c>
      <c r="J107" s="121">
        <v>46387</v>
      </c>
      <c r="K107" s="134">
        <f>VLOOKUP(HistoriqueVentes[[#This Row],[Désignation]],ListeProduits[],4,FALSE)</f>
        <v>2500</v>
      </c>
      <c r="L107" s="134">
        <f>HistoriqueVentes[[#This Row],[Prix d''achat]]*HistoriqueVentes[[#This Row],[Quantité]]</f>
        <v>2500</v>
      </c>
    </row>
    <row r="108" spans="3:12" x14ac:dyDescent="0.25">
      <c r="C108" s="120">
        <v>46088</v>
      </c>
      <c r="D108" s="116" t="s">
        <v>39</v>
      </c>
      <c r="E108" s="116" t="s">
        <v>31</v>
      </c>
      <c r="F108" s="116" t="s">
        <v>102</v>
      </c>
      <c r="G108" s="129">
        <v>500</v>
      </c>
      <c r="H108" s="116">
        <v>2</v>
      </c>
      <c r="I108" s="129">
        <v>1000</v>
      </c>
      <c r="J108" s="121">
        <v>46300</v>
      </c>
      <c r="K108" s="134">
        <f>VLOOKUP(HistoriqueVentes[[#This Row],[Désignation]],ListeProduits[],4,FALSE)</f>
        <v>300</v>
      </c>
      <c r="L108" s="134">
        <f>HistoriqueVentes[[#This Row],[Prix d''achat]]*HistoriqueVentes[[#This Row],[Quantité]]</f>
        <v>600</v>
      </c>
    </row>
    <row r="109" spans="3:12" x14ac:dyDescent="0.25">
      <c r="C109" s="120">
        <v>46087</v>
      </c>
      <c r="D109" s="116" t="s">
        <v>33</v>
      </c>
      <c r="E109" s="116" t="s">
        <v>46</v>
      </c>
      <c r="F109" s="116" t="s">
        <v>102</v>
      </c>
      <c r="G109" s="129">
        <v>1900</v>
      </c>
      <c r="H109" s="116">
        <v>2</v>
      </c>
      <c r="I109" s="129">
        <v>3800</v>
      </c>
      <c r="J109" s="121">
        <v>46275</v>
      </c>
      <c r="K109" s="134">
        <f>VLOOKUP(HistoriqueVentes[[#This Row],[Désignation]],ListeProduits[],4,FALSE)</f>
        <v>1300</v>
      </c>
      <c r="L109" s="134">
        <f>HistoriqueVentes[[#This Row],[Prix d''achat]]*HistoriqueVentes[[#This Row],[Quantité]]</f>
        <v>2600</v>
      </c>
    </row>
    <row r="110" spans="3:12" x14ac:dyDescent="0.25">
      <c r="C110" s="120">
        <v>46087</v>
      </c>
      <c r="D110" s="116" t="s">
        <v>53</v>
      </c>
      <c r="E110" s="116" t="s">
        <v>10</v>
      </c>
      <c r="F110" s="116" t="s">
        <v>102</v>
      </c>
      <c r="G110" s="129">
        <v>800</v>
      </c>
      <c r="H110" s="116">
        <v>32</v>
      </c>
      <c r="I110" s="129">
        <v>25600</v>
      </c>
      <c r="J110" s="121">
        <v>46173</v>
      </c>
      <c r="K110" s="134">
        <f>VLOOKUP(HistoriqueVentes[[#This Row],[Désignation]],ListeProduits[],4,FALSE)</f>
        <v>500</v>
      </c>
      <c r="L110" s="134">
        <f>HistoriqueVentes[[#This Row],[Prix d''achat]]*HistoriqueVentes[[#This Row],[Quantité]]</f>
        <v>16000</v>
      </c>
    </row>
    <row r="111" spans="3:12" x14ac:dyDescent="0.25">
      <c r="C111" s="120">
        <v>46084</v>
      </c>
      <c r="D111" s="116" t="s">
        <v>17</v>
      </c>
      <c r="E111" s="116" t="s">
        <v>62</v>
      </c>
      <c r="F111" s="116" t="s">
        <v>102</v>
      </c>
      <c r="G111" s="129">
        <v>1800</v>
      </c>
      <c r="H111" s="116">
        <v>6</v>
      </c>
      <c r="I111" s="129">
        <v>10800</v>
      </c>
      <c r="J111" s="121">
        <v>46387</v>
      </c>
      <c r="K111" s="134">
        <f>VLOOKUP(HistoriqueVentes[[#This Row],[Désignation]],ListeProduits[],4,FALSE)</f>
        <v>1200</v>
      </c>
      <c r="L111" s="134">
        <f>HistoriqueVentes[[#This Row],[Prix d''achat]]*HistoriqueVentes[[#This Row],[Quantité]]</f>
        <v>7200</v>
      </c>
    </row>
    <row r="112" spans="3:12" x14ac:dyDescent="0.25">
      <c r="C112" s="120">
        <v>46082</v>
      </c>
      <c r="D112" s="116" t="s">
        <v>36</v>
      </c>
      <c r="E112" s="116" t="s">
        <v>37</v>
      </c>
      <c r="F112" s="116" t="s">
        <v>102</v>
      </c>
      <c r="G112" s="129">
        <v>1400</v>
      </c>
      <c r="H112" s="116">
        <v>4</v>
      </c>
      <c r="I112" s="129">
        <v>5600</v>
      </c>
      <c r="J112" s="121">
        <v>46387</v>
      </c>
      <c r="K112" s="134">
        <f>VLOOKUP(HistoriqueVentes[[#This Row],[Désignation]],ListeProduits[],4,FALSE)</f>
        <v>900</v>
      </c>
      <c r="L112" s="134">
        <f>HistoriqueVentes[[#This Row],[Prix d''achat]]*HistoriqueVentes[[#This Row],[Quantité]]</f>
        <v>3600</v>
      </c>
    </row>
    <row r="113" spans="3:12" x14ac:dyDescent="0.25">
      <c r="C113" s="120">
        <v>46081</v>
      </c>
      <c r="D113" s="116" t="s">
        <v>39</v>
      </c>
      <c r="E113" s="116" t="s">
        <v>31</v>
      </c>
      <c r="F113" s="116" t="s">
        <v>102</v>
      </c>
      <c r="G113" s="129">
        <v>500</v>
      </c>
      <c r="H113" s="116">
        <v>5</v>
      </c>
      <c r="I113" s="129">
        <v>2500</v>
      </c>
      <c r="J113" s="121">
        <v>46300</v>
      </c>
      <c r="K113" s="134">
        <f>VLOOKUP(HistoriqueVentes[[#This Row],[Désignation]],ListeProduits[],4,FALSE)</f>
        <v>300</v>
      </c>
      <c r="L113" s="134">
        <f>HistoriqueVentes[[#This Row],[Prix d''achat]]*HistoriqueVentes[[#This Row],[Quantité]]</f>
        <v>1500</v>
      </c>
    </row>
    <row r="114" spans="3:12" x14ac:dyDescent="0.25">
      <c r="C114" s="120">
        <v>46081</v>
      </c>
      <c r="D114" s="116" t="s">
        <v>36</v>
      </c>
      <c r="E114" s="116" t="s">
        <v>37</v>
      </c>
      <c r="F114" s="116" t="s">
        <v>102</v>
      </c>
      <c r="G114" s="129">
        <v>1400</v>
      </c>
      <c r="H114" s="116">
        <v>5</v>
      </c>
      <c r="I114" s="129">
        <v>7000</v>
      </c>
      <c r="J114" s="121">
        <v>46387</v>
      </c>
      <c r="K114" s="134">
        <f>VLOOKUP(HistoriqueVentes[[#This Row],[Désignation]],ListeProduits[],4,FALSE)</f>
        <v>900</v>
      </c>
      <c r="L114" s="134">
        <f>HistoriqueVentes[[#This Row],[Prix d''achat]]*HistoriqueVentes[[#This Row],[Quantité]]</f>
        <v>4500</v>
      </c>
    </row>
    <row r="115" spans="3:12" x14ac:dyDescent="0.25">
      <c r="C115" s="120">
        <v>46080</v>
      </c>
      <c r="D115" s="116" t="s">
        <v>28</v>
      </c>
      <c r="E115" s="116" t="s">
        <v>55</v>
      </c>
      <c r="F115" s="116" t="s">
        <v>102</v>
      </c>
      <c r="G115" s="129">
        <v>800</v>
      </c>
      <c r="H115" s="116">
        <v>5</v>
      </c>
      <c r="I115" s="129">
        <v>4000</v>
      </c>
      <c r="J115" s="121">
        <v>46387</v>
      </c>
      <c r="K115" s="134">
        <f>VLOOKUP(HistoriqueVentes[[#This Row],[Désignation]],ListeProduits[],4,FALSE)</f>
        <v>500</v>
      </c>
      <c r="L115" s="134">
        <f>HistoriqueVentes[[#This Row],[Prix d''achat]]*HistoriqueVentes[[#This Row],[Quantité]]</f>
        <v>2500</v>
      </c>
    </row>
    <row r="116" spans="3:12" x14ac:dyDescent="0.25">
      <c r="C116" s="120">
        <v>46075</v>
      </c>
      <c r="D116" s="116" t="s">
        <v>30</v>
      </c>
      <c r="E116" s="116" t="s">
        <v>51</v>
      </c>
      <c r="F116" s="116" t="s">
        <v>102</v>
      </c>
      <c r="G116" s="129">
        <v>2300</v>
      </c>
      <c r="H116" s="116">
        <v>1</v>
      </c>
      <c r="I116" s="129">
        <v>2300</v>
      </c>
      <c r="J116" s="121">
        <v>46173</v>
      </c>
      <c r="K116" s="134">
        <f>VLOOKUP(HistoriqueVentes[[#This Row],[Désignation]],ListeProduits[],4,FALSE)</f>
        <v>1500</v>
      </c>
      <c r="L116" s="134">
        <f>HistoriqueVentes[[#This Row],[Prix d''achat]]*HistoriqueVentes[[#This Row],[Quantité]]</f>
        <v>1500</v>
      </c>
    </row>
    <row r="117" spans="3:12" x14ac:dyDescent="0.25">
      <c r="C117" s="120">
        <v>46074</v>
      </c>
      <c r="D117" s="116" t="s">
        <v>40</v>
      </c>
      <c r="E117" s="116" t="s">
        <v>143</v>
      </c>
      <c r="F117" s="116" t="s">
        <v>102</v>
      </c>
      <c r="G117" s="129">
        <v>800</v>
      </c>
      <c r="H117" s="116">
        <v>7</v>
      </c>
      <c r="I117" s="129">
        <v>5600</v>
      </c>
      <c r="J117" s="121">
        <v>46568</v>
      </c>
      <c r="K117" s="134">
        <f>VLOOKUP(HistoriqueVentes[[#This Row],[Désignation]],ListeProduits[],4,FALSE)</f>
        <v>500</v>
      </c>
      <c r="L117" s="134">
        <f>HistoriqueVentes[[#This Row],[Prix d''achat]]*HistoriqueVentes[[#This Row],[Quantité]]</f>
        <v>3500</v>
      </c>
    </row>
    <row r="118" spans="3:12" x14ac:dyDescent="0.25">
      <c r="C118" s="120">
        <v>46073</v>
      </c>
      <c r="D118" s="116" t="s">
        <v>28</v>
      </c>
      <c r="E118" s="116" t="s">
        <v>55</v>
      </c>
      <c r="F118" s="116" t="s">
        <v>102</v>
      </c>
      <c r="G118" s="129">
        <v>800</v>
      </c>
      <c r="H118" s="116">
        <v>1</v>
      </c>
      <c r="I118" s="129">
        <v>800</v>
      </c>
      <c r="J118" s="121">
        <v>46387</v>
      </c>
      <c r="K118" s="134">
        <f>VLOOKUP(HistoriqueVentes[[#This Row],[Désignation]],ListeProduits[],4,FALSE)</f>
        <v>500</v>
      </c>
      <c r="L118" s="134">
        <f>HistoriqueVentes[[#This Row],[Prix d''achat]]*HistoriqueVentes[[#This Row],[Quantité]]</f>
        <v>500</v>
      </c>
    </row>
    <row r="119" spans="3:12" x14ac:dyDescent="0.25">
      <c r="C119" s="120">
        <v>46072</v>
      </c>
      <c r="D119" s="116" t="s">
        <v>39</v>
      </c>
      <c r="E119" s="116" t="s">
        <v>31</v>
      </c>
      <c r="F119" s="116" t="s">
        <v>102</v>
      </c>
      <c r="G119" s="129">
        <v>500</v>
      </c>
      <c r="H119" s="116">
        <v>1</v>
      </c>
      <c r="I119" s="129">
        <v>500</v>
      </c>
      <c r="J119" s="121">
        <v>46300</v>
      </c>
      <c r="K119" s="134">
        <f>VLOOKUP(HistoriqueVentes[[#This Row],[Désignation]],ListeProduits[],4,FALSE)</f>
        <v>300</v>
      </c>
      <c r="L119" s="134">
        <f>HistoriqueVentes[[#This Row],[Prix d''achat]]*HistoriqueVentes[[#This Row],[Quantité]]</f>
        <v>300</v>
      </c>
    </row>
    <row r="120" spans="3:12" x14ac:dyDescent="0.25">
      <c r="C120" s="120">
        <v>46036</v>
      </c>
      <c r="D120" s="116" t="s">
        <v>43</v>
      </c>
      <c r="E120" s="116" t="s">
        <v>144</v>
      </c>
      <c r="F120" s="116" t="s">
        <v>102</v>
      </c>
      <c r="G120" s="129">
        <v>2600</v>
      </c>
      <c r="H120" s="116">
        <v>5</v>
      </c>
      <c r="I120" s="129">
        <v>13000</v>
      </c>
      <c r="J120" s="121">
        <v>46300</v>
      </c>
      <c r="K120" s="134">
        <f>VLOOKUP(HistoriqueVentes[[#This Row],[Désignation]],ListeProduits[],4,FALSE)</f>
        <v>1800</v>
      </c>
      <c r="L120" s="134">
        <f>HistoriqueVentes[[#This Row],[Prix d''achat]]*HistoriqueVentes[[#This Row],[Quantité]]</f>
        <v>9000</v>
      </c>
    </row>
    <row r="121" spans="3:12" x14ac:dyDescent="0.25">
      <c r="C121" s="120">
        <v>46066</v>
      </c>
      <c r="D121" s="116" t="s">
        <v>45</v>
      </c>
      <c r="E121" s="116" t="s">
        <v>25</v>
      </c>
      <c r="F121" s="116" t="s">
        <v>102</v>
      </c>
      <c r="G121" s="129">
        <v>1800</v>
      </c>
      <c r="H121" s="116">
        <v>4</v>
      </c>
      <c r="I121" s="129">
        <v>7200</v>
      </c>
      <c r="J121" s="121">
        <v>46275</v>
      </c>
      <c r="K121" s="134">
        <f>VLOOKUP(HistoriqueVentes[[#This Row],[Désignation]],ListeProduits[],4,FALSE)</f>
        <v>1200</v>
      </c>
      <c r="L121" s="134">
        <f>HistoriqueVentes[[#This Row],[Prix d''achat]]*HistoriqueVentes[[#This Row],[Quantité]]</f>
        <v>4800</v>
      </c>
    </row>
    <row r="122" spans="3:12" x14ac:dyDescent="0.25">
      <c r="C122" s="120">
        <v>46066</v>
      </c>
      <c r="D122" s="116" t="s">
        <v>33</v>
      </c>
      <c r="E122" s="116" t="s">
        <v>46</v>
      </c>
      <c r="F122" s="116" t="s">
        <v>102</v>
      </c>
      <c r="G122" s="129">
        <v>1900</v>
      </c>
      <c r="H122" s="116">
        <v>4</v>
      </c>
      <c r="I122" s="129">
        <v>7600</v>
      </c>
      <c r="J122" s="121">
        <v>46275</v>
      </c>
      <c r="K122" s="134">
        <f>VLOOKUP(HistoriqueVentes[[#This Row],[Désignation]],ListeProduits[],4,FALSE)</f>
        <v>1300</v>
      </c>
      <c r="L122" s="134">
        <f>HistoriqueVentes[[#This Row],[Prix d''achat]]*HistoriqueVentes[[#This Row],[Quantité]]</f>
        <v>5200</v>
      </c>
    </row>
    <row r="123" spans="3:12" x14ac:dyDescent="0.25">
      <c r="C123" s="120">
        <v>46065</v>
      </c>
      <c r="D123" s="116" t="s">
        <v>19</v>
      </c>
      <c r="E123" s="116" t="s">
        <v>61</v>
      </c>
      <c r="F123" s="116" t="s">
        <v>102</v>
      </c>
      <c r="G123" s="129">
        <v>1800</v>
      </c>
      <c r="H123" s="116">
        <v>2</v>
      </c>
      <c r="I123" s="129">
        <v>3600</v>
      </c>
      <c r="J123" s="121">
        <v>46300</v>
      </c>
      <c r="K123" s="134">
        <f>VLOOKUP(HistoriqueVentes[[#This Row],[Désignation]],ListeProduits[],4,FALSE)</f>
        <v>1200</v>
      </c>
      <c r="L123" s="134">
        <f>HistoriqueVentes[[#This Row],[Prix d''achat]]*HistoriqueVentes[[#This Row],[Quantité]]</f>
        <v>2400</v>
      </c>
    </row>
    <row r="124" spans="3:12" x14ac:dyDescent="0.25">
      <c r="C124" s="120">
        <v>46062</v>
      </c>
      <c r="D124" s="116" t="s">
        <v>43</v>
      </c>
      <c r="E124" s="116" t="s">
        <v>144</v>
      </c>
      <c r="F124" s="116" t="s">
        <v>102</v>
      </c>
      <c r="G124" s="129">
        <v>2600</v>
      </c>
      <c r="H124" s="116">
        <v>3</v>
      </c>
      <c r="I124" s="129">
        <v>7800</v>
      </c>
      <c r="J124" s="121">
        <v>46300</v>
      </c>
      <c r="K124" s="134">
        <f>VLOOKUP(HistoriqueVentes[[#This Row],[Désignation]],ListeProduits[],4,FALSE)</f>
        <v>1800</v>
      </c>
      <c r="L124" s="134">
        <f>HistoriqueVentes[[#This Row],[Prix d''achat]]*HistoriqueVentes[[#This Row],[Quantité]]</f>
        <v>5400</v>
      </c>
    </row>
    <row r="125" spans="3:12" x14ac:dyDescent="0.25">
      <c r="C125" s="120">
        <v>46061</v>
      </c>
      <c r="D125" s="116" t="s">
        <v>48</v>
      </c>
      <c r="E125" s="116" t="s">
        <v>20</v>
      </c>
      <c r="F125" s="116" t="s">
        <v>102</v>
      </c>
      <c r="G125" s="129">
        <v>2200</v>
      </c>
      <c r="H125" s="116">
        <v>4</v>
      </c>
      <c r="I125" s="129">
        <v>8800</v>
      </c>
      <c r="J125" s="121">
        <v>46568</v>
      </c>
      <c r="K125" s="134">
        <f>VLOOKUP(HistoriqueVentes[[#This Row],[Désignation]],ListeProduits[],4,FALSE)</f>
        <v>1500</v>
      </c>
      <c r="L125" s="134">
        <f>HistoriqueVentes[[#This Row],[Prix d''achat]]*HistoriqueVentes[[#This Row],[Quantité]]</f>
        <v>6000</v>
      </c>
    </row>
    <row r="126" spans="3:12" x14ac:dyDescent="0.25">
      <c r="C126" s="120">
        <v>46060</v>
      </c>
      <c r="D126" s="116" t="s">
        <v>43</v>
      </c>
      <c r="E126" s="116" t="s">
        <v>144</v>
      </c>
      <c r="F126" s="116" t="s">
        <v>102</v>
      </c>
      <c r="G126" s="129">
        <v>2600</v>
      </c>
      <c r="H126" s="116">
        <v>3</v>
      </c>
      <c r="I126" s="129">
        <v>7800</v>
      </c>
      <c r="J126" s="121">
        <v>46300</v>
      </c>
      <c r="K126" s="134">
        <f>VLOOKUP(HistoriqueVentes[[#This Row],[Désignation]],ListeProduits[],4,FALSE)</f>
        <v>1800</v>
      </c>
      <c r="L126" s="134">
        <f>HistoriqueVentes[[#This Row],[Prix d''achat]]*HistoriqueVentes[[#This Row],[Quantité]]</f>
        <v>5400</v>
      </c>
    </row>
    <row r="127" spans="3:12" x14ac:dyDescent="0.25">
      <c r="C127" s="120">
        <v>46060</v>
      </c>
      <c r="D127" s="116" t="s">
        <v>48</v>
      </c>
      <c r="E127" s="116" t="s">
        <v>20</v>
      </c>
      <c r="F127" s="116" t="s">
        <v>102</v>
      </c>
      <c r="G127" s="129">
        <v>2200</v>
      </c>
      <c r="H127" s="116">
        <v>1</v>
      </c>
      <c r="I127" s="129">
        <v>2200</v>
      </c>
      <c r="J127" s="121">
        <v>46568</v>
      </c>
      <c r="K127" s="134">
        <f>VLOOKUP(HistoriqueVentes[[#This Row],[Désignation]],ListeProduits[],4,FALSE)</f>
        <v>1500</v>
      </c>
      <c r="L127" s="134">
        <f>HistoriqueVentes[[#This Row],[Prix d''achat]]*HistoriqueVentes[[#This Row],[Quantité]]</f>
        <v>1500</v>
      </c>
    </row>
    <row r="128" spans="3:12" x14ac:dyDescent="0.25">
      <c r="C128" s="120">
        <v>46059</v>
      </c>
      <c r="D128" s="116" t="s">
        <v>43</v>
      </c>
      <c r="E128" s="116" t="s">
        <v>144</v>
      </c>
      <c r="F128" s="116" t="s">
        <v>102</v>
      </c>
      <c r="G128" s="129">
        <v>2600</v>
      </c>
      <c r="H128" s="116">
        <v>2</v>
      </c>
      <c r="I128" s="129">
        <v>5200</v>
      </c>
      <c r="J128" s="121">
        <v>46300</v>
      </c>
      <c r="K128" s="134">
        <f>VLOOKUP(HistoriqueVentes[[#This Row],[Désignation]],ListeProduits[],4,FALSE)</f>
        <v>1800</v>
      </c>
      <c r="L128" s="134">
        <f>HistoriqueVentes[[#This Row],[Prix d''achat]]*HistoriqueVentes[[#This Row],[Quantité]]</f>
        <v>3600</v>
      </c>
    </row>
    <row r="129" spans="3:12" x14ac:dyDescent="0.25">
      <c r="C129" s="120">
        <v>46056</v>
      </c>
      <c r="D129" s="116" t="s">
        <v>41</v>
      </c>
      <c r="E129" s="116" t="s">
        <v>27</v>
      </c>
      <c r="F129" s="116" t="s">
        <v>102</v>
      </c>
      <c r="G129" s="129">
        <v>1100</v>
      </c>
      <c r="H129" s="116">
        <v>2</v>
      </c>
      <c r="I129" s="129">
        <v>2200</v>
      </c>
      <c r="J129" s="121">
        <v>46387</v>
      </c>
      <c r="K129" s="134">
        <f>VLOOKUP(HistoriqueVentes[[#This Row],[Désignation]],ListeProduits[],4,FALSE)</f>
        <v>700</v>
      </c>
      <c r="L129" s="134">
        <f>HistoriqueVentes[[#This Row],[Prix d''achat]]*HistoriqueVentes[[#This Row],[Quantité]]</f>
        <v>1400</v>
      </c>
    </row>
    <row r="130" spans="3:12" x14ac:dyDescent="0.25">
      <c r="C130" s="120">
        <v>46056</v>
      </c>
      <c r="D130" s="116" t="s">
        <v>30</v>
      </c>
      <c r="E130" s="116" t="s">
        <v>51</v>
      </c>
      <c r="F130" s="116" t="s">
        <v>102</v>
      </c>
      <c r="G130" s="129">
        <v>2300</v>
      </c>
      <c r="H130" s="116">
        <v>2</v>
      </c>
      <c r="I130" s="129">
        <v>4600</v>
      </c>
      <c r="J130" s="121">
        <v>46173</v>
      </c>
      <c r="K130" s="134">
        <f>VLOOKUP(HistoriqueVentes[[#This Row],[Désignation]],ListeProduits[],4,FALSE)</f>
        <v>1500</v>
      </c>
      <c r="L130" s="134">
        <f>HistoriqueVentes[[#This Row],[Prix d''achat]]*HistoriqueVentes[[#This Row],[Quantité]]</f>
        <v>3000</v>
      </c>
    </row>
    <row r="131" spans="3:12" x14ac:dyDescent="0.25">
      <c r="C131" s="120">
        <v>46056</v>
      </c>
      <c r="D131" s="116" t="s">
        <v>50</v>
      </c>
      <c r="E131" s="116" t="s">
        <v>15</v>
      </c>
      <c r="F131" s="116" t="s">
        <v>102</v>
      </c>
      <c r="G131" s="129">
        <v>1100</v>
      </c>
      <c r="H131" s="116">
        <v>1</v>
      </c>
      <c r="I131" s="129">
        <v>1100</v>
      </c>
      <c r="J131" s="121">
        <v>46300</v>
      </c>
      <c r="K131" s="134">
        <f>VLOOKUP(HistoriqueVentes[[#This Row],[Désignation]],ListeProduits[],4,FALSE)</f>
        <v>700</v>
      </c>
      <c r="L131" s="134">
        <f>HistoriqueVentes[[#This Row],[Prix d''achat]]*HistoriqueVentes[[#This Row],[Quantité]]</f>
        <v>700</v>
      </c>
    </row>
    <row r="132" spans="3:12" x14ac:dyDescent="0.25">
      <c r="C132" s="120">
        <v>46053</v>
      </c>
      <c r="D132" s="116" t="s">
        <v>12</v>
      </c>
      <c r="E132" s="116" t="s">
        <v>65</v>
      </c>
      <c r="F132" s="116" t="s">
        <v>102</v>
      </c>
      <c r="G132" s="129">
        <v>2200</v>
      </c>
      <c r="H132" s="116">
        <v>2</v>
      </c>
      <c r="I132" s="129">
        <v>4400</v>
      </c>
      <c r="J132" s="121">
        <v>46568</v>
      </c>
      <c r="K132" s="134">
        <f>VLOOKUP(HistoriqueVentes[[#This Row],[Désignation]],ListeProduits[],4,FALSE)</f>
        <v>1500</v>
      </c>
      <c r="L132" s="134">
        <f>HistoriqueVentes[[#This Row],[Prix d''achat]]*HistoriqueVentes[[#This Row],[Quantité]]</f>
        <v>3000</v>
      </c>
    </row>
    <row r="133" spans="3:12" x14ac:dyDescent="0.25">
      <c r="C133" s="120">
        <v>46053</v>
      </c>
      <c r="D133" s="116" t="s">
        <v>28</v>
      </c>
      <c r="E133" s="116" t="s">
        <v>55</v>
      </c>
      <c r="F133" s="116" t="s">
        <v>102</v>
      </c>
      <c r="G133" s="129">
        <v>800</v>
      </c>
      <c r="H133" s="116">
        <v>4</v>
      </c>
      <c r="I133" s="129">
        <v>3200</v>
      </c>
      <c r="J133" s="121">
        <v>46387</v>
      </c>
      <c r="K133" s="134">
        <f>VLOOKUP(HistoriqueVentes[[#This Row],[Désignation]],ListeProduits[],4,FALSE)</f>
        <v>500</v>
      </c>
      <c r="L133" s="134">
        <f>HistoriqueVentes[[#This Row],[Prix d''achat]]*HistoriqueVentes[[#This Row],[Quantité]]</f>
        <v>2000</v>
      </c>
    </row>
    <row r="134" spans="3:12" x14ac:dyDescent="0.25">
      <c r="C134" s="120">
        <v>46052</v>
      </c>
      <c r="D134" s="116" t="s">
        <v>29</v>
      </c>
      <c r="E134" s="116" t="s">
        <v>54</v>
      </c>
      <c r="F134" s="116" t="s">
        <v>102</v>
      </c>
      <c r="G134" s="129">
        <v>3500</v>
      </c>
      <c r="H134" s="116">
        <v>7</v>
      </c>
      <c r="I134" s="129">
        <v>24500</v>
      </c>
      <c r="J134" s="121">
        <v>46568</v>
      </c>
      <c r="K134" s="134">
        <f>VLOOKUP(HistoriqueVentes[[#This Row],[Désignation]],ListeProduits[],4,FALSE)</f>
        <v>2500</v>
      </c>
      <c r="L134" s="134">
        <f>HistoriqueVentes[[#This Row],[Prix d''achat]]*HistoriqueVentes[[#This Row],[Quantité]]</f>
        <v>17500</v>
      </c>
    </row>
    <row r="135" spans="3:12" x14ac:dyDescent="0.25">
      <c r="C135" s="120">
        <v>46051</v>
      </c>
      <c r="D135" s="116" t="s">
        <v>9</v>
      </c>
      <c r="E135" s="116" t="s">
        <v>67</v>
      </c>
      <c r="F135" s="116" t="s">
        <v>102</v>
      </c>
      <c r="G135" s="129">
        <v>1500</v>
      </c>
      <c r="H135" s="116">
        <v>10</v>
      </c>
      <c r="I135" s="129">
        <v>15000</v>
      </c>
      <c r="J135" s="121">
        <v>46173</v>
      </c>
      <c r="K135" s="134">
        <f>VLOOKUP(HistoriqueVentes[[#This Row],[Désignation]],ListeProduits[],4,FALSE)</f>
        <v>1000</v>
      </c>
      <c r="L135" s="134">
        <f>HistoriqueVentes[[#This Row],[Prix d''achat]]*HistoriqueVentes[[#This Row],[Quantité]]</f>
        <v>10000</v>
      </c>
    </row>
    <row r="136" spans="3:12" x14ac:dyDescent="0.25">
      <c r="C136" s="120">
        <v>46050</v>
      </c>
      <c r="D136" s="116" t="s">
        <v>45</v>
      </c>
      <c r="E136" s="116" t="s">
        <v>25</v>
      </c>
      <c r="F136" s="116" t="s">
        <v>102</v>
      </c>
      <c r="G136" s="129">
        <v>1800</v>
      </c>
      <c r="H136" s="116">
        <v>2</v>
      </c>
      <c r="I136" s="129">
        <v>3600</v>
      </c>
      <c r="J136" s="121">
        <v>46275</v>
      </c>
      <c r="K136" s="134">
        <f>VLOOKUP(HistoriqueVentes[[#This Row],[Désignation]],ListeProduits[],4,FALSE)</f>
        <v>1200</v>
      </c>
      <c r="L136" s="134">
        <f>HistoriqueVentes[[#This Row],[Prix d''achat]]*HistoriqueVentes[[#This Row],[Quantité]]</f>
        <v>2400</v>
      </c>
    </row>
    <row r="137" spans="3:12" x14ac:dyDescent="0.25">
      <c r="C137" s="120">
        <v>46050</v>
      </c>
      <c r="D137" s="116" t="s">
        <v>28</v>
      </c>
      <c r="E137" s="116" t="s">
        <v>55</v>
      </c>
      <c r="F137" s="116" t="s">
        <v>102</v>
      </c>
      <c r="G137" s="129">
        <v>800</v>
      </c>
      <c r="H137" s="116">
        <v>2</v>
      </c>
      <c r="I137" s="129">
        <v>1600</v>
      </c>
      <c r="J137" s="121">
        <v>46387</v>
      </c>
      <c r="K137" s="134">
        <f>VLOOKUP(HistoriqueVentes[[#This Row],[Désignation]],ListeProduits[],4,FALSE)</f>
        <v>500</v>
      </c>
      <c r="L137" s="134">
        <f>HistoriqueVentes[[#This Row],[Prix d''achat]]*HistoriqueVentes[[#This Row],[Quantité]]</f>
        <v>1000</v>
      </c>
    </row>
    <row r="138" spans="3:12" x14ac:dyDescent="0.25">
      <c r="C138" s="120">
        <v>46050</v>
      </c>
      <c r="D138" s="116" t="s">
        <v>26</v>
      </c>
      <c r="E138" s="116" t="s">
        <v>57</v>
      </c>
      <c r="F138" s="116" t="s">
        <v>102</v>
      </c>
      <c r="G138" s="129">
        <v>3200</v>
      </c>
      <c r="H138" s="116">
        <v>2</v>
      </c>
      <c r="I138" s="129">
        <v>6400</v>
      </c>
      <c r="J138" s="121">
        <v>46173</v>
      </c>
      <c r="K138" s="134">
        <f>VLOOKUP(HistoriqueVentes[[#This Row],[Désignation]],ListeProduits[],4,FALSE)</f>
        <v>2200</v>
      </c>
      <c r="L138" s="134">
        <f>HistoriqueVentes[[#This Row],[Prix d''achat]]*HistoriqueVentes[[#This Row],[Quantité]]</f>
        <v>4400</v>
      </c>
    </row>
    <row r="139" spans="3:12" x14ac:dyDescent="0.25">
      <c r="C139" s="120">
        <v>46050</v>
      </c>
      <c r="D139" s="116" t="s">
        <v>19</v>
      </c>
      <c r="E139" s="116" t="s">
        <v>61</v>
      </c>
      <c r="F139" s="116" t="s">
        <v>102</v>
      </c>
      <c r="G139" s="129">
        <v>1800</v>
      </c>
      <c r="H139" s="116">
        <v>1</v>
      </c>
      <c r="I139" s="129">
        <v>1800</v>
      </c>
      <c r="J139" s="121">
        <v>46300</v>
      </c>
      <c r="K139" s="134">
        <f>VLOOKUP(HistoriqueVentes[[#This Row],[Désignation]],ListeProduits[],4,FALSE)</f>
        <v>1200</v>
      </c>
      <c r="L139" s="134">
        <f>HistoriqueVentes[[#This Row],[Prix d''achat]]*HistoriqueVentes[[#This Row],[Quantité]]</f>
        <v>1200</v>
      </c>
    </row>
    <row r="140" spans="3:12" x14ac:dyDescent="0.25">
      <c r="C140" s="120">
        <v>46049</v>
      </c>
      <c r="D140" s="116" t="s">
        <v>49</v>
      </c>
      <c r="E140" s="116" t="s">
        <v>18</v>
      </c>
      <c r="F140" s="116" t="s">
        <v>102</v>
      </c>
      <c r="G140" s="129">
        <v>900</v>
      </c>
      <c r="H140" s="116">
        <v>5</v>
      </c>
      <c r="I140" s="129">
        <v>4500</v>
      </c>
      <c r="J140" s="121">
        <v>46387</v>
      </c>
      <c r="K140" s="134">
        <f>VLOOKUP(HistoriqueVentes[[#This Row],[Désignation]],ListeProduits[],4,FALSE)</f>
        <v>600</v>
      </c>
      <c r="L140" s="134">
        <f>HistoriqueVentes[[#This Row],[Prix d''achat]]*HistoriqueVentes[[#This Row],[Quantité]]</f>
        <v>3000</v>
      </c>
    </row>
    <row r="141" spans="3:12" x14ac:dyDescent="0.25">
      <c r="C141" s="120">
        <v>46049</v>
      </c>
      <c r="D141" s="116" t="s">
        <v>28</v>
      </c>
      <c r="E141" s="116" t="s">
        <v>55</v>
      </c>
      <c r="F141" s="116" t="s">
        <v>102</v>
      </c>
      <c r="G141" s="129">
        <v>800</v>
      </c>
      <c r="H141" s="116">
        <v>1</v>
      </c>
      <c r="I141" s="129">
        <v>800</v>
      </c>
      <c r="J141" s="121">
        <v>46387</v>
      </c>
      <c r="K141" s="134">
        <f>VLOOKUP(HistoriqueVentes[[#This Row],[Désignation]],ListeProduits[],4,FALSE)</f>
        <v>500</v>
      </c>
      <c r="L141" s="134">
        <f>HistoriqueVentes[[#This Row],[Prix d''achat]]*HistoriqueVentes[[#This Row],[Quantité]]</f>
        <v>500</v>
      </c>
    </row>
    <row r="142" spans="3:12" x14ac:dyDescent="0.25">
      <c r="C142" s="120">
        <v>46046</v>
      </c>
      <c r="D142" s="116" t="s">
        <v>41</v>
      </c>
      <c r="E142" s="116" t="s">
        <v>27</v>
      </c>
      <c r="F142" s="116" t="s">
        <v>102</v>
      </c>
      <c r="G142" s="129">
        <v>1100</v>
      </c>
      <c r="H142" s="116">
        <v>2</v>
      </c>
      <c r="I142" s="129">
        <v>2200</v>
      </c>
      <c r="J142" s="121">
        <v>46387</v>
      </c>
      <c r="K142" s="134">
        <f>VLOOKUP(HistoriqueVentes[[#This Row],[Désignation]],ListeProduits[],4,FALSE)</f>
        <v>700</v>
      </c>
      <c r="L142" s="134">
        <f>HistoriqueVentes[[#This Row],[Prix d''achat]]*HistoriqueVentes[[#This Row],[Quantité]]</f>
        <v>1400</v>
      </c>
    </row>
    <row r="143" spans="3:12" x14ac:dyDescent="0.25">
      <c r="C143" s="120">
        <v>46046</v>
      </c>
      <c r="D143" s="116" t="s">
        <v>35</v>
      </c>
      <c r="E143" s="116" t="s">
        <v>42</v>
      </c>
      <c r="F143" s="116" t="s">
        <v>102</v>
      </c>
      <c r="G143" s="129">
        <v>2100</v>
      </c>
      <c r="H143" s="116">
        <v>6</v>
      </c>
      <c r="I143" s="129">
        <v>12600</v>
      </c>
      <c r="J143" s="121">
        <v>46300</v>
      </c>
      <c r="K143" s="134">
        <f>VLOOKUP(HistoriqueVentes[[#This Row],[Désignation]],ListeProduits[],4,FALSE)</f>
        <v>1400</v>
      </c>
      <c r="L143" s="134">
        <f>HistoriqueVentes[[#This Row],[Prix d''achat]]*HistoriqueVentes[[#This Row],[Quantité]]</f>
        <v>8400</v>
      </c>
    </row>
    <row r="144" spans="3:12" x14ac:dyDescent="0.25">
      <c r="C144" s="120">
        <v>46042</v>
      </c>
      <c r="D144" s="116" t="s">
        <v>14</v>
      </c>
      <c r="E144" s="116" t="s">
        <v>64</v>
      </c>
      <c r="F144" s="116" t="s">
        <v>102</v>
      </c>
      <c r="G144" s="129">
        <v>1200</v>
      </c>
      <c r="H144" s="116">
        <v>5</v>
      </c>
      <c r="I144" s="129">
        <v>6000</v>
      </c>
      <c r="J144" s="121">
        <v>46173</v>
      </c>
      <c r="K144" s="134">
        <f>VLOOKUP(HistoriqueVentes[[#This Row],[Désignation]],ListeProduits[],4,FALSE)</f>
        <v>800</v>
      </c>
      <c r="L144" s="134">
        <f>HistoriqueVentes[[#This Row],[Prix d''achat]]*HistoriqueVentes[[#This Row],[Quantité]]</f>
        <v>4000</v>
      </c>
    </row>
    <row r="145" spans="3:12" x14ac:dyDescent="0.25">
      <c r="C145" s="120">
        <v>46041</v>
      </c>
      <c r="D145" s="116" t="s">
        <v>26</v>
      </c>
      <c r="E145" s="116" t="s">
        <v>57</v>
      </c>
      <c r="F145" s="116" t="s">
        <v>102</v>
      </c>
      <c r="G145" s="129">
        <v>3200</v>
      </c>
      <c r="H145" s="116">
        <v>6</v>
      </c>
      <c r="I145" s="129">
        <v>19200</v>
      </c>
      <c r="J145" s="121">
        <v>46173</v>
      </c>
      <c r="K145" s="134">
        <f>VLOOKUP(HistoriqueVentes[[#This Row],[Désignation]],ListeProduits[],4,FALSE)</f>
        <v>2200</v>
      </c>
      <c r="L145" s="134">
        <f>HistoriqueVentes[[#This Row],[Prix d''achat]]*HistoriqueVentes[[#This Row],[Quantité]]</f>
        <v>13200</v>
      </c>
    </row>
    <row r="146" spans="3:12" x14ac:dyDescent="0.25">
      <c r="C146" s="120">
        <v>46038</v>
      </c>
      <c r="D146" s="116" t="s">
        <v>29</v>
      </c>
      <c r="E146" s="116" t="s">
        <v>54</v>
      </c>
      <c r="F146" s="116" t="s">
        <v>102</v>
      </c>
      <c r="G146" s="129">
        <v>3500</v>
      </c>
      <c r="H146" s="116">
        <v>1</v>
      </c>
      <c r="I146" s="129">
        <v>3500</v>
      </c>
      <c r="J146" s="121">
        <v>46568</v>
      </c>
      <c r="K146" s="134">
        <f>VLOOKUP(HistoriqueVentes[[#This Row],[Désignation]],ListeProduits[],4,FALSE)</f>
        <v>2500</v>
      </c>
      <c r="L146" s="134">
        <f>HistoriqueVentes[[#This Row],[Prix d''achat]]*HistoriqueVentes[[#This Row],[Quantité]]</f>
        <v>2500</v>
      </c>
    </row>
    <row r="147" spans="3:12" x14ac:dyDescent="0.25">
      <c r="C147" s="120">
        <v>46037</v>
      </c>
      <c r="D147" s="116" t="s">
        <v>22</v>
      </c>
      <c r="E147" s="116" t="s">
        <v>60</v>
      </c>
      <c r="F147" s="116" t="s">
        <v>102</v>
      </c>
      <c r="G147" s="129">
        <v>2600</v>
      </c>
      <c r="H147" s="116">
        <v>3</v>
      </c>
      <c r="I147" s="129">
        <v>7800</v>
      </c>
      <c r="J147" s="121">
        <v>46275</v>
      </c>
      <c r="K147" s="134">
        <f>VLOOKUP(HistoriqueVentes[[#This Row],[Désignation]],ListeProduits[],4,FALSE)</f>
        <v>1800</v>
      </c>
      <c r="L147" s="134">
        <f>HistoriqueVentes[[#This Row],[Prix d''achat]]*HistoriqueVentes[[#This Row],[Quantité]]</f>
        <v>5400</v>
      </c>
    </row>
    <row r="148" spans="3:12" x14ac:dyDescent="0.25">
      <c r="C148" s="120">
        <v>46036</v>
      </c>
      <c r="D148" s="116" t="s">
        <v>30</v>
      </c>
      <c r="E148" s="116" t="s">
        <v>51</v>
      </c>
      <c r="F148" s="116" t="s">
        <v>102</v>
      </c>
      <c r="G148" s="129">
        <v>2300</v>
      </c>
      <c r="H148" s="116">
        <v>2</v>
      </c>
      <c r="I148" s="129">
        <v>4600</v>
      </c>
      <c r="J148" s="121">
        <v>46173</v>
      </c>
      <c r="K148" s="134">
        <f>VLOOKUP(HistoriqueVentes[[#This Row],[Désignation]],ListeProduits[],4,FALSE)</f>
        <v>1500</v>
      </c>
      <c r="L148" s="134">
        <f>HistoriqueVentes[[#This Row],[Prix d''achat]]*HistoriqueVentes[[#This Row],[Quantité]]</f>
        <v>3000</v>
      </c>
    </row>
    <row r="149" spans="3:12" x14ac:dyDescent="0.25">
      <c r="C149" s="120">
        <v>46035</v>
      </c>
      <c r="D149" s="116" t="s">
        <v>9</v>
      </c>
      <c r="E149" s="116" t="s">
        <v>67</v>
      </c>
      <c r="F149" s="116" t="s">
        <v>102</v>
      </c>
      <c r="G149" s="129">
        <v>1500</v>
      </c>
      <c r="H149" s="116">
        <v>8</v>
      </c>
      <c r="I149" s="129">
        <v>12000</v>
      </c>
      <c r="J149" s="121">
        <v>46173</v>
      </c>
      <c r="K149" s="134">
        <f>VLOOKUP(HistoriqueVentes[[#This Row],[Désignation]],ListeProduits[],4,FALSE)</f>
        <v>1000</v>
      </c>
      <c r="L149" s="134">
        <f>HistoriqueVentes[[#This Row],[Prix d''achat]]*HistoriqueVentes[[#This Row],[Quantité]]</f>
        <v>8000</v>
      </c>
    </row>
    <row r="150" spans="3:12" x14ac:dyDescent="0.25">
      <c r="C150" s="120">
        <v>46033</v>
      </c>
      <c r="D150" s="116" t="s">
        <v>22</v>
      </c>
      <c r="E150" s="116" t="s">
        <v>60</v>
      </c>
      <c r="F150" s="116" t="s">
        <v>102</v>
      </c>
      <c r="G150" s="129">
        <v>2600</v>
      </c>
      <c r="H150" s="116">
        <v>1</v>
      </c>
      <c r="I150" s="129">
        <v>2600</v>
      </c>
      <c r="J150" s="121">
        <v>46275</v>
      </c>
      <c r="K150" s="134">
        <f>VLOOKUP(HistoriqueVentes[[#This Row],[Désignation]],ListeProduits[],4,FALSE)</f>
        <v>1800</v>
      </c>
      <c r="L150" s="134">
        <f>HistoriqueVentes[[#This Row],[Prix d''achat]]*HistoriqueVentes[[#This Row],[Quantité]]</f>
        <v>1800</v>
      </c>
    </row>
    <row r="191" spans="3:3" x14ac:dyDescent="0.25">
      <c r="C191" s="24"/>
    </row>
    <row r="192" spans="3:3" x14ac:dyDescent="0.25">
      <c r="C192" s="24"/>
    </row>
    <row r="193" spans="3:3" x14ac:dyDescent="0.25">
      <c r="C193" s="24"/>
    </row>
    <row r="194" spans="3:3" x14ac:dyDescent="0.25">
      <c r="C194" s="24"/>
    </row>
    <row r="195" spans="3:3" x14ac:dyDescent="0.25">
      <c r="C195" s="24"/>
    </row>
    <row r="196" spans="3:3" x14ac:dyDescent="0.25">
      <c r="C196" s="24"/>
    </row>
    <row r="197" spans="3:3" x14ac:dyDescent="0.25">
      <c r="C197" s="24"/>
    </row>
    <row r="198" spans="3:3" x14ac:dyDescent="0.25">
      <c r="C198" s="24"/>
    </row>
    <row r="199" spans="3:3" x14ac:dyDescent="0.25">
      <c r="C199" s="24"/>
    </row>
    <row r="200" spans="3:3" x14ac:dyDescent="0.25">
      <c r="C200" s="24"/>
    </row>
    <row r="201" spans="3:3" x14ac:dyDescent="0.25">
      <c r="C201" s="24"/>
    </row>
    <row r="202" spans="3:3" x14ac:dyDescent="0.25">
      <c r="C202" s="24"/>
    </row>
    <row r="203" spans="3:3" x14ac:dyDescent="0.25">
      <c r="C203" s="24"/>
    </row>
    <row r="204" spans="3:3" x14ac:dyDescent="0.25">
      <c r="C204" s="24"/>
    </row>
    <row r="205" spans="3:3" x14ac:dyDescent="0.25">
      <c r="C205" s="24"/>
    </row>
    <row r="206" spans="3:3" x14ac:dyDescent="0.25">
      <c r="C206" s="24"/>
    </row>
    <row r="207" spans="3:3" x14ac:dyDescent="0.25">
      <c r="C207" s="24"/>
    </row>
    <row r="208" spans="3:3" x14ac:dyDescent="0.25">
      <c r="C208" s="24"/>
    </row>
    <row r="209" spans="3:3" x14ac:dyDescent="0.25">
      <c r="C209" s="24"/>
    </row>
  </sheetData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B1:J33"/>
  <sheetViews>
    <sheetView zoomScale="80" zoomScaleNormal="80" workbookViewId="0">
      <pane ySplit="14" topLeftCell="A15" activePane="bottomLeft" state="frozen"/>
      <selection pane="bottomLeft" activeCell="C74" sqref="C74"/>
    </sheetView>
  </sheetViews>
  <sheetFormatPr baseColWidth="10" defaultRowHeight="15.75" x14ac:dyDescent="0.25"/>
  <cols>
    <col min="1" max="1" width="5" style="2" customWidth="1"/>
    <col min="2" max="2" width="5.5703125" style="1" customWidth="1"/>
    <col min="3" max="3" width="14.7109375" style="1" customWidth="1"/>
    <col min="4" max="4" width="30" style="1" customWidth="1"/>
    <col min="5" max="5" width="28.5703125" style="1" customWidth="1"/>
    <col min="6" max="6" width="21" style="1" customWidth="1"/>
    <col min="7" max="7" width="27.85546875" style="1" customWidth="1"/>
    <col min="8" max="8" width="22.42578125" style="1" customWidth="1"/>
    <col min="9" max="9" width="31.42578125" style="1" customWidth="1"/>
    <col min="10" max="10" width="11.42578125" style="1"/>
    <col min="11" max="16384" width="11.42578125" style="2"/>
  </cols>
  <sheetData>
    <row r="1" spans="2:10" s="1" customFormat="1" x14ac:dyDescent="0.25"/>
    <row r="2" spans="2:10" s="1" customFormat="1" x14ac:dyDescent="0.25"/>
    <row r="3" spans="2:10" s="1" customFormat="1" x14ac:dyDescent="0.25"/>
    <row r="4" spans="2:10" x14ac:dyDescent="0.25">
      <c r="B4" s="2"/>
      <c r="C4" s="2"/>
      <c r="D4" s="2"/>
      <c r="E4" s="2"/>
      <c r="F4" s="2"/>
      <c r="G4" s="2"/>
      <c r="H4" s="2"/>
      <c r="I4" s="2"/>
      <c r="J4" s="2"/>
    </row>
    <row r="6" spans="2:10" x14ac:dyDescent="0.25">
      <c r="C6" s="3" t="s">
        <v>93</v>
      </c>
    </row>
    <row r="7" spans="2:10" x14ac:dyDescent="0.25">
      <c r="C7" s="3" t="s">
        <v>73</v>
      </c>
    </row>
    <row r="13" spans="2:10" ht="21.75" customHeight="1" x14ac:dyDescent="0.25">
      <c r="C13" s="8" t="s">
        <v>94</v>
      </c>
    </row>
    <row r="14" spans="2:10" x14ac:dyDescent="0.25">
      <c r="C14" s="20" t="s">
        <v>69</v>
      </c>
      <c r="D14" s="21" t="s">
        <v>0</v>
      </c>
      <c r="E14" s="21" t="s">
        <v>1</v>
      </c>
      <c r="F14" s="21" t="s">
        <v>4</v>
      </c>
      <c r="G14" s="21" t="s">
        <v>8</v>
      </c>
      <c r="H14" s="21" t="s">
        <v>74</v>
      </c>
      <c r="I14" s="23" t="s">
        <v>101</v>
      </c>
    </row>
    <row r="15" spans="2:10" x14ac:dyDescent="0.25">
      <c r="C15" s="120">
        <v>46151</v>
      </c>
      <c r="D15" s="116" t="s">
        <v>53</v>
      </c>
      <c r="E15" s="116" t="s">
        <v>10</v>
      </c>
      <c r="F15" s="116" t="s">
        <v>145</v>
      </c>
      <c r="G15" s="116">
        <v>2</v>
      </c>
      <c r="H15" s="116" t="s">
        <v>141</v>
      </c>
      <c r="I15" s="121">
        <v>46356</v>
      </c>
    </row>
    <row r="16" spans="2:10" x14ac:dyDescent="0.25">
      <c r="C16" s="131">
        <v>46141</v>
      </c>
      <c r="D16" s="78" t="s">
        <v>52</v>
      </c>
      <c r="E16" s="78" t="s">
        <v>13</v>
      </c>
      <c r="F16" s="78" t="s">
        <v>102</v>
      </c>
      <c r="G16" s="78">
        <v>1</v>
      </c>
      <c r="H16" s="78" t="s">
        <v>141</v>
      </c>
      <c r="I16" s="132">
        <v>46275</v>
      </c>
    </row>
    <row r="17" spans="3:9" x14ac:dyDescent="0.25">
      <c r="C17" s="120">
        <v>46141</v>
      </c>
      <c r="D17" s="116" t="s">
        <v>53</v>
      </c>
      <c r="E17" s="116" t="s">
        <v>10</v>
      </c>
      <c r="F17" s="116" t="s">
        <v>102</v>
      </c>
      <c r="G17" s="116">
        <v>1</v>
      </c>
      <c r="H17" s="116" t="s">
        <v>141</v>
      </c>
      <c r="I17" s="121">
        <v>46173</v>
      </c>
    </row>
    <row r="18" spans="3:9" x14ac:dyDescent="0.25">
      <c r="C18" s="131">
        <v>46141</v>
      </c>
      <c r="D18" s="78" t="s">
        <v>43</v>
      </c>
      <c r="E18" s="78" t="s">
        <v>144</v>
      </c>
      <c r="F18" s="78" t="s">
        <v>145</v>
      </c>
      <c r="G18" s="78">
        <v>1</v>
      </c>
      <c r="H18" s="78" t="s">
        <v>141</v>
      </c>
      <c r="I18" s="132">
        <v>46386</v>
      </c>
    </row>
    <row r="19" spans="3:9" x14ac:dyDescent="0.25">
      <c r="C19" s="120">
        <v>46135</v>
      </c>
      <c r="D19" s="116" t="s">
        <v>53</v>
      </c>
      <c r="E19" s="116" t="s">
        <v>10</v>
      </c>
      <c r="F19" s="116" t="s">
        <v>102</v>
      </c>
      <c r="G19" s="116">
        <v>3</v>
      </c>
      <c r="H19" s="116" t="s">
        <v>141</v>
      </c>
      <c r="I19" s="121">
        <v>46173</v>
      </c>
    </row>
    <row r="20" spans="3:9" x14ac:dyDescent="0.25">
      <c r="C20" s="131">
        <v>46127</v>
      </c>
      <c r="D20" s="78" t="s">
        <v>48</v>
      </c>
      <c r="E20" s="78" t="s">
        <v>20</v>
      </c>
      <c r="F20" s="78" t="s">
        <v>145</v>
      </c>
      <c r="G20" s="78">
        <v>3</v>
      </c>
      <c r="H20" s="78" t="s">
        <v>141</v>
      </c>
      <c r="I20" s="132">
        <v>46310</v>
      </c>
    </row>
    <row r="21" spans="3:9" x14ac:dyDescent="0.25">
      <c r="C21" s="120">
        <v>46121</v>
      </c>
      <c r="D21" s="116" t="s">
        <v>29</v>
      </c>
      <c r="E21" s="116" t="s">
        <v>54</v>
      </c>
      <c r="F21" s="116" t="s">
        <v>145</v>
      </c>
      <c r="G21" s="116">
        <v>3</v>
      </c>
      <c r="H21" s="116" t="s">
        <v>146</v>
      </c>
      <c r="I21" s="121">
        <v>46325</v>
      </c>
    </row>
    <row r="22" spans="3:9" x14ac:dyDescent="0.25">
      <c r="C22" s="131">
        <v>46121</v>
      </c>
      <c r="D22" s="78" t="s">
        <v>9</v>
      </c>
      <c r="E22" s="78" t="s">
        <v>67</v>
      </c>
      <c r="F22" s="78" t="s">
        <v>145</v>
      </c>
      <c r="G22" s="78">
        <v>1</v>
      </c>
      <c r="H22" s="78" t="s">
        <v>146</v>
      </c>
      <c r="I22" s="132">
        <v>46325</v>
      </c>
    </row>
    <row r="23" spans="3:9" x14ac:dyDescent="0.25">
      <c r="C23" s="120">
        <v>46119</v>
      </c>
      <c r="D23" s="116" t="s">
        <v>9</v>
      </c>
      <c r="E23" s="116" t="s">
        <v>67</v>
      </c>
      <c r="F23" s="116" t="s">
        <v>145</v>
      </c>
      <c r="G23" s="116">
        <v>1</v>
      </c>
      <c r="H23" s="116" t="s">
        <v>146</v>
      </c>
      <c r="I23" s="121">
        <v>46325</v>
      </c>
    </row>
    <row r="24" spans="3:9" x14ac:dyDescent="0.25">
      <c r="C24" s="87">
        <v>46111</v>
      </c>
      <c r="D24" s="70" t="s">
        <v>19</v>
      </c>
      <c r="E24" s="70" t="s">
        <v>61</v>
      </c>
      <c r="F24" s="70" t="s">
        <v>102</v>
      </c>
      <c r="G24" s="70">
        <v>1</v>
      </c>
      <c r="H24" s="70" t="s">
        <v>146</v>
      </c>
      <c r="I24" s="88">
        <v>46300</v>
      </c>
    </row>
    <row r="25" spans="3:9" x14ac:dyDescent="0.25">
      <c r="C25" s="79">
        <v>46109</v>
      </c>
      <c r="D25" s="78" t="s">
        <v>26</v>
      </c>
      <c r="E25" s="78" t="s">
        <v>57</v>
      </c>
      <c r="F25" s="78" t="s">
        <v>102</v>
      </c>
      <c r="G25" s="78">
        <v>1</v>
      </c>
      <c r="H25" s="78" t="s">
        <v>146</v>
      </c>
      <c r="I25" s="83">
        <v>46173</v>
      </c>
    </row>
    <row r="26" spans="3:9" x14ac:dyDescent="0.25">
      <c r="C26" s="87">
        <v>46106</v>
      </c>
      <c r="D26" s="70" t="s">
        <v>19</v>
      </c>
      <c r="E26" s="70" t="s">
        <v>61</v>
      </c>
      <c r="F26" s="70" t="s">
        <v>102</v>
      </c>
      <c r="G26" s="70">
        <v>1</v>
      </c>
      <c r="H26" s="70" t="s">
        <v>141</v>
      </c>
      <c r="I26" s="88">
        <v>46300</v>
      </c>
    </row>
    <row r="27" spans="3:9" x14ac:dyDescent="0.25">
      <c r="C27" s="79">
        <v>46100</v>
      </c>
      <c r="D27" s="78" t="s">
        <v>28</v>
      </c>
      <c r="E27" s="78" t="s">
        <v>55</v>
      </c>
      <c r="F27" s="78" t="s">
        <v>145</v>
      </c>
      <c r="G27" s="78">
        <v>1</v>
      </c>
      <c r="H27" s="78" t="s">
        <v>141</v>
      </c>
      <c r="I27" s="83">
        <v>46371</v>
      </c>
    </row>
    <row r="28" spans="3:9" x14ac:dyDescent="0.25">
      <c r="C28" s="87">
        <v>46080</v>
      </c>
      <c r="D28" s="70" t="s">
        <v>14</v>
      </c>
      <c r="E28" s="70" t="s">
        <v>64</v>
      </c>
      <c r="F28" s="70" t="s">
        <v>102</v>
      </c>
      <c r="G28" s="70">
        <v>1</v>
      </c>
      <c r="H28" s="70" t="s">
        <v>146</v>
      </c>
      <c r="I28" s="88">
        <v>46173</v>
      </c>
    </row>
    <row r="29" spans="3:9" x14ac:dyDescent="0.25">
      <c r="C29" s="79">
        <v>46074</v>
      </c>
      <c r="D29" s="78" t="s">
        <v>39</v>
      </c>
      <c r="E29" s="78" t="s">
        <v>31</v>
      </c>
      <c r="F29" s="78" t="s">
        <v>102</v>
      </c>
      <c r="G29" s="78">
        <v>1</v>
      </c>
      <c r="H29" s="78" t="s">
        <v>141</v>
      </c>
      <c r="I29" s="83">
        <v>46300</v>
      </c>
    </row>
    <row r="30" spans="3:9" x14ac:dyDescent="0.25">
      <c r="C30" s="87">
        <v>46070</v>
      </c>
      <c r="D30" s="70" t="s">
        <v>43</v>
      </c>
      <c r="E30" s="70" t="s">
        <v>144</v>
      </c>
      <c r="F30" s="70" t="s">
        <v>102</v>
      </c>
      <c r="G30" s="70">
        <v>1</v>
      </c>
      <c r="H30" s="70" t="s">
        <v>146</v>
      </c>
      <c r="I30" s="88">
        <v>46300</v>
      </c>
    </row>
    <row r="31" spans="3:9" x14ac:dyDescent="0.25">
      <c r="C31" s="79">
        <v>46062</v>
      </c>
      <c r="D31" s="78" t="s">
        <v>22</v>
      </c>
      <c r="E31" s="78" t="s">
        <v>60</v>
      </c>
      <c r="F31" s="78" t="s">
        <v>102</v>
      </c>
      <c r="G31" s="78">
        <v>1</v>
      </c>
      <c r="H31" s="78" t="s">
        <v>146</v>
      </c>
      <c r="I31" s="83">
        <v>46275</v>
      </c>
    </row>
    <row r="32" spans="3:9" x14ac:dyDescent="0.25">
      <c r="C32" s="87">
        <v>46060</v>
      </c>
      <c r="D32" s="70" t="s">
        <v>17</v>
      </c>
      <c r="E32" s="70" t="s">
        <v>62</v>
      </c>
      <c r="F32" s="70" t="s">
        <v>102</v>
      </c>
      <c r="G32" s="70">
        <v>2</v>
      </c>
      <c r="H32" s="70" t="s">
        <v>146</v>
      </c>
      <c r="I32" s="88">
        <v>46387</v>
      </c>
    </row>
    <row r="33" spans="3:9" x14ac:dyDescent="0.25">
      <c r="C33" s="79">
        <v>46053</v>
      </c>
      <c r="D33" s="78" t="s">
        <v>40</v>
      </c>
      <c r="E33" s="78" t="s">
        <v>143</v>
      </c>
      <c r="F33" s="78" t="s">
        <v>102</v>
      </c>
      <c r="G33" s="78">
        <v>3</v>
      </c>
      <c r="H33" s="78" t="s">
        <v>141</v>
      </c>
      <c r="I33" s="83">
        <v>46568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B1:J216"/>
  <sheetViews>
    <sheetView zoomScale="80" zoomScaleNormal="80" workbookViewId="0">
      <pane ySplit="8" topLeftCell="A9" activePane="bottomLeft" state="frozen"/>
      <selection pane="bottomLeft" activeCell="C215" sqref="C215"/>
    </sheetView>
  </sheetViews>
  <sheetFormatPr baseColWidth="10" defaultRowHeight="15.75" x14ac:dyDescent="0.25"/>
  <cols>
    <col min="1" max="1" width="4.42578125" style="4" customWidth="1"/>
    <col min="2" max="2" width="7" style="1" customWidth="1"/>
    <col min="3" max="3" width="32" style="30" customWidth="1"/>
    <col min="4" max="4" width="45.42578125" style="1" bestFit="1" customWidth="1"/>
    <col min="5" max="5" width="30" style="1" customWidth="1"/>
    <col min="6" max="6" width="26.42578125" style="1" bestFit="1" customWidth="1"/>
    <col min="7" max="7" width="26.42578125" style="1" customWidth="1"/>
    <col min="8" max="8" width="26.5703125" style="1" bestFit="1" customWidth="1"/>
    <col min="9" max="9" width="25.140625" style="1" bestFit="1" customWidth="1"/>
    <col min="10" max="10" width="11.42578125" style="1"/>
    <col min="11" max="16384" width="11.42578125" style="4"/>
  </cols>
  <sheetData>
    <row r="1" spans="2:10" s="1" customFormat="1" x14ac:dyDescent="0.25">
      <c r="C1" s="30"/>
    </row>
    <row r="2" spans="2:10" s="1" customFormat="1" x14ac:dyDescent="0.25">
      <c r="C2" s="30"/>
    </row>
    <row r="3" spans="2:10" s="1" customFormat="1" x14ac:dyDescent="0.25">
      <c r="C3" s="30"/>
    </row>
    <row r="4" spans="2:10" x14ac:dyDescent="0.25">
      <c r="B4" s="4"/>
      <c r="C4" s="31"/>
      <c r="D4" s="4"/>
      <c r="E4" s="4"/>
      <c r="F4" s="4"/>
      <c r="G4" s="4"/>
      <c r="H4" s="4"/>
      <c r="I4" s="4"/>
      <c r="J4" s="4"/>
    </row>
    <row r="5" spans="2:10" x14ac:dyDescent="0.25">
      <c r="C5" s="30" t="s">
        <v>100</v>
      </c>
    </row>
    <row r="6" spans="2:10" x14ac:dyDescent="0.25">
      <c r="C6" s="32"/>
      <c r="D6" s="7"/>
      <c r="E6" s="6"/>
      <c r="F6" s="7"/>
      <c r="G6" s="7"/>
    </row>
    <row r="7" spans="2:10" ht="21.75" customHeight="1" x14ac:dyDescent="0.25">
      <c r="C7" s="33" t="s">
        <v>95</v>
      </c>
      <c r="H7" s="13"/>
    </row>
    <row r="8" spans="2:10" x14ac:dyDescent="0.25">
      <c r="C8" s="34" t="s">
        <v>69</v>
      </c>
      <c r="D8" s="21" t="s">
        <v>0</v>
      </c>
      <c r="E8" s="21" t="s">
        <v>1</v>
      </c>
      <c r="F8" s="21" t="s">
        <v>4</v>
      </c>
      <c r="G8" s="21" t="s">
        <v>79</v>
      </c>
      <c r="H8" s="21" t="s">
        <v>78</v>
      </c>
      <c r="I8" s="23" t="s">
        <v>101</v>
      </c>
    </row>
    <row r="9" spans="2:10" x14ac:dyDescent="0.25">
      <c r="C9" s="160">
        <v>46255</v>
      </c>
      <c r="D9" s="120" t="s">
        <v>53</v>
      </c>
      <c r="E9" s="116" t="s">
        <v>10</v>
      </c>
      <c r="F9" s="117" t="s">
        <v>145</v>
      </c>
      <c r="G9" s="118" t="s">
        <v>105</v>
      </c>
      <c r="H9" s="119">
        <v>-4</v>
      </c>
      <c r="I9" s="158">
        <v>46356</v>
      </c>
    </row>
    <row r="10" spans="2:10" x14ac:dyDescent="0.25">
      <c r="C10" s="157">
        <v>46255</v>
      </c>
      <c r="D10" s="149" t="s">
        <v>53</v>
      </c>
      <c r="E10" s="150" t="s">
        <v>10</v>
      </c>
      <c r="F10" s="152" t="s">
        <v>145</v>
      </c>
      <c r="G10" s="153" t="s">
        <v>105</v>
      </c>
      <c r="H10" s="154">
        <v>-2</v>
      </c>
      <c r="I10" s="155">
        <v>46356</v>
      </c>
    </row>
    <row r="11" spans="2:10" x14ac:dyDescent="0.25">
      <c r="C11" s="125">
        <v>46251</v>
      </c>
      <c r="D11" s="133" t="s">
        <v>17</v>
      </c>
      <c r="E11" s="14" t="s">
        <v>62</v>
      </c>
      <c r="F11" s="36" t="s">
        <v>161</v>
      </c>
      <c r="G11" s="37" t="s">
        <v>103</v>
      </c>
      <c r="H11" s="38">
        <v>20</v>
      </c>
      <c r="I11" s="133">
        <v>46752</v>
      </c>
    </row>
    <row r="12" spans="2:10" x14ac:dyDescent="0.25">
      <c r="C12" s="125">
        <v>46251</v>
      </c>
      <c r="D12" s="133" t="s">
        <v>26</v>
      </c>
      <c r="E12" s="14" t="s">
        <v>57</v>
      </c>
      <c r="F12" s="36" t="s">
        <v>161</v>
      </c>
      <c r="G12" s="37" t="s">
        <v>103</v>
      </c>
      <c r="H12" s="38">
        <v>30</v>
      </c>
      <c r="I12" s="133">
        <v>46752</v>
      </c>
    </row>
    <row r="13" spans="2:10" x14ac:dyDescent="0.25">
      <c r="C13" s="125">
        <v>46251</v>
      </c>
      <c r="D13" s="133" t="s">
        <v>33</v>
      </c>
      <c r="E13" s="14" t="s">
        <v>46</v>
      </c>
      <c r="F13" s="36" t="s">
        <v>161</v>
      </c>
      <c r="G13" s="37" t="s">
        <v>103</v>
      </c>
      <c r="H13" s="38">
        <v>45</v>
      </c>
      <c r="I13" s="133">
        <v>46752</v>
      </c>
    </row>
    <row r="14" spans="2:10" x14ac:dyDescent="0.25">
      <c r="C14" s="130">
        <v>46251</v>
      </c>
      <c r="D14" s="131" t="s">
        <v>9</v>
      </c>
      <c r="E14" s="78" t="s">
        <v>67</v>
      </c>
      <c r="F14" s="80" t="s">
        <v>145</v>
      </c>
      <c r="G14" s="81" t="s">
        <v>105</v>
      </c>
      <c r="H14" s="82">
        <v>-25</v>
      </c>
      <c r="I14" s="131">
        <v>46325</v>
      </c>
    </row>
    <row r="15" spans="2:10" x14ac:dyDescent="0.25">
      <c r="C15" s="122">
        <v>46251</v>
      </c>
      <c r="D15" s="120" t="s">
        <v>9</v>
      </c>
      <c r="E15" s="116" t="s">
        <v>67</v>
      </c>
      <c r="F15" s="117" t="s">
        <v>102</v>
      </c>
      <c r="G15" s="118" t="s">
        <v>105</v>
      </c>
      <c r="H15" s="119">
        <v>-7</v>
      </c>
      <c r="I15" s="120">
        <v>46173</v>
      </c>
    </row>
    <row r="16" spans="2:10" x14ac:dyDescent="0.25">
      <c r="C16" s="130">
        <v>46236</v>
      </c>
      <c r="D16" s="131" t="s">
        <v>39</v>
      </c>
      <c r="E16" s="78" t="s">
        <v>31</v>
      </c>
      <c r="F16" s="80" t="s">
        <v>145</v>
      </c>
      <c r="G16" s="81" t="s">
        <v>105</v>
      </c>
      <c r="H16" s="82">
        <v>-3</v>
      </c>
      <c r="I16" s="131">
        <v>46387</v>
      </c>
    </row>
    <row r="17" spans="3:9" x14ac:dyDescent="0.25">
      <c r="C17" s="122">
        <v>46236</v>
      </c>
      <c r="D17" s="120" t="s">
        <v>39</v>
      </c>
      <c r="E17" s="116" t="s">
        <v>31</v>
      </c>
      <c r="F17" s="117" t="s">
        <v>102</v>
      </c>
      <c r="G17" s="118" t="s">
        <v>105</v>
      </c>
      <c r="H17" s="119">
        <v>-15</v>
      </c>
      <c r="I17" s="120">
        <v>46300</v>
      </c>
    </row>
    <row r="18" spans="3:9" x14ac:dyDescent="0.25">
      <c r="C18" s="130">
        <v>46236</v>
      </c>
      <c r="D18" s="131" t="s">
        <v>40</v>
      </c>
      <c r="E18" s="78" t="s">
        <v>143</v>
      </c>
      <c r="F18" s="80" t="s">
        <v>102</v>
      </c>
      <c r="G18" s="81" t="s">
        <v>105</v>
      </c>
      <c r="H18" s="82">
        <v>-18</v>
      </c>
      <c r="I18" s="131">
        <v>46568</v>
      </c>
    </row>
    <row r="19" spans="3:9" x14ac:dyDescent="0.25">
      <c r="C19" s="122">
        <v>46236</v>
      </c>
      <c r="D19" s="120" t="s">
        <v>48</v>
      </c>
      <c r="E19" s="116" t="s">
        <v>20</v>
      </c>
      <c r="F19" s="117" t="s">
        <v>102</v>
      </c>
      <c r="G19" s="118" t="s">
        <v>105</v>
      </c>
      <c r="H19" s="119">
        <v>-29</v>
      </c>
      <c r="I19" s="120">
        <v>46568</v>
      </c>
    </row>
    <row r="20" spans="3:9" x14ac:dyDescent="0.25">
      <c r="C20" s="130">
        <v>46236</v>
      </c>
      <c r="D20" s="131" t="s">
        <v>48</v>
      </c>
      <c r="E20" s="78" t="s">
        <v>20</v>
      </c>
      <c r="F20" s="80" t="s">
        <v>145</v>
      </c>
      <c r="G20" s="81" t="s">
        <v>105</v>
      </c>
      <c r="H20" s="82">
        <v>-1</v>
      </c>
      <c r="I20" s="131">
        <v>46310</v>
      </c>
    </row>
    <row r="21" spans="3:9" x14ac:dyDescent="0.25">
      <c r="C21" s="122">
        <v>46236</v>
      </c>
      <c r="D21" s="120" t="s">
        <v>53</v>
      </c>
      <c r="E21" s="116" t="s">
        <v>10</v>
      </c>
      <c r="F21" s="117" t="s">
        <v>145</v>
      </c>
      <c r="G21" s="118" t="s">
        <v>105</v>
      </c>
      <c r="H21" s="119">
        <v>-48</v>
      </c>
      <c r="I21" s="120">
        <v>46356</v>
      </c>
    </row>
    <row r="22" spans="3:9" x14ac:dyDescent="0.25">
      <c r="C22" s="130">
        <v>46236</v>
      </c>
      <c r="D22" s="131" t="s">
        <v>50</v>
      </c>
      <c r="E22" s="78" t="s">
        <v>15</v>
      </c>
      <c r="F22" s="80" t="s">
        <v>145</v>
      </c>
      <c r="G22" s="81" t="s">
        <v>105</v>
      </c>
      <c r="H22" s="82">
        <v>-10</v>
      </c>
      <c r="I22" s="131">
        <v>46356</v>
      </c>
    </row>
    <row r="23" spans="3:9" x14ac:dyDescent="0.25">
      <c r="C23" s="122">
        <v>46236</v>
      </c>
      <c r="D23" s="120" t="s">
        <v>50</v>
      </c>
      <c r="E23" s="116" t="s">
        <v>15</v>
      </c>
      <c r="F23" s="117" t="s">
        <v>102</v>
      </c>
      <c r="G23" s="118" t="s">
        <v>105</v>
      </c>
      <c r="H23" s="119">
        <v>-15</v>
      </c>
      <c r="I23" s="120">
        <v>46300</v>
      </c>
    </row>
    <row r="24" spans="3:9" x14ac:dyDescent="0.25">
      <c r="C24" s="130">
        <v>46236</v>
      </c>
      <c r="D24" s="131" t="s">
        <v>53</v>
      </c>
      <c r="E24" s="78" t="s">
        <v>10</v>
      </c>
      <c r="F24" s="80" t="s">
        <v>145</v>
      </c>
      <c r="G24" s="81" t="s">
        <v>105</v>
      </c>
      <c r="H24" s="82">
        <v>-27</v>
      </c>
      <c r="I24" s="131">
        <v>46356</v>
      </c>
    </row>
    <row r="25" spans="3:9" x14ac:dyDescent="0.25">
      <c r="C25" s="122">
        <v>46236</v>
      </c>
      <c r="D25" s="120" t="s">
        <v>53</v>
      </c>
      <c r="E25" s="116" t="s">
        <v>10</v>
      </c>
      <c r="F25" s="117" t="s">
        <v>161</v>
      </c>
      <c r="G25" s="118" t="s">
        <v>105</v>
      </c>
      <c r="H25" s="119">
        <v>-23</v>
      </c>
      <c r="I25" s="120">
        <v>46325</v>
      </c>
    </row>
    <row r="26" spans="3:9" x14ac:dyDescent="0.25">
      <c r="C26" s="125">
        <v>46229</v>
      </c>
      <c r="D26" s="133" t="s">
        <v>53</v>
      </c>
      <c r="E26" s="14" t="s">
        <v>10</v>
      </c>
      <c r="F26" s="36" t="s">
        <v>161</v>
      </c>
      <c r="G26" s="37" t="s">
        <v>103</v>
      </c>
      <c r="H26" s="38">
        <v>23</v>
      </c>
      <c r="I26" s="133">
        <v>46325</v>
      </c>
    </row>
    <row r="27" spans="3:9" x14ac:dyDescent="0.25">
      <c r="C27" s="125">
        <v>46229</v>
      </c>
      <c r="D27" s="133" t="s">
        <v>49</v>
      </c>
      <c r="E27" s="14" t="s">
        <v>18</v>
      </c>
      <c r="F27" s="36" t="s">
        <v>145</v>
      </c>
      <c r="G27" s="37" t="s">
        <v>103</v>
      </c>
      <c r="H27" s="38">
        <v>50</v>
      </c>
      <c r="I27" s="133">
        <v>46351</v>
      </c>
    </row>
    <row r="28" spans="3:9" x14ac:dyDescent="0.25">
      <c r="C28" s="130">
        <v>46220</v>
      </c>
      <c r="D28" s="131" t="s">
        <v>30</v>
      </c>
      <c r="E28" s="78" t="s">
        <v>51</v>
      </c>
      <c r="F28" s="80" t="s">
        <v>102</v>
      </c>
      <c r="G28" s="81" t="s">
        <v>105</v>
      </c>
      <c r="H28" s="82">
        <v>-23</v>
      </c>
      <c r="I28" s="131">
        <v>46173</v>
      </c>
    </row>
    <row r="29" spans="3:9" x14ac:dyDescent="0.25">
      <c r="C29" s="122">
        <v>46220</v>
      </c>
      <c r="D29" s="120" t="s">
        <v>53</v>
      </c>
      <c r="E29" s="116" t="s">
        <v>10</v>
      </c>
      <c r="F29" s="117" t="s">
        <v>102</v>
      </c>
      <c r="G29" s="118" t="s">
        <v>105</v>
      </c>
      <c r="H29" s="119">
        <v>-9</v>
      </c>
      <c r="I29" s="120">
        <v>46173</v>
      </c>
    </row>
    <row r="30" spans="3:9" x14ac:dyDescent="0.25">
      <c r="C30" s="130">
        <v>46220</v>
      </c>
      <c r="D30" s="131" t="s">
        <v>19</v>
      </c>
      <c r="E30" s="78" t="s">
        <v>61</v>
      </c>
      <c r="F30" s="80" t="s">
        <v>102</v>
      </c>
      <c r="G30" s="81" t="s">
        <v>105</v>
      </c>
      <c r="H30" s="82">
        <v>-11</v>
      </c>
      <c r="I30" s="131">
        <v>46300</v>
      </c>
    </row>
    <row r="31" spans="3:9" x14ac:dyDescent="0.25">
      <c r="C31" s="122">
        <v>46220</v>
      </c>
      <c r="D31" s="120" t="s">
        <v>17</v>
      </c>
      <c r="E31" s="116" t="s">
        <v>62</v>
      </c>
      <c r="F31" s="117" t="s">
        <v>145</v>
      </c>
      <c r="G31" s="118" t="s">
        <v>105</v>
      </c>
      <c r="H31" s="119">
        <v>-8</v>
      </c>
      <c r="I31" s="120">
        <v>46341</v>
      </c>
    </row>
    <row r="32" spans="3:9" x14ac:dyDescent="0.25">
      <c r="C32" s="130">
        <v>46220</v>
      </c>
      <c r="D32" s="131" t="s">
        <v>50</v>
      </c>
      <c r="E32" s="78" t="s">
        <v>15</v>
      </c>
      <c r="F32" s="80" t="s">
        <v>102</v>
      </c>
      <c r="G32" s="81" t="s">
        <v>105</v>
      </c>
      <c r="H32" s="82">
        <v>-21</v>
      </c>
      <c r="I32" s="131">
        <v>46300</v>
      </c>
    </row>
    <row r="33" spans="3:9" x14ac:dyDescent="0.25">
      <c r="C33" s="122">
        <v>46220</v>
      </c>
      <c r="D33" s="120" t="s">
        <v>9</v>
      </c>
      <c r="E33" s="116" t="s">
        <v>67</v>
      </c>
      <c r="F33" s="117" t="s">
        <v>102</v>
      </c>
      <c r="G33" s="118" t="s">
        <v>105</v>
      </c>
      <c r="H33" s="119">
        <v>-3</v>
      </c>
      <c r="I33" s="120">
        <v>46173</v>
      </c>
    </row>
    <row r="34" spans="3:9" x14ac:dyDescent="0.25">
      <c r="C34" s="130">
        <v>46220</v>
      </c>
      <c r="D34" s="131" t="s">
        <v>48</v>
      </c>
      <c r="E34" s="78" t="s">
        <v>20</v>
      </c>
      <c r="F34" s="80" t="s">
        <v>145</v>
      </c>
      <c r="G34" s="81" t="s">
        <v>105</v>
      </c>
      <c r="H34" s="82">
        <v>-9</v>
      </c>
      <c r="I34" s="131">
        <v>46310</v>
      </c>
    </row>
    <row r="35" spans="3:9" x14ac:dyDescent="0.25">
      <c r="C35" s="122">
        <v>46220</v>
      </c>
      <c r="D35" s="120" t="s">
        <v>53</v>
      </c>
      <c r="E35" s="116" t="s">
        <v>10</v>
      </c>
      <c r="F35" s="117" t="s">
        <v>102</v>
      </c>
      <c r="G35" s="118" t="s">
        <v>105</v>
      </c>
      <c r="H35" s="119">
        <v>-3</v>
      </c>
      <c r="I35" s="120">
        <v>46173</v>
      </c>
    </row>
    <row r="36" spans="3:9" x14ac:dyDescent="0.25">
      <c r="C36" s="130">
        <v>46220</v>
      </c>
      <c r="D36" s="131" t="s">
        <v>40</v>
      </c>
      <c r="E36" s="78" t="s">
        <v>143</v>
      </c>
      <c r="F36" s="80" t="s">
        <v>102</v>
      </c>
      <c r="G36" s="81" t="s">
        <v>105</v>
      </c>
      <c r="H36" s="82">
        <v>-13</v>
      </c>
      <c r="I36" s="131">
        <v>46568</v>
      </c>
    </row>
    <row r="37" spans="3:9" x14ac:dyDescent="0.25">
      <c r="C37" s="125">
        <v>46183</v>
      </c>
      <c r="D37" s="126" t="s">
        <v>14</v>
      </c>
      <c r="E37" s="86" t="s">
        <v>64</v>
      </c>
      <c r="F37" s="25" t="s">
        <v>145</v>
      </c>
      <c r="G37" s="90" t="s">
        <v>103</v>
      </c>
      <c r="H37" s="91">
        <v>32</v>
      </c>
      <c r="I37" s="126">
        <v>46305</v>
      </c>
    </row>
    <row r="38" spans="3:9" x14ac:dyDescent="0.25">
      <c r="C38" s="125">
        <v>46183</v>
      </c>
      <c r="D38" s="126" t="s">
        <v>33</v>
      </c>
      <c r="E38" s="86" t="s">
        <v>46</v>
      </c>
      <c r="F38" s="25" t="s">
        <v>145</v>
      </c>
      <c r="G38" s="90" t="s">
        <v>103</v>
      </c>
      <c r="H38" s="91">
        <v>95</v>
      </c>
      <c r="I38" s="126">
        <v>46275</v>
      </c>
    </row>
    <row r="39" spans="3:9" x14ac:dyDescent="0.25">
      <c r="C39" s="125">
        <v>46183</v>
      </c>
      <c r="D39" s="126" t="s">
        <v>30</v>
      </c>
      <c r="E39" s="86" t="s">
        <v>51</v>
      </c>
      <c r="F39" s="25" t="s">
        <v>145</v>
      </c>
      <c r="G39" s="90" t="s">
        <v>103</v>
      </c>
      <c r="H39" s="91">
        <v>67</v>
      </c>
      <c r="I39" s="126">
        <v>46275</v>
      </c>
    </row>
    <row r="40" spans="3:9" x14ac:dyDescent="0.25">
      <c r="C40" s="125">
        <v>46183</v>
      </c>
      <c r="D40" s="126" t="s">
        <v>41</v>
      </c>
      <c r="E40" s="86" t="s">
        <v>27</v>
      </c>
      <c r="F40" s="25" t="s">
        <v>145</v>
      </c>
      <c r="G40" s="90" t="s">
        <v>103</v>
      </c>
      <c r="H40" s="91">
        <v>45</v>
      </c>
      <c r="I40" s="126">
        <v>46275</v>
      </c>
    </row>
    <row r="41" spans="3:9" x14ac:dyDescent="0.25">
      <c r="C41" s="125">
        <v>46183</v>
      </c>
      <c r="D41" s="126" t="s">
        <v>12</v>
      </c>
      <c r="E41" s="86" t="s">
        <v>65</v>
      </c>
      <c r="F41" s="25" t="s">
        <v>145</v>
      </c>
      <c r="G41" s="90" t="s">
        <v>103</v>
      </c>
      <c r="H41" s="91">
        <v>60</v>
      </c>
      <c r="I41" s="126">
        <v>46275</v>
      </c>
    </row>
    <row r="42" spans="3:9" x14ac:dyDescent="0.25">
      <c r="C42" s="122">
        <v>46183</v>
      </c>
      <c r="D42" s="120" t="s">
        <v>40</v>
      </c>
      <c r="E42" s="116" t="s">
        <v>143</v>
      </c>
      <c r="F42" s="117" t="s">
        <v>102</v>
      </c>
      <c r="G42" s="118" t="s">
        <v>105</v>
      </c>
      <c r="H42" s="119">
        <v>-14</v>
      </c>
      <c r="I42" s="120">
        <v>46568</v>
      </c>
    </row>
    <row r="43" spans="3:9" x14ac:dyDescent="0.25">
      <c r="C43" s="130">
        <v>46183</v>
      </c>
      <c r="D43" s="131" t="s">
        <v>40</v>
      </c>
      <c r="E43" s="78" t="s">
        <v>143</v>
      </c>
      <c r="F43" s="80" t="s">
        <v>145</v>
      </c>
      <c r="G43" s="81" t="s">
        <v>105</v>
      </c>
      <c r="H43" s="82">
        <v>-15</v>
      </c>
      <c r="I43" s="131">
        <v>46356</v>
      </c>
    </row>
    <row r="44" spans="3:9" x14ac:dyDescent="0.25">
      <c r="C44" s="122">
        <v>46183</v>
      </c>
      <c r="D44" s="120" t="s">
        <v>49</v>
      </c>
      <c r="E44" s="116" t="s">
        <v>18</v>
      </c>
      <c r="F44" s="117" t="s">
        <v>102</v>
      </c>
      <c r="G44" s="118" t="s">
        <v>105</v>
      </c>
      <c r="H44" s="119">
        <v>-20</v>
      </c>
      <c r="I44" s="120">
        <v>46387</v>
      </c>
    </row>
    <row r="45" spans="3:9" x14ac:dyDescent="0.25">
      <c r="C45" s="130">
        <v>46183</v>
      </c>
      <c r="D45" s="131" t="s">
        <v>35</v>
      </c>
      <c r="E45" s="78" t="s">
        <v>42</v>
      </c>
      <c r="F45" s="80" t="s">
        <v>102</v>
      </c>
      <c r="G45" s="81" t="s">
        <v>105</v>
      </c>
      <c r="H45" s="82">
        <v>-30</v>
      </c>
      <c r="I45" s="131">
        <v>46300</v>
      </c>
    </row>
    <row r="46" spans="3:9" x14ac:dyDescent="0.25">
      <c r="C46" s="122">
        <v>46183</v>
      </c>
      <c r="D46" s="120" t="s">
        <v>53</v>
      </c>
      <c r="E46" s="116" t="s">
        <v>10</v>
      </c>
      <c r="F46" s="117" t="s">
        <v>102</v>
      </c>
      <c r="G46" s="118" t="s">
        <v>105</v>
      </c>
      <c r="H46" s="119">
        <v>-80</v>
      </c>
      <c r="I46" s="120">
        <v>46173</v>
      </c>
    </row>
    <row r="47" spans="3:9" x14ac:dyDescent="0.25">
      <c r="C47" s="130">
        <v>46174</v>
      </c>
      <c r="D47" s="131" t="s">
        <v>39</v>
      </c>
      <c r="E47" s="78" t="s">
        <v>31</v>
      </c>
      <c r="F47" s="80" t="s">
        <v>102</v>
      </c>
      <c r="G47" s="81" t="s">
        <v>105</v>
      </c>
      <c r="H47" s="82">
        <v>-5</v>
      </c>
      <c r="I47" s="131">
        <v>46300</v>
      </c>
    </row>
    <row r="48" spans="3:9" x14ac:dyDescent="0.25">
      <c r="C48" s="122">
        <v>46174</v>
      </c>
      <c r="D48" s="120" t="s">
        <v>12</v>
      </c>
      <c r="E48" s="116" t="s">
        <v>65</v>
      </c>
      <c r="F48" s="117" t="s">
        <v>102</v>
      </c>
      <c r="G48" s="118" t="s">
        <v>105</v>
      </c>
      <c r="H48" s="119">
        <v>-2</v>
      </c>
      <c r="I48" s="120">
        <v>46568</v>
      </c>
    </row>
    <row r="49" spans="3:9" x14ac:dyDescent="0.25">
      <c r="C49" s="130">
        <v>46174</v>
      </c>
      <c r="D49" s="131" t="s">
        <v>48</v>
      </c>
      <c r="E49" s="78" t="s">
        <v>20</v>
      </c>
      <c r="F49" s="80" t="s">
        <v>145</v>
      </c>
      <c r="G49" s="81" t="s">
        <v>105</v>
      </c>
      <c r="H49" s="82">
        <v>-5</v>
      </c>
      <c r="I49" s="131">
        <v>46310</v>
      </c>
    </row>
    <row r="50" spans="3:9" x14ac:dyDescent="0.25">
      <c r="C50" s="122">
        <v>46174</v>
      </c>
      <c r="D50" s="120" t="s">
        <v>28</v>
      </c>
      <c r="E50" s="116" t="s">
        <v>55</v>
      </c>
      <c r="F50" s="117" t="s">
        <v>145</v>
      </c>
      <c r="G50" s="118" t="s">
        <v>105</v>
      </c>
      <c r="H50" s="119">
        <v>-10</v>
      </c>
      <c r="I50" s="120">
        <v>46371</v>
      </c>
    </row>
    <row r="51" spans="3:9" x14ac:dyDescent="0.25">
      <c r="C51" s="130">
        <v>46174</v>
      </c>
      <c r="D51" s="131" t="s">
        <v>49</v>
      </c>
      <c r="E51" s="78" t="s">
        <v>18</v>
      </c>
      <c r="F51" s="80" t="s">
        <v>102</v>
      </c>
      <c r="G51" s="81" t="s">
        <v>105</v>
      </c>
      <c r="H51" s="82">
        <v>-15</v>
      </c>
      <c r="I51" s="131">
        <v>46387</v>
      </c>
    </row>
    <row r="52" spans="3:9" x14ac:dyDescent="0.25">
      <c r="C52" s="122">
        <v>46174</v>
      </c>
      <c r="D52" s="120" t="s">
        <v>24</v>
      </c>
      <c r="E52" s="116" t="s">
        <v>59</v>
      </c>
      <c r="F52" s="117" t="s">
        <v>102</v>
      </c>
      <c r="G52" s="118" t="s">
        <v>105</v>
      </c>
      <c r="H52" s="119">
        <v>-3</v>
      </c>
      <c r="I52" s="120">
        <v>46387</v>
      </c>
    </row>
    <row r="53" spans="3:9" x14ac:dyDescent="0.25">
      <c r="C53" s="125">
        <v>46165</v>
      </c>
      <c r="D53" s="133" t="s">
        <v>38</v>
      </c>
      <c r="E53" s="14" t="s">
        <v>34</v>
      </c>
      <c r="F53" s="36" t="s">
        <v>145</v>
      </c>
      <c r="G53" s="37" t="s">
        <v>103</v>
      </c>
      <c r="H53" s="38">
        <v>30</v>
      </c>
      <c r="I53" s="133">
        <v>46387</v>
      </c>
    </row>
    <row r="54" spans="3:9" x14ac:dyDescent="0.25">
      <c r="C54" s="125">
        <v>46165</v>
      </c>
      <c r="D54" s="133" t="s">
        <v>39</v>
      </c>
      <c r="E54" s="14" t="s">
        <v>31</v>
      </c>
      <c r="F54" s="36" t="s">
        <v>145</v>
      </c>
      <c r="G54" s="37" t="s">
        <v>103</v>
      </c>
      <c r="H54" s="38">
        <v>30</v>
      </c>
      <c r="I54" s="133">
        <v>46387</v>
      </c>
    </row>
    <row r="55" spans="3:9" x14ac:dyDescent="0.25">
      <c r="C55" s="125">
        <v>46165</v>
      </c>
      <c r="D55" s="133" t="s">
        <v>52</v>
      </c>
      <c r="E55" s="14" t="s">
        <v>13</v>
      </c>
      <c r="F55" s="36" t="s">
        <v>145</v>
      </c>
      <c r="G55" s="37" t="s">
        <v>103</v>
      </c>
      <c r="H55" s="38">
        <v>50</v>
      </c>
      <c r="I55" s="133">
        <v>46356</v>
      </c>
    </row>
    <row r="56" spans="3:9" x14ac:dyDescent="0.25">
      <c r="C56" s="125">
        <v>46165</v>
      </c>
      <c r="D56" s="133" t="s">
        <v>45</v>
      </c>
      <c r="E56" s="14" t="s">
        <v>25</v>
      </c>
      <c r="F56" s="36" t="s">
        <v>145</v>
      </c>
      <c r="G56" s="37" t="s">
        <v>103</v>
      </c>
      <c r="H56" s="38">
        <v>20</v>
      </c>
      <c r="I56" s="133">
        <v>46356</v>
      </c>
    </row>
    <row r="57" spans="3:9" x14ac:dyDescent="0.25">
      <c r="C57" s="125">
        <v>46165</v>
      </c>
      <c r="D57" s="133" t="s">
        <v>19</v>
      </c>
      <c r="E57" s="14" t="s">
        <v>61</v>
      </c>
      <c r="F57" s="36" t="s">
        <v>145</v>
      </c>
      <c r="G57" s="37" t="s">
        <v>103</v>
      </c>
      <c r="H57" s="38">
        <v>15</v>
      </c>
      <c r="I57" s="133">
        <v>46356</v>
      </c>
    </row>
    <row r="58" spans="3:9" x14ac:dyDescent="0.25">
      <c r="C58" s="130">
        <v>46165</v>
      </c>
      <c r="D58" s="131" t="s">
        <v>12</v>
      </c>
      <c r="E58" s="78" t="s">
        <v>65</v>
      </c>
      <c r="F58" s="80" t="s">
        <v>102</v>
      </c>
      <c r="G58" s="81" t="s">
        <v>105</v>
      </c>
      <c r="H58" s="82">
        <v>-2</v>
      </c>
      <c r="I58" s="131">
        <v>46568</v>
      </c>
    </row>
    <row r="59" spans="3:9" x14ac:dyDescent="0.25">
      <c r="C59" s="122">
        <v>46165</v>
      </c>
      <c r="D59" s="120" t="s">
        <v>33</v>
      </c>
      <c r="E59" s="116" t="s">
        <v>46</v>
      </c>
      <c r="F59" s="117" t="s">
        <v>102</v>
      </c>
      <c r="G59" s="118" t="s">
        <v>105</v>
      </c>
      <c r="H59" s="119">
        <v>-4</v>
      </c>
      <c r="I59" s="120">
        <v>46275</v>
      </c>
    </row>
    <row r="60" spans="3:9" x14ac:dyDescent="0.25">
      <c r="C60" s="130">
        <v>46165</v>
      </c>
      <c r="D60" s="131" t="s">
        <v>53</v>
      </c>
      <c r="E60" s="78" t="s">
        <v>10</v>
      </c>
      <c r="F60" s="80" t="s">
        <v>102</v>
      </c>
      <c r="G60" s="81" t="s">
        <v>105</v>
      </c>
      <c r="H60" s="82">
        <v>-42</v>
      </c>
      <c r="I60" s="131">
        <v>46173</v>
      </c>
    </row>
    <row r="61" spans="3:9" x14ac:dyDescent="0.25">
      <c r="C61" s="122">
        <v>46165</v>
      </c>
      <c r="D61" s="120" t="s">
        <v>12</v>
      </c>
      <c r="E61" s="116" t="s">
        <v>65</v>
      </c>
      <c r="F61" s="117" t="s">
        <v>102</v>
      </c>
      <c r="G61" s="118" t="s">
        <v>105</v>
      </c>
      <c r="H61" s="119">
        <v>-2</v>
      </c>
      <c r="I61" s="120">
        <v>46568</v>
      </c>
    </row>
    <row r="62" spans="3:9" x14ac:dyDescent="0.25">
      <c r="C62" s="130">
        <v>46165</v>
      </c>
      <c r="D62" s="131" t="s">
        <v>53</v>
      </c>
      <c r="E62" s="78" t="s">
        <v>10</v>
      </c>
      <c r="F62" s="80" t="s">
        <v>102</v>
      </c>
      <c r="G62" s="81" t="s">
        <v>105</v>
      </c>
      <c r="H62" s="82">
        <v>-4</v>
      </c>
      <c r="I62" s="131">
        <v>46173</v>
      </c>
    </row>
    <row r="63" spans="3:9" x14ac:dyDescent="0.25">
      <c r="C63" s="122">
        <v>46165</v>
      </c>
      <c r="D63" s="120" t="s">
        <v>40</v>
      </c>
      <c r="E63" s="116" t="s">
        <v>143</v>
      </c>
      <c r="F63" s="117" t="s">
        <v>145</v>
      </c>
      <c r="G63" s="118" t="s">
        <v>105</v>
      </c>
      <c r="H63" s="119">
        <v>-1</v>
      </c>
      <c r="I63" s="120">
        <v>46356</v>
      </c>
    </row>
    <row r="64" spans="3:9" x14ac:dyDescent="0.25">
      <c r="C64" s="130">
        <v>46165</v>
      </c>
      <c r="D64" s="131" t="s">
        <v>24</v>
      </c>
      <c r="E64" s="78" t="s">
        <v>59</v>
      </c>
      <c r="F64" s="80" t="s">
        <v>102</v>
      </c>
      <c r="G64" s="81" t="s">
        <v>105</v>
      </c>
      <c r="H64" s="82">
        <v>-1</v>
      </c>
      <c r="I64" s="131">
        <v>46387</v>
      </c>
    </row>
    <row r="65" spans="3:9" x14ac:dyDescent="0.25">
      <c r="C65" s="122">
        <v>46165</v>
      </c>
      <c r="D65" s="120" t="s">
        <v>14</v>
      </c>
      <c r="E65" s="116" t="s">
        <v>64</v>
      </c>
      <c r="F65" s="117" t="s">
        <v>102</v>
      </c>
      <c r="G65" s="118" t="s">
        <v>105</v>
      </c>
      <c r="H65" s="119">
        <v>-3</v>
      </c>
      <c r="I65" s="120">
        <v>46173</v>
      </c>
    </row>
    <row r="66" spans="3:9" x14ac:dyDescent="0.25">
      <c r="C66" s="130">
        <v>46165</v>
      </c>
      <c r="D66" s="131" t="s">
        <v>33</v>
      </c>
      <c r="E66" s="78" t="s">
        <v>46</v>
      </c>
      <c r="F66" s="80" t="s">
        <v>102</v>
      </c>
      <c r="G66" s="81" t="s">
        <v>105</v>
      </c>
      <c r="H66" s="82">
        <v>-4</v>
      </c>
      <c r="I66" s="131">
        <v>46275</v>
      </c>
    </row>
    <row r="67" spans="3:9" x14ac:dyDescent="0.25">
      <c r="C67" s="122">
        <v>46165</v>
      </c>
      <c r="D67" s="120" t="s">
        <v>52</v>
      </c>
      <c r="E67" s="116" t="s">
        <v>13</v>
      </c>
      <c r="F67" s="117" t="s">
        <v>102</v>
      </c>
      <c r="G67" s="118" t="s">
        <v>105</v>
      </c>
      <c r="H67" s="119">
        <v>-4</v>
      </c>
      <c r="I67" s="120">
        <v>46275</v>
      </c>
    </row>
    <row r="68" spans="3:9" x14ac:dyDescent="0.25">
      <c r="C68" s="130">
        <v>46165</v>
      </c>
      <c r="D68" s="131" t="s">
        <v>19</v>
      </c>
      <c r="E68" s="78" t="s">
        <v>61</v>
      </c>
      <c r="F68" s="80" t="s">
        <v>102</v>
      </c>
      <c r="G68" s="81" t="s">
        <v>105</v>
      </c>
      <c r="H68" s="82">
        <v>-1</v>
      </c>
      <c r="I68" s="131">
        <v>46300</v>
      </c>
    </row>
    <row r="69" spans="3:9" x14ac:dyDescent="0.25">
      <c r="C69" s="122">
        <v>46165</v>
      </c>
      <c r="D69" s="120" t="s">
        <v>48</v>
      </c>
      <c r="E69" s="116" t="s">
        <v>20</v>
      </c>
      <c r="F69" s="117" t="s">
        <v>145</v>
      </c>
      <c r="G69" s="118" t="s">
        <v>105</v>
      </c>
      <c r="H69" s="119">
        <v>-1</v>
      </c>
      <c r="I69" s="120">
        <v>46310</v>
      </c>
    </row>
    <row r="70" spans="3:9" x14ac:dyDescent="0.25">
      <c r="C70" s="130">
        <v>46165</v>
      </c>
      <c r="D70" s="131" t="s">
        <v>12</v>
      </c>
      <c r="E70" s="78" t="s">
        <v>65</v>
      </c>
      <c r="F70" s="80" t="s">
        <v>102</v>
      </c>
      <c r="G70" s="81" t="s">
        <v>105</v>
      </c>
      <c r="H70" s="82">
        <v>-1</v>
      </c>
      <c r="I70" s="131">
        <v>46568</v>
      </c>
    </row>
    <row r="71" spans="3:9" x14ac:dyDescent="0.25">
      <c r="C71" s="122">
        <v>46165</v>
      </c>
      <c r="D71" s="120" t="s">
        <v>28</v>
      </c>
      <c r="E71" s="116" t="s">
        <v>55</v>
      </c>
      <c r="F71" s="117" t="s">
        <v>145</v>
      </c>
      <c r="G71" s="118" t="s">
        <v>105</v>
      </c>
      <c r="H71" s="119">
        <v>-2</v>
      </c>
      <c r="I71" s="120">
        <v>46371</v>
      </c>
    </row>
    <row r="72" spans="3:9" x14ac:dyDescent="0.25">
      <c r="C72" s="130">
        <v>46165</v>
      </c>
      <c r="D72" s="131" t="s">
        <v>50</v>
      </c>
      <c r="E72" s="78" t="s">
        <v>15</v>
      </c>
      <c r="F72" s="80" t="s">
        <v>102</v>
      </c>
      <c r="G72" s="81" t="s">
        <v>105</v>
      </c>
      <c r="H72" s="82">
        <v>-3</v>
      </c>
      <c r="I72" s="131">
        <v>46300</v>
      </c>
    </row>
    <row r="73" spans="3:9" x14ac:dyDescent="0.25">
      <c r="C73" s="122">
        <v>46165</v>
      </c>
      <c r="D73" s="120" t="s">
        <v>41</v>
      </c>
      <c r="E73" s="116" t="s">
        <v>27</v>
      </c>
      <c r="F73" s="117" t="s">
        <v>102</v>
      </c>
      <c r="G73" s="118" t="s">
        <v>105</v>
      </c>
      <c r="H73" s="119">
        <v>-3</v>
      </c>
      <c r="I73" s="120">
        <v>46387</v>
      </c>
    </row>
    <row r="74" spans="3:9" x14ac:dyDescent="0.25">
      <c r="C74" s="130">
        <v>46165</v>
      </c>
      <c r="D74" s="131" t="s">
        <v>47</v>
      </c>
      <c r="E74" s="78" t="s">
        <v>23</v>
      </c>
      <c r="F74" s="80" t="s">
        <v>102</v>
      </c>
      <c r="G74" s="81" t="s">
        <v>105</v>
      </c>
      <c r="H74" s="82">
        <v>-3</v>
      </c>
      <c r="I74" s="131">
        <v>46173</v>
      </c>
    </row>
    <row r="75" spans="3:9" x14ac:dyDescent="0.25">
      <c r="C75" s="122">
        <v>46157</v>
      </c>
      <c r="D75" s="120" t="s">
        <v>29</v>
      </c>
      <c r="E75" s="116" t="s">
        <v>54</v>
      </c>
      <c r="F75" s="117" t="s">
        <v>102</v>
      </c>
      <c r="G75" s="118" t="s">
        <v>105</v>
      </c>
      <c r="H75" s="119">
        <v>-1</v>
      </c>
      <c r="I75" s="120">
        <v>46568</v>
      </c>
    </row>
    <row r="76" spans="3:9" x14ac:dyDescent="0.25">
      <c r="C76" s="130">
        <v>46151</v>
      </c>
      <c r="D76" s="131" t="s">
        <v>53</v>
      </c>
      <c r="E76" s="78" t="s">
        <v>10</v>
      </c>
      <c r="F76" s="80" t="s">
        <v>145</v>
      </c>
      <c r="G76" s="81" t="s">
        <v>141</v>
      </c>
      <c r="H76" s="82">
        <v>-2</v>
      </c>
      <c r="I76" s="131">
        <v>46356</v>
      </c>
    </row>
    <row r="77" spans="3:9" x14ac:dyDescent="0.25">
      <c r="C77" s="122">
        <v>46151</v>
      </c>
      <c r="D77" s="120" t="s">
        <v>29</v>
      </c>
      <c r="E77" s="116" t="s">
        <v>54</v>
      </c>
      <c r="F77" s="117" t="s">
        <v>102</v>
      </c>
      <c r="G77" s="118" t="s">
        <v>105</v>
      </c>
      <c r="H77" s="119">
        <v>-1</v>
      </c>
      <c r="I77" s="120">
        <v>46568</v>
      </c>
    </row>
    <row r="78" spans="3:9" x14ac:dyDescent="0.25">
      <c r="C78" s="130">
        <v>46151</v>
      </c>
      <c r="D78" s="131" t="s">
        <v>9</v>
      </c>
      <c r="E78" s="78" t="s">
        <v>67</v>
      </c>
      <c r="F78" s="80" t="s">
        <v>102</v>
      </c>
      <c r="G78" s="81" t="s">
        <v>105</v>
      </c>
      <c r="H78" s="82">
        <v>-2</v>
      </c>
      <c r="I78" s="131">
        <v>46173</v>
      </c>
    </row>
    <row r="79" spans="3:9" x14ac:dyDescent="0.25">
      <c r="C79" s="122">
        <v>46151</v>
      </c>
      <c r="D79" s="120" t="s">
        <v>40</v>
      </c>
      <c r="E79" s="116" t="s">
        <v>143</v>
      </c>
      <c r="F79" s="117" t="s">
        <v>145</v>
      </c>
      <c r="G79" s="118" t="s">
        <v>105</v>
      </c>
      <c r="H79" s="119">
        <v>-9</v>
      </c>
      <c r="I79" s="120">
        <v>46356</v>
      </c>
    </row>
    <row r="80" spans="3:9" x14ac:dyDescent="0.25">
      <c r="C80" s="130">
        <v>46151</v>
      </c>
      <c r="D80" s="131" t="s">
        <v>29</v>
      </c>
      <c r="E80" s="78" t="s">
        <v>54</v>
      </c>
      <c r="F80" s="80" t="s">
        <v>102</v>
      </c>
      <c r="G80" s="81" t="s">
        <v>105</v>
      </c>
      <c r="H80" s="82">
        <v>-5</v>
      </c>
      <c r="I80" s="131">
        <v>46568</v>
      </c>
    </row>
    <row r="81" spans="3:9" x14ac:dyDescent="0.25">
      <c r="C81" s="125">
        <v>46151</v>
      </c>
      <c r="D81" s="126" t="s">
        <v>53</v>
      </c>
      <c r="E81" s="86" t="s">
        <v>10</v>
      </c>
      <c r="F81" s="25" t="s">
        <v>145</v>
      </c>
      <c r="G81" s="90" t="s">
        <v>103</v>
      </c>
      <c r="H81" s="91">
        <v>100</v>
      </c>
      <c r="I81" s="126">
        <v>46356</v>
      </c>
    </row>
    <row r="82" spans="3:9" x14ac:dyDescent="0.25">
      <c r="C82" s="125">
        <v>46151</v>
      </c>
      <c r="D82" s="126" t="s">
        <v>17</v>
      </c>
      <c r="E82" s="86" t="s">
        <v>62</v>
      </c>
      <c r="F82" s="25" t="s">
        <v>145</v>
      </c>
      <c r="G82" s="90" t="s">
        <v>103</v>
      </c>
      <c r="H82" s="91">
        <v>20</v>
      </c>
      <c r="I82" s="126">
        <v>46341</v>
      </c>
    </row>
    <row r="83" spans="3:9" x14ac:dyDescent="0.25">
      <c r="C83" s="122">
        <v>46141</v>
      </c>
      <c r="D83" s="120" t="s">
        <v>35</v>
      </c>
      <c r="E83" s="116" t="s">
        <v>42</v>
      </c>
      <c r="F83" s="117" t="s">
        <v>102</v>
      </c>
      <c r="G83" s="118" t="s">
        <v>105</v>
      </c>
      <c r="H83" s="119">
        <v>-7</v>
      </c>
      <c r="I83" s="120">
        <v>46300</v>
      </c>
    </row>
    <row r="84" spans="3:9" x14ac:dyDescent="0.25">
      <c r="C84" s="130">
        <v>46141</v>
      </c>
      <c r="D84" s="131" t="s">
        <v>12</v>
      </c>
      <c r="E84" s="78" t="s">
        <v>65</v>
      </c>
      <c r="F84" s="80" t="s">
        <v>102</v>
      </c>
      <c r="G84" s="81" t="s">
        <v>105</v>
      </c>
      <c r="H84" s="82">
        <v>-2</v>
      </c>
      <c r="I84" s="131">
        <v>46568</v>
      </c>
    </row>
    <row r="85" spans="3:9" x14ac:dyDescent="0.25">
      <c r="C85" s="122">
        <v>46141</v>
      </c>
      <c r="D85" s="120" t="s">
        <v>35</v>
      </c>
      <c r="E85" s="116" t="s">
        <v>42</v>
      </c>
      <c r="F85" s="117" t="s">
        <v>102</v>
      </c>
      <c r="G85" s="118" t="s">
        <v>105</v>
      </c>
      <c r="H85" s="119">
        <v>-1</v>
      </c>
      <c r="I85" s="120">
        <v>46300</v>
      </c>
    </row>
    <row r="86" spans="3:9" x14ac:dyDescent="0.25">
      <c r="C86" s="130">
        <v>46141</v>
      </c>
      <c r="D86" s="131" t="s">
        <v>30</v>
      </c>
      <c r="E86" s="78" t="s">
        <v>51</v>
      </c>
      <c r="F86" s="80" t="s">
        <v>102</v>
      </c>
      <c r="G86" s="81" t="s">
        <v>105</v>
      </c>
      <c r="H86" s="82">
        <v>-1</v>
      </c>
      <c r="I86" s="131">
        <v>46173</v>
      </c>
    </row>
    <row r="87" spans="3:9" x14ac:dyDescent="0.25">
      <c r="C87" s="122">
        <v>46141</v>
      </c>
      <c r="D87" s="120" t="s">
        <v>52</v>
      </c>
      <c r="E87" s="116" t="s">
        <v>13</v>
      </c>
      <c r="F87" s="117" t="s">
        <v>102</v>
      </c>
      <c r="G87" s="118" t="s">
        <v>141</v>
      </c>
      <c r="H87" s="119">
        <v>-1</v>
      </c>
      <c r="I87" s="120">
        <v>46275</v>
      </c>
    </row>
    <row r="88" spans="3:9" x14ac:dyDescent="0.25">
      <c r="C88" s="130">
        <v>46141</v>
      </c>
      <c r="D88" s="131" t="s">
        <v>53</v>
      </c>
      <c r="E88" s="78" t="s">
        <v>10</v>
      </c>
      <c r="F88" s="80" t="s">
        <v>102</v>
      </c>
      <c r="G88" s="81" t="s">
        <v>141</v>
      </c>
      <c r="H88" s="82">
        <v>-1</v>
      </c>
      <c r="I88" s="131">
        <v>46173</v>
      </c>
    </row>
    <row r="89" spans="3:9" x14ac:dyDescent="0.25">
      <c r="C89" s="122">
        <v>46141</v>
      </c>
      <c r="D89" s="120" t="s">
        <v>43</v>
      </c>
      <c r="E89" s="116" t="s">
        <v>144</v>
      </c>
      <c r="F89" s="117" t="s">
        <v>145</v>
      </c>
      <c r="G89" s="118" t="s">
        <v>141</v>
      </c>
      <c r="H89" s="119">
        <v>-1</v>
      </c>
      <c r="I89" s="120">
        <v>46386</v>
      </c>
    </row>
    <row r="90" spans="3:9" x14ac:dyDescent="0.25">
      <c r="C90" s="130">
        <v>46135</v>
      </c>
      <c r="D90" s="131" t="s">
        <v>17</v>
      </c>
      <c r="E90" s="78" t="s">
        <v>62</v>
      </c>
      <c r="F90" s="80" t="s">
        <v>102</v>
      </c>
      <c r="G90" s="81" t="s">
        <v>105</v>
      </c>
      <c r="H90" s="82">
        <v>-5</v>
      </c>
      <c r="I90" s="131">
        <v>46387</v>
      </c>
    </row>
    <row r="91" spans="3:9" x14ac:dyDescent="0.25">
      <c r="C91" s="122">
        <v>46135</v>
      </c>
      <c r="D91" s="120" t="s">
        <v>29</v>
      </c>
      <c r="E91" s="116" t="s">
        <v>54</v>
      </c>
      <c r="F91" s="117" t="s">
        <v>102</v>
      </c>
      <c r="G91" s="118" t="s">
        <v>105</v>
      </c>
      <c r="H91" s="119">
        <v>-30</v>
      </c>
      <c r="I91" s="120">
        <v>46568</v>
      </c>
    </row>
    <row r="92" spans="3:9" x14ac:dyDescent="0.25">
      <c r="C92" s="130">
        <v>46135</v>
      </c>
      <c r="D92" s="131" t="s">
        <v>29</v>
      </c>
      <c r="E92" s="78" t="s">
        <v>54</v>
      </c>
      <c r="F92" s="80" t="s">
        <v>145</v>
      </c>
      <c r="G92" s="81" t="s">
        <v>105</v>
      </c>
      <c r="H92" s="82">
        <v>-10</v>
      </c>
      <c r="I92" s="131">
        <v>46325</v>
      </c>
    </row>
    <row r="93" spans="3:9" x14ac:dyDescent="0.25">
      <c r="C93" s="122">
        <v>46135</v>
      </c>
      <c r="D93" s="120" t="s">
        <v>38</v>
      </c>
      <c r="E93" s="116" t="s">
        <v>34</v>
      </c>
      <c r="F93" s="117" t="s">
        <v>102</v>
      </c>
      <c r="G93" s="118" t="s">
        <v>105</v>
      </c>
      <c r="H93" s="119">
        <v>-5</v>
      </c>
      <c r="I93" s="120">
        <v>46275</v>
      </c>
    </row>
    <row r="94" spans="3:9" x14ac:dyDescent="0.25">
      <c r="C94" s="130">
        <v>46135</v>
      </c>
      <c r="D94" s="131" t="s">
        <v>49</v>
      </c>
      <c r="E94" s="78" t="s">
        <v>18</v>
      </c>
      <c r="F94" s="80" t="s">
        <v>102</v>
      </c>
      <c r="G94" s="81" t="s">
        <v>105</v>
      </c>
      <c r="H94" s="82">
        <v>-9</v>
      </c>
      <c r="I94" s="131">
        <v>46387</v>
      </c>
    </row>
    <row r="95" spans="3:9" x14ac:dyDescent="0.25">
      <c r="C95" s="122">
        <v>46135</v>
      </c>
      <c r="D95" s="120" t="s">
        <v>53</v>
      </c>
      <c r="E95" s="116" t="s">
        <v>10</v>
      </c>
      <c r="F95" s="117" t="s">
        <v>102</v>
      </c>
      <c r="G95" s="118" t="s">
        <v>141</v>
      </c>
      <c r="H95" s="119">
        <v>-3</v>
      </c>
      <c r="I95" s="120">
        <v>46173</v>
      </c>
    </row>
    <row r="96" spans="3:9" x14ac:dyDescent="0.25">
      <c r="C96" s="130">
        <v>46127</v>
      </c>
      <c r="D96" s="131" t="s">
        <v>49</v>
      </c>
      <c r="E96" s="78" t="s">
        <v>18</v>
      </c>
      <c r="F96" s="80" t="s">
        <v>102</v>
      </c>
      <c r="G96" s="81" t="s">
        <v>105</v>
      </c>
      <c r="H96" s="82">
        <v>-5</v>
      </c>
      <c r="I96" s="131">
        <v>46387</v>
      </c>
    </row>
    <row r="97" spans="3:9" x14ac:dyDescent="0.25">
      <c r="C97" s="122">
        <v>46127</v>
      </c>
      <c r="D97" s="120" t="s">
        <v>48</v>
      </c>
      <c r="E97" s="116" t="s">
        <v>20</v>
      </c>
      <c r="F97" s="117" t="s">
        <v>145</v>
      </c>
      <c r="G97" s="118" t="s">
        <v>141</v>
      </c>
      <c r="H97" s="119">
        <v>-3</v>
      </c>
      <c r="I97" s="120">
        <v>46310</v>
      </c>
    </row>
    <row r="98" spans="3:9" x14ac:dyDescent="0.25">
      <c r="C98" s="130">
        <v>46127</v>
      </c>
      <c r="D98" s="131" t="s">
        <v>14</v>
      </c>
      <c r="E98" s="78" t="s">
        <v>64</v>
      </c>
      <c r="F98" s="80" t="s">
        <v>102</v>
      </c>
      <c r="G98" s="81" t="s">
        <v>105</v>
      </c>
      <c r="H98" s="82">
        <v>-5</v>
      </c>
      <c r="I98" s="131">
        <v>46173</v>
      </c>
    </row>
    <row r="99" spans="3:9" x14ac:dyDescent="0.25">
      <c r="C99" s="122">
        <v>46127</v>
      </c>
      <c r="D99" s="120" t="s">
        <v>45</v>
      </c>
      <c r="E99" s="116" t="s">
        <v>25</v>
      </c>
      <c r="F99" s="117" t="s">
        <v>102</v>
      </c>
      <c r="G99" s="118" t="s">
        <v>105</v>
      </c>
      <c r="H99" s="119">
        <v>-9</v>
      </c>
      <c r="I99" s="120">
        <v>46275</v>
      </c>
    </row>
    <row r="100" spans="3:9" x14ac:dyDescent="0.25">
      <c r="C100" s="125">
        <v>46127</v>
      </c>
      <c r="D100" s="133" t="s">
        <v>26</v>
      </c>
      <c r="E100" s="14" t="s">
        <v>57</v>
      </c>
      <c r="F100" s="36" t="s">
        <v>145</v>
      </c>
      <c r="G100" s="37" t="s">
        <v>103</v>
      </c>
      <c r="H100" s="38">
        <v>30</v>
      </c>
      <c r="I100" s="133">
        <v>46371</v>
      </c>
    </row>
    <row r="101" spans="3:9" x14ac:dyDescent="0.25">
      <c r="C101" s="130">
        <v>46121</v>
      </c>
      <c r="D101" s="131" t="s">
        <v>29</v>
      </c>
      <c r="E101" s="78" t="s">
        <v>54</v>
      </c>
      <c r="F101" s="80" t="s">
        <v>145</v>
      </c>
      <c r="G101" s="81" t="s">
        <v>146</v>
      </c>
      <c r="H101" s="82">
        <v>-3</v>
      </c>
      <c r="I101" s="131">
        <v>46325</v>
      </c>
    </row>
    <row r="102" spans="3:9" x14ac:dyDescent="0.25">
      <c r="C102" s="122">
        <v>46121</v>
      </c>
      <c r="D102" s="120" t="s">
        <v>35</v>
      </c>
      <c r="E102" s="116" t="s">
        <v>42</v>
      </c>
      <c r="F102" s="117" t="s">
        <v>102</v>
      </c>
      <c r="G102" s="118" t="s">
        <v>105</v>
      </c>
      <c r="H102" s="119">
        <v>-2</v>
      </c>
      <c r="I102" s="120">
        <v>46300</v>
      </c>
    </row>
    <row r="103" spans="3:9" x14ac:dyDescent="0.25">
      <c r="C103" s="130">
        <v>46121</v>
      </c>
      <c r="D103" s="131" t="s">
        <v>45</v>
      </c>
      <c r="E103" s="78" t="s">
        <v>25</v>
      </c>
      <c r="F103" s="80" t="s">
        <v>102</v>
      </c>
      <c r="G103" s="81" t="s">
        <v>105</v>
      </c>
      <c r="H103" s="82">
        <v>-10</v>
      </c>
      <c r="I103" s="131">
        <v>46275</v>
      </c>
    </row>
    <row r="104" spans="3:9" x14ac:dyDescent="0.25">
      <c r="C104" s="122">
        <v>46121</v>
      </c>
      <c r="D104" s="120" t="s">
        <v>9</v>
      </c>
      <c r="E104" s="116" t="s">
        <v>67</v>
      </c>
      <c r="F104" s="117" t="s">
        <v>145</v>
      </c>
      <c r="G104" s="118" t="s">
        <v>146</v>
      </c>
      <c r="H104" s="119">
        <v>-1</v>
      </c>
      <c r="I104" s="120">
        <v>46325</v>
      </c>
    </row>
    <row r="105" spans="3:9" x14ac:dyDescent="0.25">
      <c r="C105" s="130">
        <v>46121</v>
      </c>
      <c r="D105" s="131" t="s">
        <v>48</v>
      </c>
      <c r="E105" s="78" t="s">
        <v>20</v>
      </c>
      <c r="F105" s="80" t="s">
        <v>145</v>
      </c>
      <c r="G105" s="81" t="s">
        <v>105</v>
      </c>
      <c r="H105" s="82">
        <v>-1</v>
      </c>
      <c r="I105" s="131">
        <v>46310</v>
      </c>
    </row>
    <row r="106" spans="3:9" x14ac:dyDescent="0.25">
      <c r="C106" s="125">
        <v>46120</v>
      </c>
      <c r="D106" s="126" t="s">
        <v>43</v>
      </c>
      <c r="E106" s="86" t="s">
        <v>144</v>
      </c>
      <c r="F106" s="25" t="s">
        <v>145</v>
      </c>
      <c r="G106" s="90" t="s">
        <v>103</v>
      </c>
      <c r="H106" s="91">
        <v>30</v>
      </c>
      <c r="I106" s="126">
        <v>46386</v>
      </c>
    </row>
    <row r="107" spans="3:9" x14ac:dyDescent="0.25">
      <c r="C107" s="122">
        <v>46119</v>
      </c>
      <c r="D107" s="115" t="s">
        <v>9</v>
      </c>
      <c r="E107" s="116" t="s">
        <v>67</v>
      </c>
      <c r="F107" s="117" t="s">
        <v>145</v>
      </c>
      <c r="G107" s="118" t="s">
        <v>146</v>
      </c>
      <c r="H107" s="119">
        <v>-1</v>
      </c>
      <c r="I107" s="120">
        <v>46325</v>
      </c>
    </row>
    <row r="108" spans="3:9" x14ac:dyDescent="0.25">
      <c r="C108" s="84">
        <v>46116</v>
      </c>
      <c r="D108" s="79" t="s">
        <v>22</v>
      </c>
      <c r="E108" s="78" t="s">
        <v>60</v>
      </c>
      <c r="F108" s="80" t="s">
        <v>102</v>
      </c>
      <c r="G108" s="81" t="s">
        <v>105</v>
      </c>
      <c r="H108" s="82">
        <v>-5</v>
      </c>
      <c r="I108" s="79">
        <v>46275</v>
      </c>
    </row>
    <row r="109" spans="3:9" x14ac:dyDescent="0.25">
      <c r="C109" s="92">
        <v>46113</v>
      </c>
      <c r="D109" s="87" t="s">
        <v>9</v>
      </c>
      <c r="E109" s="70" t="s">
        <v>67</v>
      </c>
      <c r="F109" s="71" t="s">
        <v>102</v>
      </c>
      <c r="G109" s="72" t="s">
        <v>105</v>
      </c>
      <c r="H109" s="73">
        <v>-10</v>
      </c>
      <c r="I109" s="87">
        <v>46173</v>
      </c>
    </row>
    <row r="110" spans="3:9" x14ac:dyDescent="0.25">
      <c r="C110" s="84">
        <v>46113</v>
      </c>
      <c r="D110" s="79" t="s">
        <v>12</v>
      </c>
      <c r="E110" s="78" t="s">
        <v>65</v>
      </c>
      <c r="F110" s="80" t="s">
        <v>102</v>
      </c>
      <c r="G110" s="81" t="s">
        <v>105</v>
      </c>
      <c r="H110" s="82">
        <v>-1</v>
      </c>
      <c r="I110" s="79">
        <v>46568</v>
      </c>
    </row>
    <row r="111" spans="3:9" x14ac:dyDescent="0.25">
      <c r="C111" s="92">
        <v>46113</v>
      </c>
      <c r="D111" s="87" t="s">
        <v>53</v>
      </c>
      <c r="E111" s="70" t="s">
        <v>10</v>
      </c>
      <c r="F111" s="71" t="s">
        <v>102</v>
      </c>
      <c r="G111" s="72" t="s">
        <v>105</v>
      </c>
      <c r="H111" s="73">
        <v>-26</v>
      </c>
      <c r="I111" s="87">
        <v>46173</v>
      </c>
    </row>
    <row r="112" spans="3:9" x14ac:dyDescent="0.25">
      <c r="C112" s="84">
        <v>46112</v>
      </c>
      <c r="D112" s="79" t="s">
        <v>17</v>
      </c>
      <c r="E112" s="78" t="s">
        <v>62</v>
      </c>
      <c r="F112" s="80" t="s">
        <v>102</v>
      </c>
      <c r="G112" s="81" t="s">
        <v>105</v>
      </c>
      <c r="H112" s="82">
        <v>-8</v>
      </c>
      <c r="I112" s="79">
        <v>46387</v>
      </c>
    </row>
    <row r="113" spans="3:9" x14ac:dyDescent="0.25">
      <c r="C113" s="92">
        <v>46111</v>
      </c>
      <c r="D113" s="87" t="s">
        <v>19</v>
      </c>
      <c r="E113" s="70" t="s">
        <v>61</v>
      </c>
      <c r="F113" s="71" t="s">
        <v>102</v>
      </c>
      <c r="G113" s="72" t="s">
        <v>146</v>
      </c>
      <c r="H113" s="73">
        <v>-1</v>
      </c>
      <c r="I113" s="87">
        <v>46300</v>
      </c>
    </row>
    <row r="114" spans="3:9" x14ac:dyDescent="0.25">
      <c r="C114" s="84">
        <v>46109</v>
      </c>
      <c r="D114" s="79" t="s">
        <v>26</v>
      </c>
      <c r="E114" s="78" t="s">
        <v>57</v>
      </c>
      <c r="F114" s="80" t="s">
        <v>102</v>
      </c>
      <c r="G114" s="81" t="s">
        <v>146</v>
      </c>
      <c r="H114" s="82">
        <v>-1</v>
      </c>
      <c r="I114" s="79">
        <v>46173</v>
      </c>
    </row>
    <row r="115" spans="3:9" x14ac:dyDescent="0.25">
      <c r="C115" s="92">
        <v>46109</v>
      </c>
      <c r="D115" s="87" t="s">
        <v>43</v>
      </c>
      <c r="E115" s="70" t="s">
        <v>144</v>
      </c>
      <c r="F115" s="71" t="s">
        <v>102</v>
      </c>
      <c r="G115" s="72" t="s">
        <v>105</v>
      </c>
      <c r="H115" s="73">
        <v>-6</v>
      </c>
      <c r="I115" s="87">
        <v>46300</v>
      </c>
    </row>
    <row r="116" spans="3:9" x14ac:dyDescent="0.25">
      <c r="C116" s="84">
        <v>46109</v>
      </c>
      <c r="D116" s="79" t="s">
        <v>47</v>
      </c>
      <c r="E116" s="78" t="s">
        <v>23</v>
      </c>
      <c r="F116" s="80" t="s">
        <v>102</v>
      </c>
      <c r="G116" s="81" t="s">
        <v>105</v>
      </c>
      <c r="H116" s="82">
        <v>-1</v>
      </c>
      <c r="I116" s="79">
        <v>46173</v>
      </c>
    </row>
    <row r="117" spans="3:9" x14ac:dyDescent="0.25">
      <c r="C117" s="92">
        <v>46108</v>
      </c>
      <c r="D117" s="87" t="s">
        <v>39</v>
      </c>
      <c r="E117" s="70" t="s">
        <v>31</v>
      </c>
      <c r="F117" s="71" t="s">
        <v>102</v>
      </c>
      <c r="G117" s="72" t="s">
        <v>105</v>
      </c>
      <c r="H117" s="73">
        <v>-1</v>
      </c>
      <c r="I117" s="87">
        <v>46300</v>
      </c>
    </row>
    <row r="118" spans="3:9" x14ac:dyDescent="0.25">
      <c r="C118" s="84">
        <v>46108</v>
      </c>
      <c r="D118" s="79" t="s">
        <v>48</v>
      </c>
      <c r="E118" s="78" t="s">
        <v>20</v>
      </c>
      <c r="F118" s="80" t="s">
        <v>145</v>
      </c>
      <c r="G118" s="81" t="s">
        <v>105</v>
      </c>
      <c r="H118" s="82">
        <v>-8</v>
      </c>
      <c r="I118" s="79">
        <v>46310</v>
      </c>
    </row>
    <row r="119" spans="3:9" x14ac:dyDescent="0.25">
      <c r="C119" s="92">
        <v>46106</v>
      </c>
      <c r="D119" s="87" t="s">
        <v>19</v>
      </c>
      <c r="E119" s="70" t="s">
        <v>61</v>
      </c>
      <c r="F119" s="71" t="s">
        <v>102</v>
      </c>
      <c r="G119" s="72" t="s">
        <v>141</v>
      </c>
      <c r="H119" s="73">
        <v>-1</v>
      </c>
      <c r="I119" s="87">
        <v>46300</v>
      </c>
    </row>
    <row r="120" spans="3:9" x14ac:dyDescent="0.25">
      <c r="C120" s="84">
        <v>46105</v>
      </c>
      <c r="D120" s="79" t="s">
        <v>45</v>
      </c>
      <c r="E120" s="78" t="s">
        <v>25</v>
      </c>
      <c r="F120" s="80" t="s">
        <v>102</v>
      </c>
      <c r="G120" s="81" t="s">
        <v>105</v>
      </c>
      <c r="H120" s="82">
        <v>-3</v>
      </c>
      <c r="I120" s="79">
        <v>46275</v>
      </c>
    </row>
    <row r="121" spans="3:9" x14ac:dyDescent="0.25">
      <c r="C121" s="89">
        <v>46103</v>
      </c>
      <c r="D121" s="77" t="s">
        <v>50</v>
      </c>
      <c r="E121" s="14" t="s">
        <v>15</v>
      </c>
      <c r="F121" s="36" t="s">
        <v>145</v>
      </c>
      <c r="G121" s="37" t="s">
        <v>103</v>
      </c>
      <c r="H121" s="38">
        <v>40</v>
      </c>
      <c r="I121" s="77">
        <v>46356</v>
      </c>
    </row>
    <row r="122" spans="3:9" x14ac:dyDescent="0.25">
      <c r="C122" s="92">
        <v>46101</v>
      </c>
      <c r="D122" s="87" t="s">
        <v>48</v>
      </c>
      <c r="E122" s="70" t="s">
        <v>20</v>
      </c>
      <c r="F122" s="71" t="s">
        <v>145</v>
      </c>
      <c r="G122" s="72" t="s">
        <v>105</v>
      </c>
      <c r="H122" s="73">
        <v>-2</v>
      </c>
      <c r="I122" s="87">
        <v>46310</v>
      </c>
    </row>
    <row r="123" spans="3:9" x14ac:dyDescent="0.25">
      <c r="C123" s="84">
        <v>46100</v>
      </c>
      <c r="D123" s="79" t="s">
        <v>43</v>
      </c>
      <c r="E123" s="78" t="s">
        <v>144</v>
      </c>
      <c r="F123" s="80" t="s">
        <v>102</v>
      </c>
      <c r="G123" s="81" t="s">
        <v>105</v>
      </c>
      <c r="H123" s="82">
        <v>-2</v>
      </c>
      <c r="I123" s="79">
        <v>46300</v>
      </c>
    </row>
    <row r="124" spans="3:9" x14ac:dyDescent="0.25">
      <c r="C124" s="92">
        <v>46100</v>
      </c>
      <c r="D124" s="87" t="s">
        <v>45</v>
      </c>
      <c r="E124" s="70" t="s">
        <v>25</v>
      </c>
      <c r="F124" s="71" t="s">
        <v>102</v>
      </c>
      <c r="G124" s="72" t="s">
        <v>105</v>
      </c>
      <c r="H124" s="73">
        <v>-6</v>
      </c>
      <c r="I124" s="87">
        <v>46275</v>
      </c>
    </row>
    <row r="125" spans="3:9" x14ac:dyDescent="0.25">
      <c r="C125" s="84">
        <v>46100</v>
      </c>
      <c r="D125" s="79" t="s">
        <v>38</v>
      </c>
      <c r="E125" s="78" t="s">
        <v>34</v>
      </c>
      <c r="F125" s="80" t="s">
        <v>102</v>
      </c>
      <c r="G125" s="81" t="s">
        <v>105</v>
      </c>
      <c r="H125" s="82">
        <v>-8</v>
      </c>
      <c r="I125" s="79">
        <v>46275</v>
      </c>
    </row>
    <row r="126" spans="3:9" x14ac:dyDescent="0.25">
      <c r="C126" s="92">
        <v>46100</v>
      </c>
      <c r="D126" s="87" t="s">
        <v>28</v>
      </c>
      <c r="E126" s="70" t="s">
        <v>55</v>
      </c>
      <c r="F126" s="71" t="s">
        <v>145</v>
      </c>
      <c r="G126" s="72" t="s">
        <v>141</v>
      </c>
      <c r="H126" s="73">
        <v>-1</v>
      </c>
      <c r="I126" s="87">
        <v>46371</v>
      </c>
    </row>
    <row r="127" spans="3:9" x14ac:dyDescent="0.25">
      <c r="C127" s="84">
        <v>46096</v>
      </c>
      <c r="D127" s="79" t="s">
        <v>41</v>
      </c>
      <c r="E127" s="78" t="s">
        <v>27</v>
      </c>
      <c r="F127" s="80" t="s">
        <v>102</v>
      </c>
      <c r="G127" s="81" t="s">
        <v>105</v>
      </c>
      <c r="H127" s="82">
        <v>-1</v>
      </c>
      <c r="I127" s="79">
        <v>46387</v>
      </c>
    </row>
    <row r="128" spans="3:9" x14ac:dyDescent="0.25">
      <c r="C128" s="92">
        <v>46096</v>
      </c>
      <c r="D128" s="87" t="s">
        <v>29</v>
      </c>
      <c r="E128" s="70" t="s">
        <v>54</v>
      </c>
      <c r="F128" s="71" t="s">
        <v>145</v>
      </c>
      <c r="G128" s="72" t="s">
        <v>105</v>
      </c>
      <c r="H128" s="73">
        <v>-7</v>
      </c>
      <c r="I128" s="87">
        <v>46325</v>
      </c>
    </row>
    <row r="129" spans="3:9" x14ac:dyDescent="0.25">
      <c r="C129" s="84">
        <v>46096</v>
      </c>
      <c r="D129" s="79" t="s">
        <v>36</v>
      </c>
      <c r="E129" s="78" t="s">
        <v>37</v>
      </c>
      <c r="F129" s="80" t="s">
        <v>102</v>
      </c>
      <c r="G129" s="81" t="s">
        <v>105</v>
      </c>
      <c r="H129" s="82">
        <v>-3</v>
      </c>
      <c r="I129" s="79">
        <v>46387</v>
      </c>
    </row>
    <row r="130" spans="3:9" x14ac:dyDescent="0.25">
      <c r="C130" s="92">
        <v>46096</v>
      </c>
      <c r="D130" s="87" t="s">
        <v>52</v>
      </c>
      <c r="E130" s="70" t="s">
        <v>13</v>
      </c>
      <c r="F130" s="71" t="s">
        <v>102</v>
      </c>
      <c r="G130" s="72" t="s">
        <v>105</v>
      </c>
      <c r="H130" s="73">
        <v>-2</v>
      </c>
      <c r="I130" s="87">
        <v>46275</v>
      </c>
    </row>
    <row r="131" spans="3:9" x14ac:dyDescent="0.25">
      <c r="C131" s="89">
        <v>46096</v>
      </c>
      <c r="D131" s="85" t="s">
        <v>48</v>
      </c>
      <c r="E131" s="86" t="s">
        <v>20</v>
      </c>
      <c r="F131" s="25" t="s">
        <v>145</v>
      </c>
      <c r="G131" s="90" t="s">
        <v>103</v>
      </c>
      <c r="H131" s="91">
        <v>30</v>
      </c>
      <c r="I131" s="85">
        <v>46310</v>
      </c>
    </row>
    <row r="132" spans="3:9" x14ac:dyDescent="0.25">
      <c r="C132" s="89">
        <v>46096</v>
      </c>
      <c r="D132" s="85" t="s">
        <v>28</v>
      </c>
      <c r="E132" s="86" t="s">
        <v>55</v>
      </c>
      <c r="F132" s="25" t="s">
        <v>145</v>
      </c>
      <c r="G132" s="90" t="s">
        <v>103</v>
      </c>
      <c r="H132" s="91">
        <v>30</v>
      </c>
      <c r="I132" s="85">
        <v>46371</v>
      </c>
    </row>
    <row r="133" spans="3:9" x14ac:dyDescent="0.25">
      <c r="C133" s="84">
        <v>46095</v>
      </c>
      <c r="D133" s="79" t="s">
        <v>45</v>
      </c>
      <c r="E133" s="78" t="s">
        <v>25</v>
      </c>
      <c r="F133" s="80" t="s">
        <v>102</v>
      </c>
      <c r="G133" s="81" t="s">
        <v>105</v>
      </c>
      <c r="H133" s="82">
        <v>-5</v>
      </c>
      <c r="I133" s="79">
        <v>46275</v>
      </c>
    </row>
    <row r="134" spans="3:9" x14ac:dyDescent="0.25">
      <c r="C134" s="92">
        <v>46093</v>
      </c>
      <c r="D134" s="87" t="s">
        <v>30</v>
      </c>
      <c r="E134" s="70" t="s">
        <v>51</v>
      </c>
      <c r="F134" s="71" t="s">
        <v>102</v>
      </c>
      <c r="G134" s="72" t="s">
        <v>105</v>
      </c>
      <c r="H134" s="73">
        <v>-2</v>
      </c>
      <c r="I134" s="87">
        <v>46173</v>
      </c>
    </row>
    <row r="135" spans="3:9" x14ac:dyDescent="0.25">
      <c r="C135" s="84">
        <v>46091</v>
      </c>
      <c r="D135" s="79" t="s">
        <v>26</v>
      </c>
      <c r="E135" s="78" t="s">
        <v>57</v>
      </c>
      <c r="F135" s="80" t="s">
        <v>102</v>
      </c>
      <c r="G135" s="81" t="s">
        <v>105</v>
      </c>
      <c r="H135" s="82">
        <v>-17</v>
      </c>
      <c r="I135" s="79">
        <v>46173</v>
      </c>
    </row>
    <row r="136" spans="3:9" x14ac:dyDescent="0.25">
      <c r="C136" s="92">
        <v>46091</v>
      </c>
      <c r="D136" s="87" t="s">
        <v>24</v>
      </c>
      <c r="E136" s="70" t="s">
        <v>59</v>
      </c>
      <c r="F136" s="71" t="s">
        <v>102</v>
      </c>
      <c r="G136" s="72" t="s">
        <v>105</v>
      </c>
      <c r="H136" s="73">
        <v>-1</v>
      </c>
      <c r="I136" s="87">
        <v>46387</v>
      </c>
    </row>
    <row r="137" spans="3:9" x14ac:dyDescent="0.25">
      <c r="C137" s="89">
        <v>46089</v>
      </c>
      <c r="D137" s="85" t="s">
        <v>24</v>
      </c>
      <c r="E137" s="86" t="s">
        <v>59</v>
      </c>
      <c r="F137" s="25" t="s">
        <v>102</v>
      </c>
      <c r="G137" s="90" t="s">
        <v>103</v>
      </c>
      <c r="H137" s="91">
        <v>45</v>
      </c>
      <c r="I137" s="85">
        <v>46387</v>
      </c>
    </row>
    <row r="138" spans="3:9" x14ac:dyDescent="0.25">
      <c r="C138" s="89">
        <v>46089</v>
      </c>
      <c r="D138" s="85" t="s">
        <v>9</v>
      </c>
      <c r="E138" s="86" t="s">
        <v>67</v>
      </c>
      <c r="F138" s="25" t="s">
        <v>145</v>
      </c>
      <c r="G138" s="90" t="s">
        <v>103</v>
      </c>
      <c r="H138" s="91">
        <v>50</v>
      </c>
      <c r="I138" s="85">
        <v>46325</v>
      </c>
    </row>
    <row r="139" spans="3:9" x14ac:dyDescent="0.25">
      <c r="C139" s="84">
        <v>46088</v>
      </c>
      <c r="D139" s="79" t="s">
        <v>39</v>
      </c>
      <c r="E139" s="78" t="s">
        <v>31</v>
      </c>
      <c r="F139" s="80" t="s">
        <v>102</v>
      </c>
      <c r="G139" s="81" t="s">
        <v>105</v>
      </c>
      <c r="H139" s="82">
        <v>-2</v>
      </c>
      <c r="I139" s="79">
        <v>46300</v>
      </c>
    </row>
    <row r="140" spans="3:9" x14ac:dyDescent="0.25">
      <c r="C140" s="92">
        <v>46087</v>
      </c>
      <c r="D140" s="87" t="s">
        <v>33</v>
      </c>
      <c r="E140" s="70" t="s">
        <v>46</v>
      </c>
      <c r="F140" s="71" t="s">
        <v>102</v>
      </c>
      <c r="G140" s="72" t="s">
        <v>105</v>
      </c>
      <c r="H140" s="73">
        <v>-2</v>
      </c>
      <c r="I140" s="87">
        <v>46275</v>
      </c>
    </row>
    <row r="141" spans="3:9" x14ac:dyDescent="0.25">
      <c r="C141" s="84">
        <v>46087</v>
      </c>
      <c r="D141" s="79" t="s">
        <v>53</v>
      </c>
      <c r="E141" s="78" t="s">
        <v>10</v>
      </c>
      <c r="F141" s="80" t="s">
        <v>102</v>
      </c>
      <c r="G141" s="81" t="s">
        <v>105</v>
      </c>
      <c r="H141" s="82">
        <v>-32</v>
      </c>
      <c r="I141" s="79">
        <v>46173</v>
      </c>
    </row>
    <row r="142" spans="3:9" x14ac:dyDescent="0.25">
      <c r="C142" s="92">
        <v>46084</v>
      </c>
      <c r="D142" s="87" t="s">
        <v>17</v>
      </c>
      <c r="E142" s="70" t="s">
        <v>62</v>
      </c>
      <c r="F142" s="71" t="s">
        <v>102</v>
      </c>
      <c r="G142" s="72" t="s">
        <v>105</v>
      </c>
      <c r="H142" s="73">
        <v>-6</v>
      </c>
      <c r="I142" s="87">
        <v>46387</v>
      </c>
    </row>
    <row r="143" spans="3:9" x14ac:dyDescent="0.25">
      <c r="C143" s="84">
        <v>46082</v>
      </c>
      <c r="D143" s="79" t="s">
        <v>36</v>
      </c>
      <c r="E143" s="78" t="s">
        <v>37</v>
      </c>
      <c r="F143" s="80" t="s">
        <v>102</v>
      </c>
      <c r="G143" s="81" t="s">
        <v>105</v>
      </c>
      <c r="H143" s="82">
        <v>-4</v>
      </c>
      <c r="I143" s="79">
        <v>46387</v>
      </c>
    </row>
    <row r="144" spans="3:9" x14ac:dyDescent="0.25">
      <c r="C144" s="89">
        <v>46082</v>
      </c>
      <c r="D144" s="77" t="s">
        <v>40</v>
      </c>
      <c r="E144" s="14" t="s">
        <v>143</v>
      </c>
      <c r="F144" s="36" t="s">
        <v>145</v>
      </c>
      <c r="G144" s="37" t="s">
        <v>103</v>
      </c>
      <c r="H144" s="38">
        <v>25</v>
      </c>
      <c r="I144" s="77">
        <v>46356</v>
      </c>
    </row>
    <row r="145" spans="3:9" x14ac:dyDescent="0.25">
      <c r="C145" s="92">
        <v>46081</v>
      </c>
      <c r="D145" s="87" t="s">
        <v>39</v>
      </c>
      <c r="E145" s="70" t="s">
        <v>31</v>
      </c>
      <c r="F145" s="71" t="s">
        <v>102</v>
      </c>
      <c r="G145" s="72" t="s">
        <v>105</v>
      </c>
      <c r="H145" s="73">
        <v>-5</v>
      </c>
      <c r="I145" s="87">
        <v>46300</v>
      </c>
    </row>
    <row r="146" spans="3:9" x14ac:dyDescent="0.25">
      <c r="C146" s="84">
        <v>46081</v>
      </c>
      <c r="D146" s="79" t="s">
        <v>36</v>
      </c>
      <c r="E146" s="78" t="s">
        <v>37</v>
      </c>
      <c r="F146" s="80" t="s">
        <v>102</v>
      </c>
      <c r="G146" s="81" t="s">
        <v>105</v>
      </c>
      <c r="H146" s="82">
        <v>-5</v>
      </c>
      <c r="I146" s="79">
        <v>46387</v>
      </c>
    </row>
    <row r="147" spans="3:9" x14ac:dyDescent="0.25">
      <c r="C147" s="92">
        <v>46080</v>
      </c>
      <c r="D147" s="87" t="s">
        <v>14</v>
      </c>
      <c r="E147" s="70" t="s">
        <v>64</v>
      </c>
      <c r="F147" s="71" t="s">
        <v>102</v>
      </c>
      <c r="G147" s="72" t="s">
        <v>146</v>
      </c>
      <c r="H147" s="73">
        <v>-1</v>
      </c>
      <c r="I147" s="87">
        <v>46173</v>
      </c>
    </row>
    <row r="148" spans="3:9" x14ac:dyDescent="0.25">
      <c r="C148" s="84">
        <v>46080</v>
      </c>
      <c r="D148" s="79" t="s">
        <v>28</v>
      </c>
      <c r="E148" s="78" t="s">
        <v>55</v>
      </c>
      <c r="F148" s="80" t="s">
        <v>102</v>
      </c>
      <c r="G148" s="81" t="s">
        <v>105</v>
      </c>
      <c r="H148" s="82">
        <v>-5</v>
      </c>
      <c r="I148" s="79">
        <v>46387</v>
      </c>
    </row>
    <row r="149" spans="3:9" x14ac:dyDescent="0.25">
      <c r="C149" s="92">
        <v>46075</v>
      </c>
      <c r="D149" s="87" t="s">
        <v>30</v>
      </c>
      <c r="E149" s="70" t="s">
        <v>51</v>
      </c>
      <c r="F149" s="71" t="s">
        <v>102</v>
      </c>
      <c r="G149" s="72" t="s">
        <v>105</v>
      </c>
      <c r="H149" s="73">
        <v>-1</v>
      </c>
      <c r="I149" s="87">
        <v>46173</v>
      </c>
    </row>
    <row r="150" spans="3:9" x14ac:dyDescent="0.25">
      <c r="C150" s="84">
        <v>46074</v>
      </c>
      <c r="D150" s="79" t="s">
        <v>39</v>
      </c>
      <c r="E150" s="78" t="s">
        <v>31</v>
      </c>
      <c r="F150" s="80" t="s">
        <v>102</v>
      </c>
      <c r="G150" s="81" t="s">
        <v>141</v>
      </c>
      <c r="H150" s="82">
        <v>-1</v>
      </c>
      <c r="I150" s="79">
        <v>46300</v>
      </c>
    </row>
    <row r="151" spans="3:9" x14ac:dyDescent="0.25">
      <c r="C151" s="92">
        <v>46074</v>
      </c>
      <c r="D151" s="87" t="s">
        <v>40</v>
      </c>
      <c r="E151" s="70" t="s">
        <v>143</v>
      </c>
      <c r="F151" s="71" t="s">
        <v>102</v>
      </c>
      <c r="G151" s="72" t="s">
        <v>105</v>
      </c>
      <c r="H151" s="73">
        <v>-7</v>
      </c>
      <c r="I151" s="87">
        <v>46568</v>
      </c>
    </row>
    <row r="152" spans="3:9" x14ac:dyDescent="0.25">
      <c r="C152" s="84">
        <v>46073</v>
      </c>
      <c r="D152" s="79" t="s">
        <v>28</v>
      </c>
      <c r="E152" s="78" t="s">
        <v>55</v>
      </c>
      <c r="F152" s="80" t="s">
        <v>102</v>
      </c>
      <c r="G152" s="81" t="s">
        <v>105</v>
      </c>
      <c r="H152" s="82">
        <v>-1</v>
      </c>
      <c r="I152" s="79">
        <v>46387</v>
      </c>
    </row>
    <row r="153" spans="3:9" x14ac:dyDescent="0.25">
      <c r="C153" s="92">
        <v>46072</v>
      </c>
      <c r="D153" s="87" t="s">
        <v>39</v>
      </c>
      <c r="E153" s="70" t="s">
        <v>31</v>
      </c>
      <c r="F153" s="71" t="s">
        <v>102</v>
      </c>
      <c r="G153" s="72" t="s">
        <v>105</v>
      </c>
      <c r="H153" s="73">
        <v>-1</v>
      </c>
      <c r="I153" s="87">
        <v>46300</v>
      </c>
    </row>
    <row r="154" spans="3:9" x14ac:dyDescent="0.25">
      <c r="C154" s="84">
        <v>46070</v>
      </c>
      <c r="D154" s="79" t="s">
        <v>43</v>
      </c>
      <c r="E154" s="78" t="s">
        <v>144</v>
      </c>
      <c r="F154" s="80" t="s">
        <v>102</v>
      </c>
      <c r="G154" s="81" t="s">
        <v>146</v>
      </c>
      <c r="H154" s="82">
        <v>-1</v>
      </c>
      <c r="I154" s="79">
        <v>46300</v>
      </c>
    </row>
    <row r="155" spans="3:9" x14ac:dyDescent="0.25">
      <c r="C155" s="89">
        <v>46068</v>
      </c>
      <c r="D155" s="77" t="s">
        <v>22</v>
      </c>
      <c r="E155" s="14" t="s">
        <v>60</v>
      </c>
      <c r="F155" s="36" t="s">
        <v>145</v>
      </c>
      <c r="G155" s="37" t="s">
        <v>103</v>
      </c>
      <c r="H155" s="38">
        <v>40</v>
      </c>
      <c r="I155" s="77">
        <v>46356</v>
      </c>
    </row>
    <row r="156" spans="3:9" x14ac:dyDescent="0.25">
      <c r="C156" s="92">
        <v>46036</v>
      </c>
      <c r="D156" s="87" t="s">
        <v>43</v>
      </c>
      <c r="E156" s="70" t="s">
        <v>144</v>
      </c>
      <c r="F156" s="71" t="s">
        <v>102</v>
      </c>
      <c r="G156" s="72" t="s">
        <v>105</v>
      </c>
      <c r="H156" s="73">
        <v>-5</v>
      </c>
      <c r="I156" s="87">
        <v>46300</v>
      </c>
    </row>
    <row r="157" spans="3:9" x14ac:dyDescent="0.25">
      <c r="C157" s="84">
        <v>46066</v>
      </c>
      <c r="D157" s="79" t="s">
        <v>45</v>
      </c>
      <c r="E157" s="78" t="s">
        <v>25</v>
      </c>
      <c r="F157" s="80" t="s">
        <v>102</v>
      </c>
      <c r="G157" s="81" t="s">
        <v>105</v>
      </c>
      <c r="H157" s="82">
        <v>-4</v>
      </c>
      <c r="I157" s="79">
        <v>46275</v>
      </c>
    </row>
    <row r="158" spans="3:9" x14ac:dyDescent="0.25">
      <c r="C158" s="92">
        <v>46066</v>
      </c>
      <c r="D158" s="87" t="s">
        <v>33</v>
      </c>
      <c r="E158" s="70" t="s">
        <v>46</v>
      </c>
      <c r="F158" s="71" t="s">
        <v>102</v>
      </c>
      <c r="G158" s="72" t="s">
        <v>105</v>
      </c>
      <c r="H158" s="73">
        <v>-4</v>
      </c>
      <c r="I158" s="87">
        <v>46275</v>
      </c>
    </row>
    <row r="159" spans="3:9" x14ac:dyDescent="0.25">
      <c r="C159" s="84">
        <v>46065</v>
      </c>
      <c r="D159" s="79" t="s">
        <v>19</v>
      </c>
      <c r="E159" s="78" t="s">
        <v>61</v>
      </c>
      <c r="F159" s="80" t="s">
        <v>102</v>
      </c>
      <c r="G159" s="81" t="s">
        <v>105</v>
      </c>
      <c r="H159" s="82">
        <v>-2</v>
      </c>
      <c r="I159" s="79">
        <v>46300</v>
      </c>
    </row>
    <row r="160" spans="3:9" x14ac:dyDescent="0.25">
      <c r="C160" s="92">
        <v>46062</v>
      </c>
      <c r="D160" s="87" t="s">
        <v>22</v>
      </c>
      <c r="E160" s="70" t="s">
        <v>60</v>
      </c>
      <c r="F160" s="71" t="s">
        <v>102</v>
      </c>
      <c r="G160" s="72" t="s">
        <v>146</v>
      </c>
      <c r="H160" s="73">
        <v>-1</v>
      </c>
      <c r="I160" s="87">
        <v>46275</v>
      </c>
    </row>
    <row r="161" spans="3:9" x14ac:dyDescent="0.25">
      <c r="C161" s="84">
        <v>46062</v>
      </c>
      <c r="D161" s="79" t="s">
        <v>43</v>
      </c>
      <c r="E161" s="78" t="s">
        <v>144</v>
      </c>
      <c r="F161" s="80" t="s">
        <v>102</v>
      </c>
      <c r="G161" s="81" t="s">
        <v>105</v>
      </c>
      <c r="H161" s="82">
        <v>-3</v>
      </c>
      <c r="I161" s="79">
        <v>46300</v>
      </c>
    </row>
    <row r="162" spans="3:9" x14ac:dyDescent="0.25">
      <c r="C162" s="92">
        <v>46061</v>
      </c>
      <c r="D162" s="87" t="s">
        <v>48</v>
      </c>
      <c r="E162" s="70" t="s">
        <v>20</v>
      </c>
      <c r="F162" s="71" t="s">
        <v>102</v>
      </c>
      <c r="G162" s="72" t="s">
        <v>105</v>
      </c>
      <c r="H162" s="73">
        <v>-4</v>
      </c>
      <c r="I162" s="87">
        <v>46568</v>
      </c>
    </row>
    <row r="163" spans="3:9" x14ac:dyDescent="0.25">
      <c r="C163" s="89">
        <v>46061</v>
      </c>
      <c r="D163" s="85" t="s">
        <v>29</v>
      </c>
      <c r="E163" s="86" t="s">
        <v>54</v>
      </c>
      <c r="F163" s="25" t="s">
        <v>145</v>
      </c>
      <c r="G163" s="90" t="s">
        <v>103</v>
      </c>
      <c r="H163" s="91">
        <v>20</v>
      </c>
      <c r="I163" s="85">
        <v>46325</v>
      </c>
    </row>
    <row r="164" spans="3:9" x14ac:dyDescent="0.25">
      <c r="C164" s="84">
        <v>46060</v>
      </c>
      <c r="D164" s="79" t="s">
        <v>17</v>
      </c>
      <c r="E164" s="78" t="s">
        <v>62</v>
      </c>
      <c r="F164" s="80" t="s">
        <v>102</v>
      </c>
      <c r="G164" s="81" t="s">
        <v>146</v>
      </c>
      <c r="H164" s="82">
        <v>-2</v>
      </c>
      <c r="I164" s="79">
        <v>46387</v>
      </c>
    </row>
    <row r="165" spans="3:9" x14ac:dyDescent="0.25">
      <c r="C165" s="92">
        <v>46060</v>
      </c>
      <c r="D165" s="87" t="s">
        <v>43</v>
      </c>
      <c r="E165" s="70" t="s">
        <v>144</v>
      </c>
      <c r="F165" s="71" t="s">
        <v>102</v>
      </c>
      <c r="G165" s="72" t="s">
        <v>105</v>
      </c>
      <c r="H165" s="73">
        <v>-3</v>
      </c>
      <c r="I165" s="87">
        <v>46300</v>
      </c>
    </row>
    <row r="166" spans="3:9" x14ac:dyDescent="0.25">
      <c r="C166" s="84">
        <v>46060</v>
      </c>
      <c r="D166" s="79" t="s">
        <v>48</v>
      </c>
      <c r="E166" s="78" t="s">
        <v>20</v>
      </c>
      <c r="F166" s="80" t="s">
        <v>102</v>
      </c>
      <c r="G166" s="81" t="s">
        <v>105</v>
      </c>
      <c r="H166" s="82">
        <v>-1</v>
      </c>
      <c r="I166" s="79">
        <v>46568</v>
      </c>
    </row>
    <row r="167" spans="3:9" x14ac:dyDescent="0.25">
      <c r="C167" s="92">
        <v>46059</v>
      </c>
      <c r="D167" s="87" t="s">
        <v>43</v>
      </c>
      <c r="E167" s="70" t="s">
        <v>144</v>
      </c>
      <c r="F167" s="71" t="s">
        <v>102</v>
      </c>
      <c r="G167" s="72" t="s">
        <v>105</v>
      </c>
      <c r="H167" s="73">
        <v>-2</v>
      </c>
      <c r="I167" s="87">
        <v>46300</v>
      </c>
    </row>
    <row r="168" spans="3:9" x14ac:dyDescent="0.25">
      <c r="C168" s="84">
        <v>46056</v>
      </c>
      <c r="D168" s="79" t="s">
        <v>41</v>
      </c>
      <c r="E168" s="78" t="s">
        <v>27</v>
      </c>
      <c r="F168" s="80" t="s">
        <v>102</v>
      </c>
      <c r="G168" s="81" t="s">
        <v>105</v>
      </c>
      <c r="H168" s="82">
        <v>-2</v>
      </c>
      <c r="I168" s="79">
        <v>46387</v>
      </c>
    </row>
    <row r="169" spans="3:9" x14ac:dyDescent="0.25">
      <c r="C169" s="92">
        <v>46056</v>
      </c>
      <c r="D169" s="87" t="s">
        <v>30</v>
      </c>
      <c r="E169" s="70" t="s">
        <v>51</v>
      </c>
      <c r="F169" s="71" t="s">
        <v>102</v>
      </c>
      <c r="G169" s="72" t="s">
        <v>105</v>
      </c>
      <c r="H169" s="73">
        <v>-2</v>
      </c>
      <c r="I169" s="87">
        <v>46173</v>
      </c>
    </row>
    <row r="170" spans="3:9" x14ac:dyDescent="0.25">
      <c r="C170" s="84">
        <v>46056</v>
      </c>
      <c r="D170" s="79" t="s">
        <v>50</v>
      </c>
      <c r="E170" s="78" t="s">
        <v>15</v>
      </c>
      <c r="F170" s="80" t="s">
        <v>102</v>
      </c>
      <c r="G170" s="81" t="s">
        <v>105</v>
      </c>
      <c r="H170" s="82">
        <v>-1</v>
      </c>
      <c r="I170" s="79">
        <v>46300</v>
      </c>
    </row>
    <row r="171" spans="3:9" x14ac:dyDescent="0.25">
      <c r="C171" s="89">
        <v>46054</v>
      </c>
      <c r="D171" s="77" t="s">
        <v>35</v>
      </c>
      <c r="E171" s="14" t="s">
        <v>42</v>
      </c>
      <c r="F171" s="36" t="s">
        <v>145</v>
      </c>
      <c r="G171" s="37" t="s">
        <v>103</v>
      </c>
      <c r="H171" s="38">
        <v>50</v>
      </c>
      <c r="I171" s="77">
        <v>46371</v>
      </c>
    </row>
    <row r="172" spans="3:9" x14ac:dyDescent="0.25">
      <c r="C172" s="92">
        <v>46053</v>
      </c>
      <c r="D172" s="87" t="s">
        <v>40</v>
      </c>
      <c r="E172" s="70" t="s">
        <v>143</v>
      </c>
      <c r="F172" s="71" t="s">
        <v>102</v>
      </c>
      <c r="G172" s="72" t="s">
        <v>141</v>
      </c>
      <c r="H172" s="73">
        <v>-3</v>
      </c>
      <c r="I172" s="87">
        <v>46568</v>
      </c>
    </row>
    <row r="173" spans="3:9" x14ac:dyDescent="0.25">
      <c r="C173" s="84">
        <v>46053</v>
      </c>
      <c r="D173" s="79" t="s">
        <v>12</v>
      </c>
      <c r="E173" s="78" t="s">
        <v>65</v>
      </c>
      <c r="F173" s="80" t="s">
        <v>102</v>
      </c>
      <c r="G173" s="81" t="s">
        <v>105</v>
      </c>
      <c r="H173" s="82">
        <v>-2</v>
      </c>
      <c r="I173" s="79">
        <v>46568</v>
      </c>
    </row>
    <row r="174" spans="3:9" x14ac:dyDescent="0.25">
      <c r="C174" s="92">
        <v>46053</v>
      </c>
      <c r="D174" s="87" t="s">
        <v>28</v>
      </c>
      <c r="E174" s="70" t="s">
        <v>55</v>
      </c>
      <c r="F174" s="71" t="s">
        <v>102</v>
      </c>
      <c r="G174" s="72" t="s">
        <v>105</v>
      </c>
      <c r="H174" s="73">
        <v>-4</v>
      </c>
      <c r="I174" s="87">
        <v>46387</v>
      </c>
    </row>
    <row r="175" spans="3:9" x14ac:dyDescent="0.25">
      <c r="C175" s="84">
        <v>46052</v>
      </c>
      <c r="D175" s="79" t="s">
        <v>29</v>
      </c>
      <c r="E175" s="78" t="s">
        <v>54</v>
      </c>
      <c r="F175" s="80" t="s">
        <v>102</v>
      </c>
      <c r="G175" s="81" t="s">
        <v>105</v>
      </c>
      <c r="H175" s="82">
        <v>-7</v>
      </c>
      <c r="I175" s="79">
        <v>46568</v>
      </c>
    </row>
    <row r="176" spans="3:9" x14ac:dyDescent="0.25">
      <c r="C176" s="92">
        <v>46051</v>
      </c>
      <c r="D176" s="87" t="s">
        <v>9</v>
      </c>
      <c r="E176" s="70" t="s">
        <v>67</v>
      </c>
      <c r="F176" s="71" t="s">
        <v>102</v>
      </c>
      <c r="G176" s="72" t="s">
        <v>105</v>
      </c>
      <c r="H176" s="73">
        <v>-10</v>
      </c>
      <c r="I176" s="87">
        <v>46173</v>
      </c>
    </row>
    <row r="177" spans="3:9" x14ac:dyDescent="0.25">
      <c r="C177" s="84">
        <v>46050</v>
      </c>
      <c r="D177" s="79" t="s">
        <v>45</v>
      </c>
      <c r="E177" s="78" t="s">
        <v>25</v>
      </c>
      <c r="F177" s="80" t="s">
        <v>102</v>
      </c>
      <c r="G177" s="81" t="s">
        <v>105</v>
      </c>
      <c r="H177" s="82">
        <v>-2</v>
      </c>
      <c r="I177" s="79">
        <v>46275</v>
      </c>
    </row>
    <row r="178" spans="3:9" x14ac:dyDescent="0.25">
      <c r="C178" s="92">
        <v>46050</v>
      </c>
      <c r="D178" s="87" t="s">
        <v>28</v>
      </c>
      <c r="E178" s="70" t="s">
        <v>55</v>
      </c>
      <c r="F178" s="71" t="s">
        <v>102</v>
      </c>
      <c r="G178" s="72" t="s">
        <v>105</v>
      </c>
      <c r="H178" s="73">
        <v>-2</v>
      </c>
      <c r="I178" s="87">
        <v>46387</v>
      </c>
    </row>
    <row r="179" spans="3:9" x14ac:dyDescent="0.25">
      <c r="C179" s="84">
        <v>46050</v>
      </c>
      <c r="D179" s="79" t="s">
        <v>26</v>
      </c>
      <c r="E179" s="78" t="s">
        <v>57</v>
      </c>
      <c r="F179" s="80" t="s">
        <v>102</v>
      </c>
      <c r="G179" s="81" t="s">
        <v>105</v>
      </c>
      <c r="H179" s="82">
        <v>-2</v>
      </c>
      <c r="I179" s="79">
        <v>46173</v>
      </c>
    </row>
    <row r="180" spans="3:9" x14ac:dyDescent="0.25">
      <c r="C180" s="92">
        <v>46050</v>
      </c>
      <c r="D180" s="87" t="s">
        <v>19</v>
      </c>
      <c r="E180" s="70" t="s">
        <v>61</v>
      </c>
      <c r="F180" s="71" t="s">
        <v>102</v>
      </c>
      <c r="G180" s="72" t="s">
        <v>105</v>
      </c>
      <c r="H180" s="73">
        <v>-1</v>
      </c>
      <c r="I180" s="87">
        <v>46300</v>
      </c>
    </row>
    <row r="181" spans="3:9" x14ac:dyDescent="0.25">
      <c r="C181" s="84">
        <v>46049</v>
      </c>
      <c r="D181" s="79" t="s">
        <v>49</v>
      </c>
      <c r="E181" s="78" t="s">
        <v>18</v>
      </c>
      <c r="F181" s="80" t="s">
        <v>102</v>
      </c>
      <c r="G181" s="81" t="s">
        <v>105</v>
      </c>
      <c r="H181" s="82">
        <v>-5</v>
      </c>
      <c r="I181" s="79">
        <v>46387</v>
      </c>
    </row>
    <row r="182" spans="3:9" x14ac:dyDescent="0.25">
      <c r="C182" s="92">
        <v>46049</v>
      </c>
      <c r="D182" s="87" t="s">
        <v>28</v>
      </c>
      <c r="E182" s="70" t="s">
        <v>55</v>
      </c>
      <c r="F182" s="71" t="s">
        <v>102</v>
      </c>
      <c r="G182" s="72" t="s">
        <v>105</v>
      </c>
      <c r="H182" s="73">
        <v>-1</v>
      </c>
      <c r="I182" s="87">
        <v>46387</v>
      </c>
    </row>
    <row r="183" spans="3:9" x14ac:dyDescent="0.25">
      <c r="C183" s="84">
        <v>46046</v>
      </c>
      <c r="D183" s="79" t="s">
        <v>41</v>
      </c>
      <c r="E183" s="78" t="s">
        <v>27</v>
      </c>
      <c r="F183" s="80" t="s">
        <v>102</v>
      </c>
      <c r="G183" s="81" t="s">
        <v>105</v>
      </c>
      <c r="H183" s="82">
        <v>-2</v>
      </c>
      <c r="I183" s="79">
        <v>46387</v>
      </c>
    </row>
    <row r="184" spans="3:9" x14ac:dyDescent="0.25">
      <c r="C184" s="92">
        <v>46046</v>
      </c>
      <c r="D184" s="87" t="s">
        <v>35</v>
      </c>
      <c r="E184" s="70" t="s">
        <v>42</v>
      </c>
      <c r="F184" s="71" t="s">
        <v>102</v>
      </c>
      <c r="G184" s="72" t="s">
        <v>105</v>
      </c>
      <c r="H184" s="73">
        <v>-6</v>
      </c>
      <c r="I184" s="87">
        <v>46300</v>
      </c>
    </row>
    <row r="185" spans="3:9" x14ac:dyDescent="0.25">
      <c r="C185" s="84">
        <v>46042</v>
      </c>
      <c r="D185" s="79" t="s">
        <v>14</v>
      </c>
      <c r="E185" s="78" t="s">
        <v>64</v>
      </c>
      <c r="F185" s="80" t="s">
        <v>102</v>
      </c>
      <c r="G185" s="81" t="s">
        <v>105</v>
      </c>
      <c r="H185" s="82">
        <v>-5</v>
      </c>
      <c r="I185" s="79">
        <v>46173</v>
      </c>
    </row>
    <row r="186" spans="3:9" x14ac:dyDescent="0.25">
      <c r="C186" s="92">
        <v>46041</v>
      </c>
      <c r="D186" s="87" t="s">
        <v>26</v>
      </c>
      <c r="E186" s="70" t="s">
        <v>57</v>
      </c>
      <c r="F186" s="71" t="s">
        <v>102</v>
      </c>
      <c r="G186" s="72" t="s">
        <v>105</v>
      </c>
      <c r="H186" s="73">
        <v>-6</v>
      </c>
      <c r="I186" s="87">
        <v>46173</v>
      </c>
    </row>
    <row r="187" spans="3:9" x14ac:dyDescent="0.25">
      <c r="C187" s="84">
        <v>46038</v>
      </c>
      <c r="D187" s="79" t="s">
        <v>29</v>
      </c>
      <c r="E187" s="78" t="s">
        <v>54</v>
      </c>
      <c r="F187" s="80" t="s">
        <v>102</v>
      </c>
      <c r="G187" s="81" t="s">
        <v>105</v>
      </c>
      <c r="H187" s="82">
        <v>-1</v>
      </c>
      <c r="I187" s="79">
        <v>46568</v>
      </c>
    </row>
    <row r="188" spans="3:9" x14ac:dyDescent="0.25">
      <c r="C188" s="92">
        <v>46037</v>
      </c>
      <c r="D188" s="87" t="s">
        <v>22</v>
      </c>
      <c r="E188" s="70" t="s">
        <v>60</v>
      </c>
      <c r="F188" s="71" t="s">
        <v>102</v>
      </c>
      <c r="G188" s="72" t="s">
        <v>105</v>
      </c>
      <c r="H188" s="73">
        <v>-3</v>
      </c>
      <c r="I188" s="87">
        <v>46275</v>
      </c>
    </row>
    <row r="189" spans="3:9" x14ac:dyDescent="0.25">
      <c r="C189" s="84">
        <v>46036</v>
      </c>
      <c r="D189" s="79" t="s">
        <v>30</v>
      </c>
      <c r="E189" s="78" t="s">
        <v>51</v>
      </c>
      <c r="F189" s="80" t="s">
        <v>102</v>
      </c>
      <c r="G189" s="81" t="s">
        <v>105</v>
      </c>
      <c r="H189" s="82">
        <v>-2</v>
      </c>
      <c r="I189" s="79">
        <v>46173</v>
      </c>
    </row>
    <row r="190" spans="3:9" x14ac:dyDescent="0.25">
      <c r="C190" s="92">
        <v>46035</v>
      </c>
      <c r="D190" s="87" t="s">
        <v>9</v>
      </c>
      <c r="E190" s="70" t="s">
        <v>67</v>
      </c>
      <c r="F190" s="71" t="s">
        <v>102</v>
      </c>
      <c r="G190" s="72" t="s">
        <v>105</v>
      </c>
      <c r="H190" s="73">
        <v>-8</v>
      </c>
      <c r="I190" s="87">
        <v>46173</v>
      </c>
    </row>
    <row r="191" spans="3:9" x14ac:dyDescent="0.25">
      <c r="C191" s="84">
        <v>46033</v>
      </c>
      <c r="D191" s="79" t="s">
        <v>22</v>
      </c>
      <c r="E191" s="78" t="s">
        <v>60</v>
      </c>
      <c r="F191" s="80" t="s">
        <v>102</v>
      </c>
      <c r="G191" s="81" t="s">
        <v>105</v>
      </c>
      <c r="H191" s="82">
        <v>-1</v>
      </c>
      <c r="I191" s="79">
        <v>46275</v>
      </c>
    </row>
    <row r="192" spans="3:9" x14ac:dyDescent="0.25">
      <c r="C192" s="35">
        <v>46023</v>
      </c>
      <c r="D192" s="77" t="s">
        <v>53</v>
      </c>
      <c r="E192" s="14" t="s">
        <v>10</v>
      </c>
      <c r="F192" s="36" t="s">
        <v>102</v>
      </c>
      <c r="G192" s="37" t="s">
        <v>103</v>
      </c>
      <c r="H192" s="38">
        <v>200</v>
      </c>
      <c r="I192" s="77">
        <v>46173</v>
      </c>
    </row>
    <row r="193" spans="3:9" x14ac:dyDescent="0.25">
      <c r="C193" s="35">
        <v>46023</v>
      </c>
      <c r="D193" s="77" t="s">
        <v>52</v>
      </c>
      <c r="E193" s="14" t="s">
        <v>13</v>
      </c>
      <c r="F193" s="36" t="s">
        <v>102</v>
      </c>
      <c r="G193" s="37" t="s">
        <v>103</v>
      </c>
      <c r="H193" s="38">
        <v>40</v>
      </c>
      <c r="I193" s="77">
        <v>46275</v>
      </c>
    </row>
    <row r="194" spans="3:9" x14ac:dyDescent="0.25">
      <c r="C194" s="35">
        <v>46023</v>
      </c>
      <c r="D194" s="77" t="s">
        <v>50</v>
      </c>
      <c r="E194" s="14" t="s">
        <v>15</v>
      </c>
      <c r="F194" s="36" t="s">
        <v>102</v>
      </c>
      <c r="G194" s="37" t="s">
        <v>103</v>
      </c>
      <c r="H194" s="38">
        <v>40</v>
      </c>
      <c r="I194" s="77">
        <v>46300</v>
      </c>
    </row>
    <row r="195" spans="3:9" x14ac:dyDescent="0.25">
      <c r="C195" s="35">
        <v>46023</v>
      </c>
      <c r="D195" s="77" t="s">
        <v>49</v>
      </c>
      <c r="E195" s="14" t="s">
        <v>18</v>
      </c>
      <c r="F195" s="36" t="s">
        <v>102</v>
      </c>
      <c r="G195" s="37" t="s">
        <v>103</v>
      </c>
      <c r="H195" s="38">
        <v>120</v>
      </c>
      <c r="I195" s="77">
        <v>46387</v>
      </c>
    </row>
    <row r="196" spans="3:9" x14ac:dyDescent="0.25">
      <c r="C196" s="35">
        <v>46023</v>
      </c>
      <c r="D196" s="77" t="s">
        <v>48</v>
      </c>
      <c r="E196" s="14" t="s">
        <v>20</v>
      </c>
      <c r="F196" s="36" t="s">
        <v>102</v>
      </c>
      <c r="G196" s="37" t="s">
        <v>103</v>
      </c>
      <c r="H196" s="38">
        <v>60</v>
      </c>
      <c r="I196" s="77">
        <v>46568</v>
      </c>
    </row>
    <row r="197" spans="3:9" x14ac:dyDescent="0.25">
      <c r="C197" s="35">
        <v>46023</v>
      </c>
      <c r="D197" s="77" t="s">
        <v>47</v>
      </c>
      <c r="E197" s="14" t="s">
        <v>23</v>
      </c>
      <c r="F197" s="36" t="s">
        <v>102</v>
      </c>
      <c r="G197" s="37" t="s">
        <v>103</v>
      </c>
      <c r="H197" s="38">
        <v>40</v>
      </c>
      <c r="I197" s="77">
        <v>46173</v>
      </c>
    </row>
    <row r="198" spans="3:9" x14ac:dyDescent="0.25">
      <c r="C198" s="35">
        <v>46023</v>
      </c>
      <c r="D198" s="77" t="s">
        <v>45</v>
      </c>
      <c r="E198" s="14" t="s">
        <v>25</v>
      </c>
      <c r="F198" s="36" t="s">
        <v>102</v>
      </c>
      <c r="G198" s="37" t="s">
        <v>103</v>
      </c>
      <c r="H198" s="38">
        <v>60</v>
      </c>
      <c r="I198" s="77">
        <v>46275</v>
      </c>
    </row>
    <row r="199" spans="3:9" x14ac:dyDescent="0.25">
      <c r="C199" s="35">
        <v>46023</v>
      </c>
      <c r="D199" s="77" t="s">
        <v>43</v>
      </c>
      <c r="E199" s="14" t="s">
        <v>144</v>
      </c>
      <c r="F199" s="36" t="s">
        <v>102</v>
      </c>
      <c r="G199" s="37" t="s">
        <v>103</v>
      </c>
      <c r="H199" s="38">
        <v>60</v>
      </c>
      <c r="I199" s="77">
        <v>46300</v>
      </c>
    </row>
    <row r="200" spans="3:9" x14ac:dyDescent="0.25">
      <c r="C200" s="35">
        <v>46023</v>
      </c>
      <c r="D200" s="77" t="s">
        <v>41</v>
      </c>
      <c r="E200" s="14" t="s">
        <v>27</v>
      </c>
      <c r="F200" s="36" t="s">
        <v>102</v>
      </c>
      <c r="G200" s="37" t="s">
        <v>103</v>
      </c>
      <c r="H200" s="38">
        <v>20</v>
      </c>
      <c r="I200" s="77">
        <v>46387</v>
      </c>
    </row>
    <row r="201" spans="3:9" x14ac:dyDescent="0.25">
      <c r="C201" s="35">
        <v>46023</v>
      </c>
      <c r="D201" s="77" t="s">
        <v>40</v>
      </c>
      <c r="E201" s="14" t="s">
        <v>143</v>
      </c>
      <c r="F201" s="36" t="s">
        <v>102</v>
      </c>
      <c r="G201" s="37" t="s">
        <v>103</v>
      </c>
      <c r="H201" s="38">
        <v>75</v>
      </c>
      <c r="I201" s="77">
        <v>46568</v>
      </c>
    </row>
    <row r="202" spans="3:9" x14ac:dyDescent="0.25">
      <c r="C202" s="35">
        <v>46023</v>
      </c>
      <c r="D202" s="77" t="s">
        <v>39</v>
      </c>
      <c r="E202" s="14" t="s">
        <v>31</v>
      </c>
      <c r="F202" s="36" t="s">
        <v>102</v>
      </c>
      <c r="G202" s="37" t="s">
        <v>103</v>
      </c>
      <c r="H202" s="38">
        <v>30</v>
      </c>
      <c r="I202" s="77">
        <v>46300</v>
      </c>
    </row>
    <row r="203" spans="3:9" x14ac:dyDescent="0.25">
      <c r="C203" s="35">
        <v>46023</v>
      </c>
      <c r="D203" s="77" t="s">
        <v>38</v>
      </c>
      <c r="E203" s="14" t="s">
        <v>34</v>
      </c>
      <c r="F203" s="36" t="s">
        <v>102</v>
      </c>
      <c r="G203" s="37" t="s">
        <v>103</v>
      </c>
      <c r="H203" s="38">
        <v>30</v>
      </c>
      <c r="I203" s="77">
        <v>46275</v>
      </c>
    </row>
    <row r="204" spans="3:9" x14ac:dyDescent="0.25">
      <c r="C204" s="35">
        <v>46023</v>
      </c>
      <c r="D204" s="77" t="s">
        <v>36</v>
      </c>
      <c r="E204" s="14" t="s">
        <v>37</v>
      </c>
      <c r="F204" s="36" t="s">
        <v>102</v>
      </c>
      <c r="G204" s="37" t="s">
        <v>103</v>
      </c>
      <c r="H204" s="38">
        <v>30</v>
      </c>
      <c r="I204" s="77">
        <v>46387</v>
      </c>
    </row>
    <row r="205" spans="3:9" x14ac:dyDescent="0.25">
      <c r="C205" s="35">
        <v>46023</v>
      </c>
      <c r="D205" s="77" t="s">
        <v>35</v>
      </c>
      <c r="E205" s="14" t="s">
        <v>42</v>
      </c>
      <c r="F205" s="36" t="s">
        <v>102</v>
      </c>
      <c r="G205" s="37" t="s">
        <v>103</v>
      </c>
      <c r="H205" s="38">
        <v>75</v>
      </c>
      <c r="I205" s="77">
        <v>46300</v>
      </c>
    </row>
    <row r="206" spans="3:9" x14ac:dyDescent="0.25">
      <c r="C206" s="35">
        <v>46023</v>
      </c>
      <c r="D206" s="77" t="s">
        <v>33</v>
      </c>
      <c r="E206" s="14" t="s">
        <v>46</v>
      </c>
      <c r="F206" s="36" t="s">
        <v>102</v>
      </c>
      <c r="G206" s="37" t="s">
        <v>103</v>
      </c>
      <c r="H206" s="38">
        <v>60</v>
      </c>
      <c r="I206" s="77">
        <v>46275</v>
      </c>
    </row>
    <row r="207" spans="3:9" x14ac:dyDescent="0.25">
      <c r="C207" s="35">
        <v>46023</v>
      </c>
      <c r="D207" s="77" t="s">
        <v>30</v>
      </c>
      <c r="E207" s="14" t="s">
        <v>51</v>
      </c>
      <c r="F207" s="36" t="s">
        <v>102</v>
      </c>
      <c r="G207" s="37" t="s">
        <v>103</v>
      </c>
      <c r="H207" s="38">
        <v>50</v>
      </c>
      <c r="I207" s="77">
        <v>46173</v>
      </c>
    </row>
    <row r="208" spans="3:9" x14ac:dyDescent="0.25">
      <c r="C208" s="35">
        <v>46023</v>
      </c>
      <c r="D208" s="77" t="s">
        <v>29</v>
      </c>
      <c r="E208" s="14" t="s">
        <v>54</v>
      </c>
      <c r="F208" s="36" t="s">
        <v>102</v>
      </c>
      <c r="G208" s="37" t="s">
        <v>103</v>
      </c>
      <c r="H208" s="38">
        <v>45</v>
      </c>
      <c r="I208" s="77">
        <v>46568</v>
      </c>
    </row>
    <row r="209" spans="3:9" x14ac:dyDescent="0.25">
      <c r="C209" s="35">
        <v>46023</v>
      </c>
      <c r="D209" s="77" t="s">
        <v>28</v>
      </c>
      <c r="E209" s="14" t="s">
        <v>55</v>
      </c>
      <c r="F209" s="36" t="s">
        <v>102</v>
      </c>
      <c r="G209" s="37" t="s">
        <v>103</v>
      </c>
      <c r="H209" s="38">
        <v>20</v>
      </c>
      <c r="I209" s="77">
        <v>46387</v>
      </c>
    </row>
    <row r="210" spans="3:9" x14ac:dyDescent="0.25">
      <c r="C210" s="35">
        <v>46023</v>
      </c>
      <c r="D210" s="77" t="s">
        <v>26</v>
      </c>
      <c r="E210" s="14" t="s">
        <v>57</v>
      </c>
      <c r="F210" s="36" t="s">
        <v>102</v>
      </c>
      <c r="G210" s="37" t="s">
        <v>103</v>
      </c>
      <c r="H210" s="38">
        <v>60</v>
      </c>
      <c r="I210" s="77">
        <v>46173</v>
      </c>
    </row>
    <row r="211" spans="3:9" x14ac:dyDescent="0.25">
      <c r="C211" s="35">
        <v>46023</v>
      </c>
      <c r="D211" s="77" t="s">
        <v>22</v>
      </c>
      <c r="E211" s="14" t="s">
        <v>60</v>
      </c>
      <c r="F211" s="36" t="s">
        <v>102</v>
      </c>
      <c r="G211" s="37" t="s">
        <v>103</v>
      </c>
      <c r="H211" s="38">
        <v>40</v>
      </c>
      <c r="I211" s="77">
        <v>46275</v>
      </c>
    </row>
    <row r="212" spans="3:9" x14ac:dyDescent="0.25">
      <c r="C212" s="35">
        <v>46023</v>
      </c>
      <c r="D212" s="77" t="s">
        <v>19</v>
      </c>
      <c r="E212" s="14" t="s">
        <v>61</v>
      </c>
      <c r="F212" s="36" t="s">
        <v>102</v>
      </c>
      <c r="G212" s="37" t="s">
        <v>103</v>
      </c>
      <c r="H212" s="38">
        <v>20</v>
      </c>
      <c r="I212" s="77">
        <v>46300</v>
      </c>
    </row>
    <row r="213" spans="3:9" x14ac:dyDescent="0.25">
      <c r="C213" s="35">
        <v>46023</v>
      </c>
      <c r="D213" s="77" t="s">
        <v>17</v>
      </c>
      <c r="E213" s="14" t="s">
        <v>62</v>
      </c>
      <c r="F213" s="36" t="s">
        <v>102</v>
      </c>
      <c r="G213" s="37" t="s">
        <v>103</v>
      </c>
      <c r="H213" s="38">
        <v>80</v>
      </c>
      <c r="I213" s="77">
        <v>46387</v>
      </c>
    </row>
    <row r="214" spans="3:9" x14ac:dyDescent="0.25">
      <c r="C214" s="35">
        <v>46023</v>
      </c>
      <c r="D214" s="77" t="s">
        <v>14</v>
      </c>
      <c r="E214" s="14" t="s">
        <v>64</v>
      </c>
      <c r="F214" s="36" t="s">
        <v>102</v>
      </c>
      <c r="G214" s="37" t="s">
        <v>103</v>
      </c>
      <c r="H214" s="38">
        <v>45</v>
      </c>
      <c r="I214" s="77">
        <v>46173</v>
      </c>
    </row>
    <row r="215" spans="3:9" x14ac:dyDescent="0.25">
      <c r="C215" s="35">
        <v>46023</v>
      </c>
      <c r="D215" s="77" t="s">
        <v>12</v>
      </c>
      <c r="E215" s="14" t="s">
        <v>65</v>
      </c>
      <c r="F215" s="36" t="s">
        <v>102</v>
      </c>
      <c r="G215" s="37" t="s">
        <v>103</v>
      </c>
      <c r="H215" s="38">
        <v>30</v>
      </c>
      <c r="I215" s="77">
        <v>46568</v>
      </c>
    </row>
    <row r="216" spans="3:9" x14ac:dyDescent="0.25">
      <c r="C216" s="35">
        <v>46023</v>
      </c>
      <c r="D216" s="77" t="s">
        <v>9</v>
      </c>
      <c r="E216" s="14" t="s">
        <v>67</v>
      </c>
      <c r="F216" s="36" t="s">
        <v>102</v>
      </c>
      <c r="G216" s="37" t="s">
        <v>103</v>
      </c>
      <c r="H216" s="38">
        <v>40</v>
      </c>
      <c r="I216" s="77">
        <v>46173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1:BQ200"/>
  <sheetViews>
    <sheetView topLeftCell="C1" zoomScale="90" zoomScaleNormal="90" workbookViewId="0">
      <selection activeCell="I2" sqref="I1:I1048576"/>
    </sheetView>
  </sheetViews>
  <sheetFormatPr baseColWidth="10" defaultRowHeight="15" x14ac:dyDescent="0.25"/>
  <cols>
    <col min="1" max="1" width="7.85546875" bestFit="1" customWidth="1"/>
    <col min="2" max="2" width="23" bestFit="1" customWidth="1"/>
    <col min="3" max="3" width="19" bestFit="1" customWidth="1"/>
    <col min="4" max="4" width="13.85546875" bestFit="1" customWidth="1"/>
    <col min="5" max="5" width="17" bestFit="1" customWidth="1"/>
    <col min="6" max="6" width="12.28515625" bestFit="1" customWidth="1"/>
    <col min="7" max="7" width="14.140625" bestFit="1" customWidth="1"/>
    <col min="8" max="8" width="14.28515625" bestFit="1" customWidth="1"/>
    <col min="9" max="9" width="11.28515625" bestFit="1" customWidth="1"/>
    <col min="10" max="10" width="10.42578125" bestFit="1" customWidth="1"/>
    <col min="11" max="11" width="13.85546875" bestFit="1" customWidth="1"/>
    <col min="12" max="12" width="13.42578125" bestFit="1" customWidth="1"/>
    <col min="13" max="13" width="7.28515625" customWidth="1"/>
    <col min="14" max="14" width="23.140625" bestFit="1" customWidth="1"/>
    <col min="15" max="15" width="20.7109375" bestFit="1" customWidth="1"/>
    <col min="16" max="16" width="14.85546875" customWidth="1"/>
    <col min="17" max="17" width="25.5703125" bestFit="1" customWidth="1"/>
    <col min="19" max="19" width="25.140625" customWidth="1"/>
    <col min="20" max="20" width="15.42578125" customWidth="1"/>
    <col min="22" max="22" width="24.28515625" bestFit="1" customWidth="1"/>
    <col min="24" max="24" width="17" bestFit="1" customWidth="1"/>
    <col min="25" max="25" width="24.28515625" bestFit="1" customWidth="1"/>
    <col min="26" max="26" width="17.42578125" bestFit="1" customWidth="1"/>
    <col min="27" max="27" width="12.85546875" bestFit="1" customWidth="1"/>
    <col min="28" max="28" width="26" bestFit="1" customWidth="1"/>
    <col min="29" max="29" width="13.28515625" customWidth="1"/>
    <col min="30" max="31" width="21.7109375" customWidth="1"/>
    <col min="32" max="32" width="24.85546875" customWidth="1"/>
    <col min="33" max="33" width="21.28515625" customWidth="1"/>
    <col min="35" max="35" width="22.140625" bestFit="1" customWidth="1"/>
    <col min="36" max="36" width="12.85546875" bestFit="1" customWidth="1"/>
    <col min="37" max="37" width="16" bestFit="1" customWidth="1"/>
    <col min="40" max="40" width="24.85546875" customWidth="1"/>
    <col min="41" max="41" width="9.85546875" customWidth="1"/>
    <col min="42" max="42" width="22.5703125" customWidth="1"/>
    <col min="43" max="43" width="15.28515625" customWidth="1"/>
    <col min="44" max="44" width="21" customWidth="1"/>
    <col min="45" max="45" width="21.7109375" customWidth="1"/>
    <col min="47" max="47" width="21" customWidth="1"/>
    <col min="48" max="48" width="22" customWidth="1"/>
    <col min="49" max="49" width="12.28515625" bestFit="1" customWidth="1"/>
    <col min="50" max="50" width="21" customWidth="1"/>
    <col min="51" max="51" width="18.7109375" customWidth="1"/>
    <col min="52" max="52" width="7.7109375" customWidth="1"/>
    <col min="53" max="53" width="23.28515625" customWidth="1"/>
    <col min="54" max="54" width="19" bestFit="1" customWidth="1"/>
    <col min="56" max="56" width="23.28515625" bestFit="1" customWidth="1"/>
    <col min="57" max="57" width="22.7109375" bestFit="1" customWidth="1"/>
    <col min="58" max="58" width="13.5703125" bestFit="1" customWidth="1"/>
    <col min="59" max="59" width="15.140625" bestFit="1" customWidth="1"/>
    <col min="61" max="61" width="21" bestFit="1" customWidth="1"/>
    <col min="62" max="62" width="18.7109375" bestFit="1" customWidth="1"/>
    <col min="64" max="64" width="21" bestFit="1" customWidth="1"/>
    <col min="65" max="65" width="31.7109375" bestFit="1" customWidth="1"/>
    <col min="67" max="67" width="22.28515625" customWidth="1"/>
    <col min="68" max="68" width="26.42578125" customWidth="1"/>
  </cols>
  <sheetData>
    <row r="1" spans="1:69" ht="23.25" x14ac:dyDescent="0.35">
      <c r="A1" s="162" t="s">
        <v>152</v>
      </c>
      <c r="B1" s="162"/>
      <c r="C1" s="162"/>
      <c r="D1" s="162"/>
      <c r="E1" s="162"/>
      <c r="F1" s="162"/>
      <c r="G1" s="162"/>
      <c r="H1" s="162"/>
      <c r="I1" s="162"/>
      <c r="J1" s="162"/>
      <c r="K1" s="162"/>
      <c r="L1" s="162"/>
      <c r="N1" s="162" t="s">
        <v>153</v>
      </c>
      <c r="O1" s="162"/>
      <c r="Q1" s="163" t="s">
        <v>98</v>
      </c>
      <c r="R1" s="163"/>
      <c r="S1" s="163"/>
      <c r="T1" s="163"/>
      <c r="U1" s="52"/>
      <c r="V1" s="163" t="s">
        <v>107</v>
      </c>
      <c r="W1" s="163"/>
      <c r="X1" s="163"/>
      <c r="Y1" s="163"/>
      <c r="Z1" s="163"/>
      <c r="AA1" s="163"/>
      <c r="AB1" s="163"/>
      <c r="AD1" s="164" t="s">
        <v>135</v>
      </c>
      <c r="AE1" s="164"/>
      <c r="AF1" s="164"/>
      <c r="AG1" s="164"/>
      <c r="AI1" s="164" t="s">
        <v>136</v>
      </c>
      <c r="AJ1" s="164"/>
      <c r="AK1" s="164"/>
      <c r="AL1" s="164"/>
      <c r="AN1" s="164" t="s">
        <v>154</v>
      </c>
      <c r="AO1" s="164"/>
      <c r="AP1" s="164"/>
      <c r="AR1" s="164" t="s">
        <v>155</v>
      </c>
      <c r="AS1" s="164"/>
      <c r="AU1" s="164" t="s">
        <v>156</v>
      </c>
      <c r="AV1" s="164"/>
      <c r="AX1" s="164" t="s">
        <v>157</v>
      </c>
      <c r="AY1" s="164"/>
      <c r="BA1" s="114" t="s">
        <v>99</v>
      </c>
      <c r="BB1" s="114"/>
      <c r="BC1" s="52"/>
      <c r="BD1" s="161" t="s">
        <v>106</v>
      </c>
      <c r="BE1" s="161"/>
      <c r="BF1" s="161"/>
      <c r="BG1" s="161"/>
      <c r="BI1" s="161" t="s">
        <v>184</v>
      </c>
      <c r="BJ1" s="161"/>
      <c r="BL1" s="161" t="s">
        <v>185</v>
      </c>
      <c r="BM1" s="161"/>
      <c r="BO1" s="161" t="s">
        <v>186</v>
      </c>
      <c r="BP1" s="161"/>
    </row>
    <row r="2" spans="1:69" ht="12.75" customHeight="1" x14ac:dyDescent="0.25">
      <c r="C2" s="56"/>
      <c r="D2" s="56"/>
      <c r="E2" s="56"/>
      <c r="F2" s="56"/>
      <c r="G2" s="56"/>
      <c r="H2" s="56"/>
      <c r="I2" s="56"/>
      <c r="J2" s="56"/>
      <c r="K2" s="56"/>
      <c r="L2" s="56"/>
      <c r="R2" s="52"/>
      <c r="S2" s="52"/>
      <c r="T2" s="52"/>
      <c r="U2" s="52"/>
      <c r="W2" s="95"/>
      <c r="X2" s="95"/>
      <c r="Y2" s="96"/>
      <c r="Z2" s="97"/>
      <c r="AA2" s="98"/>
      <c r="BB2" s="52"/>
      <c r="BC2" s="52"/>
      <c r="BD2" s="112"/>
      <c r="BE2" s="113"/>
      <c r="BF2" s="113"/>
      <c r="BG2" s="113"/>
      <c r="BI2" s="142">
        <f>GETPIVOTDATA("Montant",$BI$3)</f>
        <v>149300</v>
      </c>
      <c r="BJ2" s="143" t="s">
        <v>183</v>
      </c>
      <c r="BK2" s="143"/>
      <c r="BL2" s="142">
        <f>GETPIVOTDATA("depenses lie au ventes",$BL$3)</f>
        <v>101700</v>
      </c>
      <c r="BM2" s="143" t="s">
        <v>183</v>
      </c>
    </row>
    <row r="3" spans="1:69" s="56" customFormat="1" ht="15.75" x14ac:dyDescent="0.25">
      <c r="A3" s="102" t="s">
        <v>109</v>
      </c>
      <c r="B3" s="103" t="s">
        <v>1</v>
      </c>
      <c r="C3" s="102" t="s">
        <v>2</v>
      </c>
      <c r="D3" s="103" t="s">
        <v>112</v>
      </c>
      <c r="E3" s="103" t="s">
        <v>117</v>
      </c>
      <c r="F3" s="103" t="s">
        <v>76</v>
      </c>
      <c r="G3" s="103" t="s">
        <v>113</v>
      </c>
      <c r="H3" s="103" t="s">
        <v>114</v>
      </c>
      <c r="I3" s="103" t="s">
        <v>115</v>
      </c>
      <c r="J3" s="103" t="s">
        <v>110</v>
      </c>
      <c r="K3" s="103" t="s">
        <v>116</v>
      </c>
      <c r="L3" s="103" t="s">
        <v>81</v>
      </c>
      <c r="Q3" s="124" t="s">
        <v>1</v>
      </c>
      <c r="R3" s="124" t="s">
        <v>4</v>
      </c>
      <c r="S3" s="124" t="s">
        <v>101</v>
      </c>
      <c r="T3" s="105" t="s">
        <v>84</v>
      </c>
      <c r="U3" s="93"/>
      <c r="V3" s="106" t="s">
        <v>1</v>
      </c>
      <c r="W3" s="107" t="s">
        <v>4</v>
      </c>
      <c r="X3" s="108" t="s">
        <v>86</v>
      </c>
      <c r="Y3" s="109" t="s">
        <v>83</v>
      </c>
      <c r="Z3" s="110" t="s">
        <v>96</v>
      </c>
      <c r="AA3" s="107" t="s">
        <v>104</v>
      </c>
      <c r="AB3" s="107" t="s">
        <v>138</v>
      </c>
      <c r="AD3" s="101" t="s">
        <v>131</v>
      </c>
      <c r="AE3" s="101" t="s">
        <v>132</v>
      </c>
      <c r="AF3" s="101" t="s">
        <v>133</v>
      </c>
      <c r="AG3" s="101" t="s">
        <v>134</v>
      </c>
      <c r="AI3" s="111" t="s">
        <v>1</v>
      </c>
      <c r="AJ3" s="111" t="s">
        <v>112</v>
      </c>
      <c r="AK3" s="111" t="s">
        <v>117</v>
      </c>
      <c r="AL3" s="111" t="s">
        <v>81</v>
      </c>
      <c r="AN3" s="123" t="s">
        <v>138</v>
      </c>
      <c r="AO3" t="s">
        <v>150</v>
      </c>
      <c r="AR3" s="101" t="s">
        <v>131</v>
      </c>
      <c r="AS3" s="101" t="s">
        <v>132</v>
      </c>
      <c r="AU3" s="101" t="s">
        <v>131</v>
      </c>
      <c r="AV3" s="101" t="s">
        <v>139</v>
      </c>
      <c r="AX3" s="99" t="s">
        <v>131</v>
      </c>
      <c r="AY3" s="99" t="s">
        <v>140</v>
      </c>
      <c r="AZ3"/>
      <c r="BA3" s="94" t="s">
        <v>1</v>
      </c>
      <c r="BB3" s="94" t="s">
        <v>108</v>
      </c>
      <c r="BC3" s="52"/>
      <c r="BD3" s="100" t="s">
        <v>1</v>
      </c>
      <c r="BE3" s="100" t="s">
        <v>97</v>
      </c>
      <c r="BF3" s="100" t="s">
        <v>82</v>
      </c>
      <c r="BG3" s="100" t="s">
        <v>81</v>
      </c>
      <c r="BI3" s="99" t="s">
        <v>131</v>
      </c>
      <c r="BJ3" s="99" t="s">
        <v>140</v>
      </c>
      <c r="BK3"/>
      <c r="BL3" s="99" t="s">
        <v>131</v>
      </c>
      <c r="BM3" s="99" t="s">
        <v>166</v>
      </c>
      <c r="BN3"/>
      <c r="BO3" s="99" t="s">
        <v>131</v>
      </c>
      <c r="BP3" s="99" t="s">
        <v>180</v>
      </c>
      <c r="BQ3"/>
    </row>
    <row r="4" spans="1:69" ht="15.75" x14ac:dyDescent="0.25">
      <c r="A4" t="s">
        <v>53</v>
      </c>
      <c r="B4" t="s">
        <v>10</v>
      </c>
      <c r="C4" t="s">
        <v>11</v>
      </c>
      <c r="D4" s="57">
        <f>IF(A4="","",SUMIF(HistoriqueMouvements[Code produit],A4,HistoriqueMouvements[Qantités]))</f>
        <v>17</v>
      </c>
      <c r="E4" s="51">
        <v>50</v>
      </c>
      <c r="F4" s="59">
        <v>800</v>
      </c>
      <c r="G4" s="59">
        <f>+IF(A4="","",D4*F4)</f>
        <v>13600</v>
      </c>
      <c r="H4">
        <f ca="1">IF(A4="","",-SUMIFS(Mouvements!$H:$H,Mouvements!$D:$D,A4,Mouvements!$G:$G,"Vente",Mouvements!$C:$C,"&gt;="&amp;DATE(YEAR(TODAY()),MONTH(TODAY()),1),Mouvements!$C:$C,"&lt;"&amp;DATE(YEAR(TODAY()),MONTH(TODAY())+1,1)))</f>
        <v>104</v>
      </c>
      <c r="I4" s="59">
        <f t="shared" ref="I4:I52" ca="1" si="0">IF(A4="","",H4*F4)</f>
        <v>83200</v>
      </c>
      <c r="J4" s="57" t="str">
        <f>IF(A4="","",IF(D4&lt;=0,"OUI","NON"))</f>
        <v>NON</v>
      </c>
      <c r="K4" s="58" t="str">
        <f>IF(A4="","",IF(D4&lt;=0,"RUPTURE",IF(D4&lt;=E4,"STOCK FAIBLE","OK")))</f>
        <v>STOCK FAIBLE</v>
      </c>
      <c r="L4">
        <f>IF(A4="","",MAX(0,E4-D4))</f>
        <v>33</v>
      </c>
      <c r="N4" s="64" t="s">
        <v>120</v>
      </c>
      <c r="O4" s="64" t="s">
        <v>121</v>
      </c>
      <c r="Q4" s="52" t="s">
        <v>55</v>
      </c>
      <c r="R4" s="52" t="s">
        <v>102</v>
      </c>
      <c r="S4" s="54">
        <v>46387</v>
      </c>
      <c r="T4" s="48">
        <v>7</v>
      </c>
      <c r="U4" s="48"/>
      <c r="V4" s="48" t="str">
        <f t="shared" ref="V4:V35" si="1">IF(Q4="","",Q4)</f>
        <v>Albendazole 400 mg</v>
      </c>
      <c r="W4" s="48" t="str">
        <f t="shared" ref="W4:W35" si="2">IF(R4="","",R4)</f>
        <v>LOT-001</v>
      </c>
      <c r="X4" s="43">
        <f t="shared" ref="X4:X35" si="3">IF(T4="","",T4)</f>
        <v>7</v>
      </c>
      <c r="Y4" s="44">
        <f t="shared" ref="Y4:Y35" si="4">IF(S4="","",S4)</f>
        <v>46387</v>
      </c>
      <c r="Z4" s="53">
        <f ca="1">IFERROR(IF(Stock_par_lots[[#This Row],[Stock restant]]=0,"",Stock_par_lots[[#This Row],[Date de péremption]]-TODAY()),"")</f>
        <v>123</v>
      </c>
      <c r="AA4" s="45" t="str">
        <f ca="1">IF(Stock_par_lots[[#This Row],[Stock restant]]=0,"",IF(Stock_par_lots[[#This Row],[jours restants]]&gt;=60,"Conforme",IF(AND(Stock_par_lots[[#This Row],[jours restants]]&lt;60,Stock_par_lots[[#This Row],[jours restants]]&gt;=30),"Surveillance",IF(AND(Stock_par_lots[[#This Row],[jours restants]]&lt;30,Stock_par_lots[[#This Row],[jours restants]]&gt;=0),"Urgente","Expiré"))))</f>
        <v>Conforme</v>
      </c>
      <c r="AB4" s="68" t="str">
        <f ca="1">IF(AND(Stock_par_lots[[#This Row],[jours restants]]&gt;0,Stock_par_lots[[#This Row],[jours restants]]&lt;=60),"Proche","")</f>
        <v/>
      </c>
      <c r="AD4" s="50" t="s">
        <v>10</v>
      </c>
      <c r="AE4" s="51">
        <v>17</v>
      </c>
      <c r="AF4" s="51">
        <v>50</v>
      </c>
      <c r="AG4" s="51">
        <v>33</v>
      </c>
      <c r="AI4" s="62" t="str">
        <f t="shared" ref="AI4:AI13" si="5">IF(AD4="","",AD4)</f>
        <v>Paracétamol 500 mg</v>
      </c>
      <c r="AJ4" s="62">
        <f t="shared" ref="AJ4:AJ13" si="6">IF(AE4="","",AE4)</f>
        <v>17</v>
      </c>
      <c r="AK4" s="62">
        <f t="shared" ref="AK4:AK13" si="7">IF(AF4="","",AF4)</f>
        <v>50</v>
      </c>
      <c r="AL4" s="62">
        <f t="shared" ref="AL4:AL13" si="8">IF(AG4="","",AG4)</f>
        <v>33</v>
      </c>
      <c r="AR4" s="50" t="s">
        <v>56</v>
      </c>
      <c r="AS4" s="51">
        <v>24</v>
      </c>
      <c r="AU4" s="50" t="s">
        <v>56</v>
      </c>
      <c r="AV4" s="51">
        <v>19200</v>
      </c>
      <c r="AX4" s="50" t="s">
        <v>147</v>
      </c>
      <c r="AY4" s="51">
        <v>149300</v>
      </c>
      <c r="BA4" s="39" t="s">
        <v>55</v>
      </c>
      <c r="BB4" s="48">
        <v>24</v>
      </c>
      <c r="BC4" s="48"/>
      <c r="BD4" s="48" t="str">
        <f t="shared" ref="BD4:BD35" si="9">BA4</f>
        <v>Albendazole 400 mg</v>
      </c>
      <c r="BE4" s="48">
        <f t="shared" ref="BE4:BE35" si="10">BB4</f>
        <v>24</v>
      </c>
      <c r="BF4" s="41">
        <f>IFERROR(VLOOKUP(BA4,ListeProduits[],6,FALSE),"")</f>
        <v>20</v>
      </c>
      <c r="BG4" s="42" t="str">
        <f>IFERROR(IF(Stock_par_produits[[#This Row],[Stock nim]]="","",IF(Stock_par_produits[[#This Row],[Stock nim]]&gt;Stock_par_produits[[#This Row],[Quantités restants]],"Commander","Ok")),"")</f>
        <v>Ok</v>
      </c>
      <c r="BI4" s="50" t="s">
        <v>147</v>
      </c>
      <c r="BJ4" s="51"/>
      <c r="BL4" s="50" t="s">
        <v>147</v>
      </c>
      <c r="BM4" s="51"/>
      <c r="BO4" s="50" t="s">
        <v>55</v>
      </c>
      <c r="BP4" s="51">
        <v>7</v>
      </c>
    </row>
    <row r="5" spans="1:69" ht="15.75" x14ac:dyDescent="0.25">
      <c r="A5" t="s">
        <v>52</v>
      </c>
      <c r="B5" t="s">
        <v>13</v>
      </c>
      <c r="C5" t="s">
        <v>11</v>
      </c>
      <c r="D5" s="57">
        <f>IF(A5="","",SUMIF(HistoriqueMouvements[Code produit],A5,HistoriqueMouvements[Qantités]))</f>
        <v>83</v>
      </c>
      <c r="E5" s="51">
        <v>40</v>
      </c>
      <c r="F5" s="59">
        <v>1200</v>
      </c>
      <c r="G5" s="59">
        <f t="shared" ref="G5:G52" si="11">+IF(A5="","",D5*F5)</f>
        <v>99600</v>
      </c>
      <c r="H5">
        <f ca="1">IF(A5="","",-SUMIFS(Mouvements!$H:$H,Mouvements!$D:$D,A5,Mouvements!$G:$G,"Vente",Mouvements!$C:$C,"&gt;="&amp;DATE(YEAR(TODAY()),MONTH(TODAY()),1),Mouvements!$C:$C,"&lt;"&amp;DATE(YEAR(TODAY()),MONTH(TODAY())+1,1)))</f>
        <v>0</v>
      </c>
      <c r="I5" s="59">
        <f t="shared" ca="1" si="0"/>
        <v>0</v>
      </c>
      <c r="J5" s="57" t="str">
        <f t="shared" ref="J5:J52" si="12">IF(A5="","",IF(D5&lt;=0,"OUI","NON"))</f>
        <v>NON</v>
      </c>
      <c r="K5" s="58" t="str">
        <f t="shared" ref="K5:K52" si="13">IF(A5="","",IF(D5&lt;=0,"RUPTURE",IF(D5&lt;=E5,"STOCK FAIBLE","OK")))</f>
        <v>OK</v>
      </c>
      <c r="L5">
        <f t="shared" ref="L5:L52" si="14">IF(A5="","",MAX(0,E5-D5))</f>
        <v>0</v>
      </c>
      <c r="N5" s="62" t="str">
        <f>COUNTIF(K4:K1000,"STOCK FAIBLE")&amp;" réf"</f>
        <v>7 réf</v>
      </c>
      <c r="O5" s="62">
        <f>COUNTIF(K4:K1000,"RUPTURE")</f>
        <v>1</v>
      </c>
      <c r="Q5" s="52" t="s">
        <v>55</v>
      </c>
      <c r="R5" s="52" t="s">
        <v>145</v>
      </c>
      <c r="S5" s="54">
        <v>46371</v>
      </c>
      <c r="T5" s="48">
        <v>17</v>
      </c>
      <c r="U5" s="48"/>
      <c r="V5" s="48" t="str">
        <f t="shared" si="1"/>
        <v>Albendazole 400 mg</v>
      </c>
      <c r="W5" s="48" t="str">
        <f t="shared" si="2"/>
        <v>LOT-002</v>
      </c>
      <c r="X5" s="43">
        <f t="shared" si="3"/>
        <v>17</v>
      </c>
      <c r="Y5" s="44">
        <f t="shared" si="4"/>
        <v>46371</v>
      </c>
      <c r="Z5" s="53">
        <f ca="1">IFERROR(IF(Stock_par_lots[[#This Row],[Stock restant]]=0,"",Stock_par_lots[[#This Row],[Date de péremption]]-TODAY()),"")</f>
        <v>107</v>
      </c>
      <c r="AA5" s="45" t="str">
        <f ca="1">IF(Stock_par_lots[[#This Row],[Stock restant]]=0,"",IF(Stock_par_lots[[#This Row],[jours restants]]&gt;=60,"Conforme",IF(AND(Stock_par_lots[[#This Row],[jours restants]]&lt;60,Stock_par_lots[[#This Row],[jours restants]]&gt;=30),"Surveillance",IF(AND(Stock_par_lots[[#This Row],[jours restants]]&lt;30,Stock_par_lots[[#This Row],[jours restants]]&gt;=0),"Urgente","Expiré"))))</f>
        <v>Conforme</v>
      </c>
      <c r="AB5" s="68" t="str">
        <f ca="1">IF(AND(Stock_par_lots[[#This Row],[jours restants]]&gt;0,Stock_par_lots[[#This Row],[jours restants]]&lt;=60),"Proche","")</f>
        <v/>
      </c>
      <c r="AD5" s="50" t="s">
        <v>54</v>
      </c>
      <c r="AE5" s="51">
        <v>0</v>
      </c>
      <c r="AF5" s="51">
        <v>15</v>
      </c>
      <c r="AG5" s="51">
        <v>15</v>
      </c>
      <c r="AI5" s="62" t="str">
        <f t="shared" si="5"/>
        <v>Oméprazole 40 mg</v>
      </c>
      <c r="AJ5" s="62">
        <f t="shared" si="6"/>
        <v>0</v>
      </c>
      <c r="AK5" s="62">
        <f t="shared" si="7"/>
        <v>15</v>
      </c>
      <c r="AL5" s="62">
        <f t="shared" si="8"/>
        <v>15</v>
      </c>
      <c r="AN5" s="123" t="s">
        <v>1</v>
      </c>
      <c r="AO5" s="123" t="s">
        <v>4</v>
      </c>
      <c r="AP5" s="99" t="s">
        <v>137</v>
      </c>
      <c r="AR5" s="50" t="s">
        <v>63</v>
      </c>
      <c r="AS5" s="51">
        <v>63</v>
      </c>
      <c r="AU5" s="50" t="s">
        <v>32</v>
      </c>
      <c r="AV5" s="51">
        <v>66900</v>
      </c>
      <c r="AX5" s="50" t="s">
        <v>148</v>
      </c>
      <c r="AY5" s="51">
        <v>80800</v>
      </c>
      <c r="BA5" s="39" t="s">
        <v>67</v>
      </c>
      <c r="BB5" s="48">
        <v>23</v>
      </c>
      <c r="BC5" s="48"/>
      <c r="BD5" s="48" t="str">
        <f t="shared" si="9"/>
        <v>Alcool médical</v>
      </c>
      <c r="BE5" s="48">
        <f t="shared" si="10"/>
        <v>23</v>
      </c>
      <c r="BF5" s="41">
        <f>IFERROR(VLOOKUP(BA5,ListeProduits[],6,FALSE),"")</f>
        <v>25</v>
      </c>
      <c r="BG5" s="42" t="str">
        <f>IFERROR(IF(Stock_par_produits[[#This Row],[Stock nim]]="","",IF(Stock_par_produits[[#This Row],[Stock nim]]&gt;Stock_par_produits[[#This Row],[Quantités restants]],"Commander","Ok")),"")</f>
        <v>Commander</v>
      </c>
      <c r="BI5" s="137" t="s">
        <v>167</v>
      </c>
      <c r="BJ5" s="51">
        <v>2600</v>
      </c>
      <c r="BL5" s="136" t="s">
        <v>167</v>
      </c>
      <c r="BM5" s="51">
        <v>1800</v>
      </c>
      <c r="BO5" s="50" t="s">
        <v>67</v>
      </c>
      <c r="BP5" s="51">
        <v>18</v>
      </c>
    </row>
    <row r="6" spans="1:69" ht="15.75" customHeight="1" x14ac:dyDescent="0.25">
      <c r="A6" t="s">
        <v>50</v>
      </c>
      <c r="B6" t="s">
        <v>15</v>
      </c>
      <c r="C6" t="s">
        <v>16</v>
      </c>
      <c r="D6" s="57">
        <f>IF(A6="","",SUMIF(HistoriqueMouvements[Code produit],A6,HistoriqueMouvements[Qantités]))</f>
        <v>30</v>
      </c>
      <c r="E6" s="51">
        <v>40</v>
      </c>
      <c r="F6" s="59">
        <v>1100</v>
      </c>
      <c r="G6" s="59">
        <f t="shared" si="11"/>
        <v>33000</v>
      </c>
      <c r="H6">
        <f ca="1">IF(A6="","",-SUMIFS(Mouvements!$H:$H,Mouvements!$D:$D,A6,Mouvements!$G:$G,"Vente",Mouvements!$C:$C,"&gt;="&amp;DATE(YEAR(TODAY()),MONTH(TODAY()),1),Mouvements!$C:$C,"&lt;"&amp;DATE(YEAR(TODAY()),MONTH(TODAY())+1,1)))</f>
        <v>25</v>
      </c>
      <c r="I6" s="59">
        <f t="shared" ca="1" si="0"/>
        <v>27500</v>
      </c>
      <c r="J6" s="57" t="str">
        <f t="shared" si="12"/>
        <v>NON</v>
      </c>
      <c r="K6" s="58" t="str">
        <f t="shared" si="13"/>
        <v>STOCK FAIBLE</v>
      </c>
      <c r="L6">
        <f t="shared" si="14"/>
        <v>10</v>
      </c>
      <c r="Q6" s="52" t="s">
        <v>67</v>
      </c>
      <c r="R6" s="52" t="s">
        <v>102</v>
      </c>
      <c r="S6" s="54">
        <v>46173</v>
      </c>
      <c r="T6" s="48">
        <v>0</v>
      </c>
      <c r="U6" s="48"/>
      <c r="V6" s="48" t="str">
        <f t="shared" si="1"/>
        <v>Alcool médical</v>
      </c>
      <c r="W6" s="48" t="str">
        <f t="shared" si="2"/>
        <v>LOT-001</v>
      </c>
      <c r="X6" s="43">
        <f t="shared" si="3"/>
        <v>0</v>
      </c>
      <c r="Y6" s="44">
        <f t="shared" si="4"/>
        <v>46173</v>
      </c>
      <c r="Z6" s="53" t="str">
        <f ca="1">IFERROR(IF(Stock_par_lots[[#This Row],[Stock restant]]=0,"",Stock_par_lots[[#This Row],[Date de péremption]]-TODAY()),"")</f>
        <v/>
      </c>
      <c r="AA6" s="45" t="str">
        <f>IF(Stock_par_lots[[#This Row],[Stock restant]]=0,"",IF(Stock_par_lots[[#This Row],[jours restants]]&gt;=60,"Conforme",IF(AND(Stock_par_lots[[#This Row],[jours restants]]&lt;60,Stock_par_lots[[#This Row],[jours restants]]&gt;=30),"Surveillance",IF(AND(Stock_par_lots[[#This Row],[jours restants]]&lt;30,Stock_par_lots[[#This Row],[jours restants]]&gt;=0),"Urgente","Expiré"))))</f>
        <v/>
      </c>
      <c r="AB6" s="68" t="str">
        <f ca="1">IF(AND(Stock_par_lots[[#This Row],[jours restants]]&gt;0,Stock_par_lots[[#This Row],[jours restants]]&lt;=60),"Proche","")</f>
        <v/>
      </c>
      <c r="AD6" s="50" t="s">
        <v>37</v>
      </c>
      <c r="AE6" s="51">
        <v>18</v>
      </c>
      <c r="AF6" s="51">
        <v>30</v>
      </c>
      <c r="AG6" s="51">
        <v>12</v>
      </c>
      <c r="AI6" s="62" t="str">
        <f t="shared" si="5"/>
        <v>Vitamine D3</v>
      </c>
      <c r="AJ6" s="62">
        <f t="shared" si="6"/>
        <v>18</v>
      </c>
      <c r="AK6" s="62">
        <f t="shared" si="7"/>
        <v>30</v>
      </c>
      <c r="AL6" s="62">
        <f t="shared" si="8"/>
        <v>12</v>
      </c>
      <c r="AN6" t="s">
        <v>65</v>
      </c>
      <c r="AO6" t="s">
        <v>145</v>
      </c>
      <c r="AP6" s="51">
        <v>60</v>
      </c>
      <c r="AR6" s="50" t="s">
        <v>142</v>
      </c>
      <c r="AS6" s="51">
        <v>86</v>
      </c>
      <c r="AU6" s="50" t="s">
        <v>63</v>
      </c>
      <c r="AV6" s="51">
        <v>75600</v>
      </c>
      <c r="AX6" s="50" t="s">
        <v>149</v>
      </c>
      <c r="AY6" s="51">
        <v>231800</v>
      </c>
      <c r="BA6" s="39" t="s">
        <v>23</v>
      </c>
      <c r="BB6" s="48">
        <v>36</v>
      </c>
      <c r="BC6" s="48"/>
      <c r="BD6" s="48" t="str">
        <f t="shared" si="9"/>
        <v>Amoxicilline 1 g</v>
      </c>
      <c r="BE6" s="48">
        <f t="shared" si="10"/>
        <v>36</v>
      </c>
      <c r="BF6" s="46">
        <f>IFERROR(VLOOKUP(BA6,ListeProduits[],6,FALSE),"")</f>
        <v>25</v>
      </c>
      <c r="BG6" s="47" t="str">
        <f>IFERROR(IF(Stock_par_produits[[#This Row],[Stock nim]]="","",IF(Stock_par_produits[[#This Row],[Stock nim]]&gt;Stock_par_produits[[#This Row],[Quantités restants]],"Commander","Ok")),"")</f>
        <v>Ok</v>
      </c>
      <c r="BI6" s="137" t="s">
        <v>168</v>
      </c>
      <c r="BJ6" s="51">
        <v>12000</v>
      </c>
      <c r="BL6" s="136" t="s">
        <v>168</v>
      </c>
      <c r="BM6" s="51">
        <v>8000</v>
      </c>
      <c r="BO6" s="50" t="s">
        <v>42</v>
      </c>
      <c r="BP6" s="51">
        <v>6</v>
      </c>
    </row>
    <row r="7" spans="1:69" ht="15.75" customHeight="1" x14ac:dyDescent="0.25">
      <c r="A7" t="s">
        <v>49</v>
      </c>
      <c r="B7" t="s">
        <v>18</v>
      </c>
      <c r="C7" t="s">
        <v>11</v>
      </c>
      <c r="D7" s="57">
        <f>IF(A7="","",SUMIF(HistoriqueMouvements[Code produit],A7,HistoriqueMouvements[Qantités]))</f>
        <v>116</v>
      </c>
      <c r="E7" s="51">
        <v>30</v>
      </c>
      <c r="F7" s="59">
        <v>900</v>
      </c>
      <c r="G7" s="59">
        <f t="shared" si="11"/>
        <v>104400</v>
      </c>
      <c r="H7">
        <f ca="1">IF(A7="","",-SUMIFS(Mouvements!$H:$H,Mouvements!$D:$D,A7,Mouvements!$G:$G,"Vente",Mouvements!$C:$C,"&gt;="&amp;DATE(YEAR(TODAY()),MONTH(TODAY()),1),Mouvements!$C:$C,"&lt;"&amp;DATE(YEAR(TODAY()),MONTH(TODAY())+1,1)))</f>
        <v>0</v>
      </c>
      <c r="I7" s="59">
        <f t="shared" ca="1" si="0"/>
        <v>0</v>
      </c>
      <c r="J7" s="57" t="str">
        <f t="shared" si="12"/>
        <v>NON</v>
      </c>
      <c r="K7" s="58" t="str">
        <f t="shared" si="13"/>
        <v>OK</v>
      </c>
      <c r="L7">
        <f t="shared" si="14"/>
        <v>0</v>
      </c>
      <c r="Q7" s="52" t="s">
        <v>67</v>
      </c>
      <c r="R7" s="52" t="s">
        <v>145</v>
      </c>
      <c r="S7" s="54">
        <v>46325</v>
      </c>
      <c r="T7" s="48">
        <v>23</v>
      </c>
      <c r="U7" s="48"/>
      <c r="V7" s="48" t="str">
        <f t="shared" si="1"/>
        <v>Alcool médical</v>
      </c>
      <c r="W7" s="48" t="str">
        <f t="shared" si="2"/>
        <v>LOT-002</v>
      </c>
      <c r="X7" s="43">
        <f t="shared" si="3"/>
        <v>23</v>
      </c>
      <c r="Y7" s="44">
        <f t="shared" si="4"/>
        <v>46325</v>
      </c>
      <c r="Z7" s="53">
        <f ca="1">IFERROR(IF(Stock_par_lots[[#This Row],[Stock restant]]=0,"",Stock_par_lots[[#This Row],[Date de péremption]]-TODAY()),"")</f>
        <v>61</v>
      </c>
      <c r="AA7" s="45" t="str">
        <f ca="1">IF(Stock_par_lots[[#This Row],[Stock restant]]=0,"",IF(Stock_par_lots[[#This Row],[jours restants]]&gt;=60,"Conforme",IF(AND(Stock_par_lots[[#This Row],[jours restants]]&lt;60,Stock_par_lots[[#This Row],[jours restants]]&gt;=30),"Surveillance",IF(AND(Stock_par_lots[[#This Row],[jours restants]]&lt;30,Stock_par_lots[[#This Row],[jours restants]]&gt;=0),"Urgente","Expiré"))))</f>
        <v>Conforme</v>
      </c>
      <c r="AB7" s="68" t="str">
        <f ca="1">IF(AND(Stock_par_lots[[#This Row],[jours restants]]&gt;0,Stock_par_lots[[#This Row],[jours restants]]&lt;=60),"Proche","")</f>
        <v/>
      </c>
      <c r="AD7" s="50" t="s">
        <v>15</v>
      </c>
      <c r="AE7" s="51">
        <v>30</v>
      </c>
      <c r="AF7" s="51">
        <v>40</v>
      </c>
      <c r="AG7" s="51">
        <v>10</v>
      </c>
      <c r="AI7" s="62" t="str">
        <f t="shared" si="5"/>
        <v>Ibuprofène 400 mg</v>
      </c>
      <c r="AJ7" s="62">
        <f t="shared" si="6"/>
        <v>30</v>
      </c>
      <c r="AK7" s="62">
        <f t="shared" si="7"/>
        <v>40</v>
      </c>
      <c r="AL7" s="62">
        <f t="shared" si="8"/>
        <v>10</v>
      </c>
      <c r="AN7" t="s">
        <v>64</v>
      </c>
      <c r="AO7" t="s">
        <v>145</v>
      </c>
      <c r="AP7" s="51">
        <v>32</v>
      </c>
      <c r="AR7" s="50" t="s">
        <v>32</v>
      </c>
      <c r="AS7" s="51">
        <v>92</v>
      </c>
      <c r="AU7" s="50" t="s">
        <v>16</v>
      </c>
      <c r="AV7" s="51">
        <v>196800</v>
      </c>
      <c r="AX7" s="50" t="s">
        <v>151</v>
      </c>
      <c r="AY7" s="51">
        <v>285700</v>
      </c>
      <c r="BA7" s="39" t="s">
        <v>20</v>
      </c>
      <c r="BB7" s="48">
        <v>26</v>
      </c>
      <c r="BC7" s="48"/>
      <c r="BD7" s="48" t="str">
        <f t="shared" si="9"/>
        <v>Amoxicilline 500 mg</v>
      </c>
      <c r="BE7" s="48">
        <f t="shared" si="10"/>
        <v>26</v>
      </c>
      <c r="BF7" s="46">
        <f>IFERROR(VLOOKUP(BA7,ListeProduits[],6,FALSE),"")</f>
        <v>30</v>
      </c>
      <c r="BG7" s="47" t="str">
        <f>IFERROR(IF(Stock_par_produits[[#This Row],[Stock nim]]="","",IF(Stock_par_produits[[#This Row],[Stock nim]]&gt;Stock_par_produits[[#This Row],[Quantités restants]],"Commander","Ok")),"")</f>
        <v>Commander</v>
      </c>
      <c r="BI7" s="137" t="s">
        <v>169</v>
      </c>
      <c r="BJ7" s="51">
        <v>17600</v>
      </c>
      <c r="BL7" s="136" t="s">
        <v>169</v>
      </c>
      <c r="BM7" s="51">
        <v>12000</v>
      </c>
      <c r="BO7" s="50" t="s">
        <v>54</v>
      </c>
      <c r="BP7" s="51">
        <v>8</v>
      </c>
    </row>
    <row r="8" spans="1:69" ht="15.75" x14ac:dyDescent="0.25">
      <c r="A8" t="s">
        <v>48</v>
      </c>
      <c r="B8" t="s">
        <v>20</v>
      </c>
      <c r="C8" t="s">
        <v>21</v>
      </c>
      <c r="D8" s="57">
        <f>IF(A8="","",SUMIF(HistoriqueMouvements[Code produit],A8,HistoriqueMouvements[Qantités]))</f>
        <v>26</v>
      </c>
      <c r="E8" s="51">
        <v>30</v>
      </c>
      <c r="F8" s="59">
        <v>2200</v>
      </c>
      <c r="G8" s="59">
        <f t="shared" si="11"/>
        <v>57200</v>
      </c>
      <c r="H8">
        <f ca="1">IF(A8="","",-SUMIFS(Mouvements!$H:$H,Mouvements!$D:$D,A8,Mouvements!$G:$G,"Vente",Mouvements!$C:$C,"&gt;="&amp;DATE(YEAR(TODAY()),MONTH(TODAY()),1),Mouvements!$C:$C,"&lt;"&amp;DATE(YEAR(TODAY()),MONTH(TODAY())+1,1)))</f>
        <v>30</v>
      </c>
      <c r="I8" s="59">
        <f t="shared" ca="1" si="0"/>
        <v>66000</v>
      </c>
      <c r="J8" s="57" t="str">
        <f t="shared" si="12"/>
        <v>NON</v>
      </c>
      <c r="K8" s="58" t="str">
        <f t="shared" si="13"/>
        <v>STOCK FAIBLE</v>
      </c>
      <c r="L8">
        <f t="shared" si="14"/>
        <v>4</v>
      </c>
      <c r="N8" s="64" t="s">
        <v>119</v>
      </c>
      <c r="O8" s="64" t="s">
        <v>118</v>
      </c>
      <c r="Q8" s="52" t="s">
        <v>23</v>
      </c>
      <c r="R8" s="52" t="s">
        <v>102</v>
      </c>
      <c r="S8" s="54">
        <v>46173</v>
      </c>
      <c r="T8" s="48">
        <v>36</v>
      </c>
      <c r="U8" s="48"/>
      <c r="V8" s="48" t="str">
        <f t="shared" si="1"/>
        <v>Amoxicilline 1 g</v>
      </c>
      <c r="W8" s="48" t="str">
        <f t="shared" si="2"/>
        <v>LOT-001</v>
      </c>
      <c r="X8" s="43">
        <f t="shared" si="3"/>
        <v>36</v>
      </c>
      <c r="Y8" s="44">
        <f t="shared" si="4"/>
        <v>46173</v>
      </c>
      <c r="Z8" s="53">
        <f ca="1">IFERROR(IF(Stock_par_lots[[#This Row],[Stock restant]]=0,"",Stock_par_lots[[#This Row],[Date de péremption]]-TODAY()),"")</f>
        <v>-91</v>
      </c>
      <c r="AA8" s="45" t="str">
        <f ca="1">IF(Stock_par_lots[[#This Row],[Stock restant]]=0,"",IF(Stock_par_lots[[#This Row],[jours restants]]&gt;=60,"Conforme",IF(AND(Stock_par_lots[[#This Row],[jours restants]]&lt;60,Stock_par_lots[[#This Row],[jours restants]]&gt;=30),"Surveillance",IF(AND(Stock_par_lots[[#This Row],[jours restants]]&lt;30,Stock_par_lots[[#This Row],[jours restants]]&gt;=0),"Urgente","Expiré"))))</f>
        <v>Expiré</v>
      </c>
      <c r="AB8" s="68" t="str">
        <f ca="1">IF(AND(Stock_par_lots[[#This Row],[jours restants]]&gt;0,Stock_par_lots[[#This Row],[jours restants]]&lt;=60),"Proche","")</f>
        <v/>
      </c>
      <c r="AD8" s="50" t="s">
        <v>143</v>
      </c>
      <c r="AE8" s="51">
        <v>20</v>
      </c>
      <c r="AF8" s="51">
        <v>25</v>
      </c>
      <c r="AG8" s="51">
        <v>5</v>
      </c>
      <c r="AI8" s="62" t="str">
        <f t="shared" si="5"/>
        <v>Metronidazole 500 mg</v>
      </c>
      <c r="AJ8" s="62">
        <f t="shared" si="6"/>
        <v>20</v>
      </c>
      <c r="AK8" s="62">
        <f t="shared" si="7"/>
        <v>25</v>
      </c>
      <c r="AL8" s="62">
        <f t="shared" si="8"/>
        <v>5</v>
      </c>
      <c r="AN8" t="s">
        <v>61</v>
      </c>
      <c r="AO8" t="s">
        <v>102</v>
      </c>
      <c r="AP8" s="51">
        <v>3</v>
      </c>
      <c r="AR8" s="50" t="s">
        <v>66</v>
      </c>
      <c r="AS8" s="51">
        <v>101</v>
      </c>
      <c r="AU8" s="50" t="s">
        <v>142</v>
      </c>
      <c r="AV8" s="51">
        <v>197800</v>
      </c>
      <c r="AX8" s="50" t="s">
        <v>158</v>
      </c>
      <c r="AY8" s="51">
        <v>130400</v>
      </c>
      <c r="BA8" s="39" t="s">
        <v>60</v>
      </c>
      <c r="BB8" s="48">
        <v>70</v>
      </c>
      <c r="BC8" s="48"/>
      <c r="BD8" s="48" t="str">
        <f t="shared" si="9"/>
        <v>Amoxicilline sirop</v>
      </c>
      <c r="BE8" s="48">
        <f t="shared" si="10"/>
        <v>70</v>
      </c>
      <c r="BF8" s="46">
        <f>IFERROR(VLOOKUP(BA8,ListeProduits[],6,FALSE),"")</f>
        <v>25</v>
      </c>
      <c r="BG8" s="47" t="str">
        <f>IFERROR(IF(Stock_par_produits[[#This Row],[Stock nim]]="","",IF(Stock_par_produits[[#This Row],[Stock nim]]&gt;Stock_par_produits[[#This Row],[Quantités restants]],"Commander","Ok")),"")</f>
        <v>Ok</v>
      </c>
      <c r="BI8" s="137" t="s">
        <v>170</v>
      </c>
      <c r="BJ8" s="51">
        <v>7800</v>
      </c>
      <c r="BL8" s="136" t="s">
        <v>170</v>
      </c>
      <c r="BM8" s="51">
        <v>5400</v>
      </c>
      <c r="BO8" s="50" t="s">
        <v>57</v>
      </c>
      <c r="BP8" s="51">
        <v>8</v>
      </c>
    </row>
    <row r="9" spans="1:69" ht="15.75" x14ac:dyDescent="0.25">
      <c r="A9" t="s">
        <v>47</v>
      </c>
      <c r="B9" t="s">
        <v>23</v>
      </c>
      <c r="C9" t="s">
        <v>21</v>
      </c>
      <c r="D9" s="57">
        <f>IF(A9="","",SUMIF(HistoriqueMouvements[Code produit],A9,HistoriqueMouvements[Qantités]))</f>
        <v>36</v>
      </c>
      <c r="E9" s="51">
        <v>25</v>
      </c>
      <c r="F9" s="59">
        <v>2600</v>
      </c>
      <c r="G9" s="59">
        <f t="shared" si="11"/>
        <v>93600</v>
      </c>
      <c r="H9">
        <f ca="1">IF(A9="","",-SUMIFS(Mouvements!$H:$H,Mouvements!$D:$D,A9,Mouvements!$G:$G,"Vente",Mouvements!$C:$C,"&gt;="&amp;DATE(YEAR(TODAY()),MONTH(TODAY()),1),Mouvements!$C:$C,"&lt;"&amp;DATE(YEAR(TODAY()),MONTH(TODAY())+1,1)))</f>
        <v>0</v>
      </c>
      <c r="I9" s="59">
        <f t="shared" ca="1" si="0"/>
        <v>0</v>
      </c>
      <c r="J9" s="57" t="str">
        <f t="shared" si="12"/>
        <v>NON</v>
      </c>
      <c r="K9" s="58" t="str">
        <f t="shared" si="13"/>
        <v>OK</v>
      </c>
      <c r="L9">
        <f t="shared" si="14"/>
        <v>0</v>
      </c>
      <c r="N9" s="63">
        <f ca="1">SUM(I4:I1000)</f>
        <v>248100</v>
      </c>
      <c r="O9" s="63">
        <f>SUM(G4:G1000)</f>
        <v>2558200</v>
      </c>
      <c r="Q9" s="52" t="s">
        <v>20</v>
      </c>
      <c r="R9" s="52" t="s">
        <v>102</v>
      </c>
      <c r="S9" s="54">
        <v>46568</v>
      </c>
      <c r="T9" s="48">
        <v>26</v>
      </c>
      <c r="U9" s="48"/>
      <c r="V9" s="48" t="str">
        <f t="shared" si="1"/>
        <v>Amoxicilline 500 mg</v>
      </c>
      <c r="W9" s="48" t="str">
        <f t="shared" si="2"/>
        <v>LOT-001</v>
      </c>
      <c r="X9" s="43">
        <f t="shared" si="3"/>
        <v>26</v>
      </c>
      <c r="Y9" s="44">
        <f t="shared" si="4"/>
        <v>46568</v>
      </c>
      <c r="Z9" s="53">
        <f ca="1">IFERROR(IF(Stock_par_lots[[#This Row],[Stock restant]]=0,"",Stock_par_lots[[#This Row],[Date de péremption]]-TODAY()),"")</f>
        <v>304</v>
      </c>
      <c r="AA9" s="45" t="str">
        <f ca="1">IF(Stock_par_lots[[#This Row],[Stock restant]]=0,"",IF(Stock_par_lots[[#This Row],[jours restants]]&gt;=60,"Conforme",IF(AND(Stock_par_lots[[#This Row],[jours restants]]&lt;60,Stock_par_lots[[#This Row],[jours restants]]&gt;=30),"Surveillance",IF(AND(Stock_par_lots[[#This Row],[jours restants]]&lt;30,Stock_par_lots[[#This Row],[jours restants]]&gt;=0),"Urgente","Expiré"))))</f>
        <v>Conforme</v>
      </c>
      <c r="AB9" s="68" t="str">
        <f ca="1">IF(AND(Stock_par_lots[[#This Row],[jours restants]]&gt;0,Stock_par_lots[[#This Row],[jours restants]]&lt;=60),"Proche","")</f>
        <v/>
      </c>
      <c r="AD9" s="50" t="s">
        <v>20</v>
      </c>
      <c r="AE9" s="51">
        <v>26</v>
      </c>
      <c r="AF9" s="51">
        <v>30</v>
      </c>
      <c r="AG9" s="51">
        <v>4</v>
      </c>
      <c r="AI9" s="62" t="str">
        <f t="shared" si="5"/>
        <v>Amoxicilline 500 mg</v>
      </c>
      <c r="AJ9" s="62">
        <f t="shared" si="6"/>
        <v>26</v>
      </c>
      <c r="AK9" s="62">
        <f t="shared" si="7"/>
        <v>30</v>
      </c>
      <c r="AL9" s="62">
        <f t="shared" si="8"/>
        <v>4</v>
      </c>
      <c r="AN9" t="s">
        <v>60</v>
      </c>
      <c r="AO9" t="s">
        <v>102</v>
      </c>
      <c r="AP9" s="51">
        <v>30</v>
      </c>
      <c r="AR9" s="50" t="s">
        <v>16</v>
      </c>
      <c r="AS9" s="51">
        <v>121</v>
      </c>
      <c r="AU9" s="50" t="s">
        <v>66</v>
      </c>
      <c r="AV9" s="51">
        <v>206100</v>
      </c>
      <c r="AX9" s="50" t="s">
        <v>159</v>
      </c>
      <c r="AY9" s="51">
        <v>218100</v>
      </c>
      <c r="BA9" s="39" t="s">
        <v>18</v>
      </c>
      <c r="BB9" s="48">
        <v>116</v>
      </c>
      <c r="BC9" s="48"/>
      <c r="BD9" s="48" t="str">
        <f t="shared" si="9"/>
        <v>Aspirine 500 mg</v>
      </c>
      <c r="BE9" s="48">
        <f t="shared" si="10"/>
        <v>116</v>
      </c>
      <c r="BF9" s="46">
        <f>IFERROR(VLOOKUP(BA9,ListeProduits[],6,FALSE),"")</f>
        <v>30</v>
      </c>
      <c r="BG9" s="47" t="str">
        <f>IFERROR(IF(Stock_par_produits[[#This Row],[Stock nim]]="","",IF(Stock_par_produits[[#This Row],[Stock nim]]&gt;Stock_par_produits[[#This Row],[Quantités restants]],"Commander","Ok")),"")</f>
        <v>Ok</v>
      </c>
      <c r="BI9" s="137" t="s">
        <v>171</v>
      </c>
      <c r="BJ9" s="51">
        <v>3500</v>
      </c>
      <c r="BL9" s="136" t="s">
        <v>171</v>
      </c>
      <c r="BM9" s="51">
        <v>2500</v>
      </c>
    </row>
    <row r="10" spans="1:69" ht="15.75" customHeight="1" x14ac:dyDescent="0.25">
      <c r="A10" t="s">
        <v>45</v>
      </c>
      <c r="B10" t="s">
        <v>25</v>
      </c>
      <c r="C10" t="s">
        <v>21</v>
      </c>
      <c r="D10" s="57">
        <f>IF(A10="","",SUMIF(HistoriqueMouvements[Code produit],A10,HistoriqueMouvements[Qantités]))</f>
        <v>41</v>
      </c>
      <c r="E10" s="51">
        <v>20</v>
      </c>
      <c r="F10" s="59">
        <v>1800</v>
      </c>
      <c r="G10" s="59">
        <f>Data_Dashboard!BK21</f>
        <v>0</v>
      </c>
      <c r="H10">
        <f ca="1">IF(A10="","",-SUMIFS(Mouvements!$H:$H,Mouvements!$D:$D,A10,Mouvements!$G:$G,"Vente",Mouvements!$C:$C,"&gt;="&amp;DATE(YEAR(TODAY()),MONTH(TODAY()),1),Mouvements!$C:$C,"&lt;"&amp;DATE(YEAR(TODAY()),MONTH(TODAY())+1,1)))</f>
        <v>0</v>
      </c>
      <c r="I10" s="59">
        <f t="shared" ca="1" si="0"/>
        <v>0</v>
      </c>
      <c r="J10" s="57" t="str">
        <f t="shared" si="12"/>
        <v>NON</v>
      </c>
      <c r="K10" s="58" t="str">
        <f t="shared" si="13"/>
        <v>OK</v>
      </c>
      <c r="L10">
        <f t="shared" si="14"/>
        <v>0</v>
      </c>
      <c r="Q10" s="52" t="s">
        <v>20</v>
      </c>
      <c r="R10" s="52" t="s">
        <v>145</v>
      </c>
      <c r="S10" s="54">
        <v>46310</v>
      </c>
      <c r="T10" s="48">
        <v>0</v>
      </c>
      <c r="U10" s="48"/>
      <c r="V10" s="48" t="str">
        <f t="shared" si="1"/>
        <v>Amoxicilline 500 mg</v>
      </c>
      <c r="W10" s="48" t="str">
        <f t="shared" si="2"/>
        <v>LOT-002</v>
      </c>
      <c r="X10" s="43">
        <f t="shared" si="3"/>
        <v>0</v>
      </c>
      <c r="Y10" s="44">
        <f t="shared" si="4"/>
        <v>46310</v>
      </c>
      <c r="Z10" s="53" t="str">
        <f ca="1">IFERROR(IF(Stock_par_lots[[#This Row],[Stock restant]]=0,"",Stock_par_lots[[#This Row],[Date de péremption]]-TODAY()),"")</f>
        <v/>
      </c>
      <c r="AA10" s="45" t="str">
        <f>IF(Stock_par_lots[[#This Row],[Stock restant]]=0,"",IF(Stock_par_lots[[#This Row],[jours restants]]&gt;=60,"Conforme",IF(AND(Stock_par_lots[[#This Row],[jours restants]]&lt;60,Stock_par_lots[[#This Row],[jours restants]]&gt;=30),"Surveillance",IF(AND(Stock_par_lots[[#This Row],[jours restants]]&lt;30,Stock_par_lots[[#This Row],[jours restants]]&gt;=0),"Urgente","Expiré"))))</f>
        <v/>
      </c>
      <c r="AB10" s="68" t="str">
        <f ca="1">IF(AND(Stock_par_lots[[#This Row],[jours restants]]&gt;0,Stock_par_lots[[#This Row],[jours restants]]&lt;=60),"Proche","")</f>
        <v/>
      </c>
      <c r="AD10" s="50" t="s">
        <v>31</v>
      </c>
      <c r="AE10" s="51">
        <v>27</v>
      </c>
      <c r="AF10" s="51">
        <v>30</v>
      </c>
      <c r="AG10" s="51">
        <v>3</v>
      </c>
      <c r="AI10" s="62" t="str">
        <f t="shared" si="5"/>
        <v>Vitamine C 500 mg</v>
      </c>
      <c r="AJ10" s="62">
        <f t="shared" si="6"/>
        <v>27</v>
      </c>
      <c r="AK10" s="62">
        <f t="shared" si="7"/>
        <v>30</v>
      </c>
      <c r="AL10" s="62">
        <f t="shared" si="8"/>
        <v>3</v>
      </c>
      <c r="AN10" t="s">
        <v>51</v>
      </c>
      <c r="AO10" t="s">
        <v>145</v>
      </c>
      <c r="AP10" s="51">
        <v>67</v>
      </c>
      <c r="AR10" s="50" t="s">
        <v>58</v>
      </c>
      <c r="AS10" s="51">
        <v>134</v>
      </c>
      <c r="AU10" s="50" t="s">
        <v>44</v>
      </c>
      <c r="AV10" s="51">
        <v>353400</v>
      </c>
      <c r="AX10" s="50" t="s">
        <v>160</v>
      </c>
      <c r="AY10" s="51">
        <v>154500</v>
      </c>
      <c r="BA10" s="39" t="s">
        <v>25</v>
      </c>
      <c r="BB10" s="48">
        <v>41</v>
      </c>
      <c r="BC10" s="48"/>
      <c r="BD10" s="48" t="str">
        <f t="shared" si="9"/>
        <v>Azithromycine 500 mg</v>
      </c>
      <c r="BE10" s="48">
        <f t="shared" si="10"/>
        <v>41</v>
      </c>
      <c r="BF10" s="46">
        <f>IFERROR(VLOOKUP(BA10,ListeProduits[],6,FALSE),"")</f>
        <v>20</v>
      </c>
      <c r="BG10" s="47" t="str">
        <f>IFERROR(IF(Stock_par_produits[[#This Row],[Stock nim]]="","",IF(Stock_par_produits[[#This Row],[Stock nim]]&gt;Stock_par_produits[[#This Row],[Quantités restants]],"Commander","Ok")),"")</f>
        <v>Ok</v>
      </c>
      <c r="BI10" s="137" t="s">
        <v>172</v>
      </c>
      <c r="BJ10" s="51">
        <v>19200</v>
      </c>
      <c r="BL10" s="136" t="s">
        <v>172</v>
      </c>
      <c r="BM10" s="51">
        <v>13200</v>
      </c>
    </row>
    <row r="11" spans="1:69" ht="15.75" x14ac:dyDescent="0.25">
      <c r="A11" t="s">
        <v>43</v>
      </c>
      <c r="B11" t="s">
        <v>144</v>
      </c>
      <c r="C11" t="s">
        <v>21</v>
      </c>
      <c r="D11" s="57">
        <f>IF(A11="","",SUMIF(HistoriqueMouvements[Code produit],A11,HistoriqueMouvements[Qantités]))</f>
        <v>67</v>
      </c>
      <c r="E11" s="51">
        <v>20</v>
      </c>
      <c r="F11" s="59">
        <v>2600</v>
      </c>
      <c r="G11" s="59">
        <f t="shared" si="11"/>
        <v>174200</v>
      </c>
      <c r="H11">
        <f ca="1">IF(A11="","",-SUMIFS(Mouvements!$H:$H,Mouvements!$D:$D,A11,Mouvements!$G:$G,"Vente",Mouvements!$C:$C,"&gt;="&amp;DATE(YEAR(TODAY()),MONTH(TODAY()),1),Mouvements!$C:$C,"&lt;"&amp;DATE(YEAR(TODAY()),MONTH(TODAY())+1,1)))</f>
        <v>0</v>
      </c>
      <c r="I11" s="59">
        <f t="shared" ca="1" si="0"/>
        <v>0</v>
      </c>
      <c r="J11" s="57" t="str">
        <f t="shared" si="12"/>
        <v>NON</v>
      </c>
      <c r="K11" s="58" t="str">
        <f t="shared" si="13"/>
        <v>OK</v>
      </c>
      <c r="L11">
        <f t="shared" si="14"/>
        <v>0</v>
      </c>
      <c r="Q11" s="52" t="s">
        <v>60</v>
      </c>
      <c r="R11" s="52" t="s">
        <v>102</v>
      </c>
      <c r="S11" s="54">
        <v>46275</v>
      </c>
      <c r="T11" s="48">
        <v>30</v>
      </c>
      <c r="U11" s="48"/>
      <c r="V11" s="48" t="str">
        <f t="shared" si="1"/>
        <v>Amoxicilline sirop</v>
      </c>
      <c r="W11" s="48" t="str">
        <f t="shared" si="2"/>
        <v>LOT-001</v>
      </c>
      <c r="X11" s="43">
        <f t="shared" si="3"/>
        <v>30</v>
      </c>
      <c r="Y11" s="44">
        <f t="shared" si="4"/>
        <v>46275</v>
      </c>
      <c r="Z11" s="53">
        <f ca="1">IFERROR(IF(Stock_par_lots[[#This Row],[Stock restant]]=0,"",Stock_par_lots[[#This Row],[Date de péremption]]-TODAY()),"")</f>
        <v>11</v>
      </c>
      <c r="AA11" s="45" t="str">
        <f ca="1">IF(Stock_par_lots[[#This Row],[Stock restant]]=0,"",IF(Stock_par_lots[[#This Row],[jours restants]]&gt;=60,"Conforme",IF(AND(Stock_par_lots[[#This Row],[jours restants]]&lt;60,Stock_par_lots[[#This Row],[jours restants]]&gt;=30),"Surveillance",IF(AND(Stock_par_lots[[#This Row],[jours restants]]&lt;30,Stock_par_lots[[#This Row],[jours restants]]&gt;=0),"Urgente","Expiré"))))</f>
        <v>Urgente</v>
      </c>
      <c r="AB11" s="68" t="str">
        <f ca="1">IF(AND(Stock_par_lots[[#This Row],[jours restants]]&gt;0,Stock_par_lots[[#This Row],[jours restants]]&lt;=60),"Proche","")</f>
        <v>Proche</v>
      </c>
      <c r="AD11" s="50" t="s">
        <v>67</v>
      </c>
      <c r="AE11" s="51">
        <v>23</v>
      </c>
      <c r="AF11" s="51">
        <v>25</v>
      </c>
      <c r="AG11" s="51">
        <v>2</v>
      </c>
      <c r="AI11" s="62" t="str">
        <f t="shared" si="5"/>
        <v>Alcool médical</v>
      </c>
      <c r="AJ11" s="62">
        <f t="shared" si="6"/>
        <v>23</v>
      </c>
      <c r="AK11" s="62">
        <f t="shared" si="7"/>
        <v>25</v>
      </c>
      <c r="AL11" s="62">
        <f t="shared" si="8"/>
        <v>2</v>
      </c>
      <c r="AN11" t="s">
        <v>46</v>
      </c>
      <c r="AO11" t="s">
        <v>102</v>
      </c>
      <c r="AP11" s="51">
        <v>46</v>
      </c>
      <c r="AR11" s="50" t="s">
        <v>44</v>
      </c>
      <c r="AS11" s="51">
        <v>186</v>
      </c>
      <c r="AU11" s="50" t="s">
        <v>11</v>
      </c>
      <c r="AV11" s="51">
        <v>383500</v>
      </c>
      <c r="AX11" s="50" t="s">
        <v>162</v>
      </c>
      <c r="AY11" s="51">
        <v>248100</v>
      </c>
      <c r="BA11" s="39" t="s">
        <v>65</v>
      </c>
      <c r="BB11" s="48">
        <v>78</v>
      </c>
      <c r="BC11" s="48"/>
      <c r="BD11" s="48" t="str">
        <f t="shared" si="9"/>
        <v>Bétadine</v>
      </c>
      <c r="BE11" s="48">
        <f t="shared" si="10"/>
        <v>78</v>
      </c>
      <c r="BF11" s="46">
        <f>IFERROR(VLOOKUP(BA11,ListeProduits[],6,FALSE),"")</f>
        <v>20</v>
      </c>
      <c r="BG11" s="47" t="str">
        <f>IFERROR(IF(Stock_par_produits[[#This Row],[Stock nim]]="","",IF(Stock_par_produits[[#This Row],[Stock nim]]&gt;Stock_par_produits[[#This Row],[Quantités restants]],"Commander","Ok")),"")</f>
        <v>Ok</v>
      </c>
      <c r="BI11" s="137" t="s">
        <v>173</v>
      </c>
      <c r="BJ11" s="51">
        <v>6000</v>
      </c>
      <c r="BL11" s="136" t="s">
        <v>173</v>
      </c>
      <c r="BM11" s="51">
        <v>4000</v>
      </c>
    </row>
    <row r="12" spans="1:69" ht="15.75" x14ac:dyDescent="0.25">
      <c r="A12" t="s">
        <v>41</v>
      </c>
      <c r="B12" t="s">
        <v>27</v>
      </c>
      <c r="C12" t="s">
        <v>21</v>
      </c>
      <c r="D12" s="57">
        <f>IF(A12="","",SUMIF(HistoriqueMouvements[Code produit],A12,HistoriqueMouvements[Qantités]))</f>
        <v>57</v>
      </c>
      <c r="E12" s="51">
        <v>20</v>
      </c>
      <c r="F12" s="59">
        <v>1100</v>
      </c>
      <c r="G12" s="59">
        <f t="shared" si="11"/>
        <v>62700</v>
      </c>
      <c r="H12">
        <f ca="1">IF(A12="","",-SUMIFS(Mouvements!$H:$H,Mouvements!$D:$D,A12,Mouvements!$G:$G,"Vente",Mouvements!$C:$C,"&gt;="&amp;DATE(YEAR(TODAY()),MONTH(TODAY()),1),Mouvements!$C:$C,"&lt;"&amp;DATE(YEAR(TODAY()),MONTH(TODAY())+1,1)))</f>
        <v>0</v>
      </c>
      <c r="I12" s="59">
        <f t="shared" ca="1" si="0"/>
        <v>0</v>
      </c>
      <c r="J12" s="57" t="str">
        <f t="shared" si="12"/>
        <v>NON</v>
      </c>
      <c r="K12" s="58" t="str">
        <f t="shared" si="13"/>
        <v>OK</v>
      </c>
      <c r="L12">
        <f t="shared" si="14"/>
        <v>0</v>
      </c>
      <c r="N12" s="65" t="s">
        <v>122</v>
      </c>
      <c r="O12" s="65" t="str">
        <f ca="1">IFERROR(INDEX($B$4:$B$1000,MATCH(MAX($H$4:$H$1000),$H$4:$H$1000,0)),"")</f>
        <v>Paracétamol 500 mg</v>
      </c>
      <c r="Q12" s="52" t="s">
        <v>60</v>
      </c>
      <c r="R12" s="52" t="s">
        <v>145</v>
      </c>
      <c r="S12" s="54">
        <v>46356</v>
      </c>
      <c r="T12" s="48">
        <v>40</v>
      </c>
      <c r="U12" s="48"/>
      <c r="V12" s="48" t="str">
        <f t="shared" si="1"/>
        <v>Amoxicilline sirop</v>
      </c>
      <c r="W12" s="48" t="str">
        <f t="shared" si="2"/>
        <v>LOT-002</v>
      </c>
      <c r="X12" s="43">
        <f t="shared" si="3"/>
        <v>40</v>
      </c>
      <c r="Y12" s="44">
        <f t="shared" si="4"/>
        <v>46356</v>
      </c>
      <c r="Z12" s="53">
        <f ca="1">IFERROR(IF(Stock_par_lots[[#This Row],[Stock restant]]=0,"",Stock_par_lots[[#This Row],[Date de péremption]]-TODAY()),"")</f>
        <v>92</v>
      </c>
      <c r="AA12" s="45" t="str">
        <f ca="1">IF(Stock_par_lots[[#This Row],[Stock restant]]=0,"",IF(Stock_par_lots[[#This Row],[jours restants]]&gt;=60,"Conforme",IF(AND(Stock_par_lots[[#This Row],[jours restants]]&lt;60,Stock_par_lots[[#This Row],[jours restants]]&gt;=30),"Surveillance",IF(AND(Stock_par_lots[[#This Row],[jours restants]]&lt;30,Stock_par_lots[[#This Row],[jours restants]]&gt;=0),"Urgente","Expiré"))))</f>
        <v>Conforme</v>
      </c>
      <c r="AB12" s="68" t="str">
        <f ca="1">IF(AND(Stock_par_lots[[#This Row],[jours restants]]&gt;0,Stock_par_lots[[#This Row],[jours restants]]&lt;=60),"Proche","")</f>
        <v/>
      </c>
      <c r="AI12" s="62" t="str">
        <f t="shared" si="5"/>
        <v/>
      </c>
      <c r="AJ12" s="62" t="str">
        <f t="shared" si="6"/>
        <v/>
      </c>
      <c r="AK12" s="62" t="str">
        <f t="shared" si="7"/>
        <v/>
      </c>
      <c r="AL12" s="62" t="str">
        <f t="shared" si="8"/>
        <v/>
      </c>
      <c r="AO12" t="s">
        <v>145</v>
      </c>
      <c r="AP12" s="51">
        <v>95</v>
      </c>
      <c r="AR12" s="50" t="s">
        <v>11</v>
      </c>
      <c r="AS12" s="51">
        <v>295</v>
      </c>
      <c r="AU12" s="50" t="s">
        <v>58</v>
      </c>
      <c r="AV12" s="51">
        <v>440800</v>
      </c>
      <c r="AX12" s="147" t="s">
        <v>163</v>
      </c>
      <c r="AY12" s="146">
        <v>1498700</v>
      </c>
      <c r="BA12" s="39" t="s">
        <v>27</v>
      </c>
      <c r="BB12" s="48">
        <v>57</v>
      </c>
      <c r="BC12" s="48"/>
      <c r="BD12" s="48" t="str">
        <f t="shared" si="9"/>
        <v>Ciprofloxacine 500 mg</v>
      </c>
      <c r="BE12" s="48">
        <f t="shared" si="10"/>
        <v>57</v>
      </c>
      <c r="BF12" s="46">
        <f>IFERROR(VLOOKUP(BA12,ListeProduits[],6,FALSE),"")</f>
        <v>20</v>
      </c>
      <c r="BG12" s="47" t="str">
        <f>IFERROR(IF(Stock_par_produits[[#This Row],[Stock nim]]="","",IF(Stock_par_produits[[#This Row],[Stock nim]]&gt;Stock_par_produits[[#This Row],[Quantités restants]],"Commander","Ok")),"")</f>
        <v>Ok</v>
      </c>
      <c r="BI12" s="137" t="s">
        <v>174</v>
      </c>
      <c r="BJ12" s="51">
        <v>14800</v>
      </c>
      <c r="BL12" s="136" t="s">
        <v>174</v>
      </c>
      <c r="BM12" s="51">
        <v>9800</v>
      </c>
    </row>
    <row r="13" spans="1:69" ht="15.75" x14ac:dyDescent="0.25">
      <c r="A13" t="s">
        <v>40</v>
      </c>
      <c r="B13" t="s">
        <v>143</v>
      </c>
      <c r="C13" t="s">
        <v>21</v>
      </c>
      <c r="D13" s="57">
        <f>IF(A13="","",SUMIF(HistoriqueMouvements[Code produit],A13,HistoriqueMouvements[Qantités]))</f>
        <v>20</v>
      </c>
      <c r="E13" s="51">
        <v>25</v>
      </c>
      <c r="F13" s="59">
        <v>800</v>
      </c>
      <c r="G13" s="59">
        <f t="shared" si="11"/>
        <v>16000</v>
      </c>
      <c r="H13">
        <f ca="1">IF(A13="","",-SUMIFS(Mouvements!$H:$H,Mouvements!$D:$D,A13,Mouvements!$G:$G,"Vente",Mouvements!$C:$C,"&gt;="&amp;DATE(YEAR(TODAY()),MONTH(TODAY()),1),Mouvements!$C:$C,"&lt;"&amp;DATE(YEAR(TODAY()),MONTH(TODAY())+1,1)))</f>
        <v>18</v>
      </c>
      <c r="I13" s="59">
        <f t="shared" ca="1" si="0"/>
        <v>14400</v>
      </c>
      <c r="J13" s="57" t="str">
        <f t="shared" si="12"/>
        <v>NON</v>
      </c>
      <c r="K13" s="58" t="str">
        <f t="shared" si="13"/>
        <v>STOCK FAIBLE</v>
      </c>
      <c r="L13">
        <f t="shared" si="14"/>
        <v>5</v>
      </c>
      <c r="N13" s="62" t="s">
        <v>123</v>
      </c>
      <c r="O13" s="62">
        <f ca="1">MAX($H$4:$H$1000)</f>
        <v>104</v>
      </c>
      <c r="Q13" s="52" t="s">
        <v>18</v>
      </c>
      <c r="R13" s="52" t="s">
        <v>102</v>
      </c>
      <c r="S13" s="54">
        <v>46387</v>
      </c>
      <c r="T13" s="48">
        <v>66</v>
      </c>
      <c r="U13" s="48"/>
      <c r="V13" s="48" t="str">
        <f t="shared" si="1"/>
        <v>Aspirine 500 mg</v>
      </c>
      <c r="W13" s="48" t="str">
        <f t="shared" si="2"/>
        <v>LOT-001</v>
      </c>
      <c r="X13" s="43">
        <f t="shared" si="3"/>
        <v>66</v>
      </c>
      <c r="Y13" s="44">
        <f t="shared" si="4"/>
        <v>46387</v>
      </c>
      <c r="Z13" s="53">
        <f ca="1">IFERROR(IF(Stock_par_lots[[#This Row],[Stock restant]]=0,"",Stock_par_lots[[#This Row],[Date de péremption]]-TODAY()),"")</f>
        <v>123</v>
      </c>
      <c r="AA13" s="45" t="str">
        <f ca="1">IF(Stock_par_lots[[#This Row],[Stock restant]]=0,"",IF(Stock_par_lots[[#This Row],[jours restants]]&gt;=60,"Conforme",IF(AND(Stock_par_lots[[#This Row],[jours restants]]&lt;60,Stock_par_lots[[#This Row],[jours restants]]&gt;=30),"Surveillance",IF(AND(Stock_par_lots[[#This Row],[jours restants]]&lt;30,Stock_par_lots[[#This Row],[jours restants]]&gt;=0),"Urgente","Expiré"))))</f>
        <v>Conforme</v>
      </c>
      <c r="AB13" s="68" t="str">
        <f ca="1">IF(AND(Stock_par_lots[[#This Row],[jours restants]]&gt;0,Stock_par_lots[[#This Row],[jours restants]]&lt;=60),"Proche","")</f>
        <v/>
      </c>
      <c r="AI13" s="62" t="str">
        <f t="shared" si="5"/>
        <v/>
      </c>
      <c r="AJ13" s="62" t="str">
        <f t="shared" si="6"/>
        <v/>
      </c>
      <c r="AK13" s="62" t="str">
        <f t="shared" si="7"/>
        <v/>
      </c>
      <c r="AL13" s="62" t="str">
        <f t="shared" si="8"/>
        <v/>
      </c>
      <c r="AN13" t="s">
        <v>42</v>
      </c>
      <c r="AO13" t="s">
        <v>102</v>
      </c>
      <c r="AP13" s="51">
        <v>29</v>
      </c>
      <c r="AR13" s="50" t="s">
        <v>21</v>
      </c>
      <c r="AS13" s="51">
        <v>335</v>
      </c>
      <c r="AU13" s="50" t="s">
        <v>21</v>
      </c>
      <c r="AV13" s="51">
        <v>618100</v>
      </c>
      <c r="BA13" s="39" t="s">
        <v>62</v>
      </c>
      <c r="BB13" s="48">
        <v>91</v>
      </c>
      <c r="BC13" s="48"/>
      <c r="BD13" s="48" t="str">
        <f t="shared" si="9"/>
        <v>Diclofénac injectable</v>
      </c>
      <c r="BE13" s="48">
        <f t="shared" si="10"/>
        <v>91</v>
      </c>
      <c r="BF13" s="46">
        <f>IFERROR(VLOOKUP(BA13,ListeProduits[],6,FALSE),"")</f>
        <v>20</v>
      </c>
      <c r="BG13" s="47" t="str">
        <f>IFERROR(IF(Stock_par_produits[[#This Row],[Stock nim]]="","",IF(Stock_par_produits[[#This Row],[Stock nim]]&gt;Stock_par_produits[[#This Row],[Quantités restants]],"Commander","Ok")),"")</f>
        <v>Ok</v>
      </c>
      <c r="BI13" s="137" t="s">
        <v>175</v>
      </c>
      <c r="BJ13" s="51">
        <v>5300</v>
      </c>
      <c r="BL13" s="136" t="s">
        <v>175</v>
      </c>
      <c r="BM13" s="51">
        <v>3500</v>
      </c>
    </row>
    <row r="14" spans="1:69" ht="15.75" x14ac:dyDescent="0.25">
      <c r="A14" t="s">
        <v>39</v>
      </c>
      <c r="B14" t="s">
        <v>31</v>
      </c>
      <c r="C14" t="s">
        <v>32</v>
      </c>
      <c r="D14" s="57">
        <f>IF(A14="","",SUMIF(HistoriqueMouvements[Code produit],A14,HistoriqueMouvements[Qantités]))</f>
        <v>27</v>
      </c>
      <c r="E14" s="51">
        <v>30</v>
      </c>
      <c r="F14" s="59">
        <v>500</v>
      </c>
      <c r="G14" s="59">
        <f t="shared" si="11"/>
        <v>13500</v>
      </c>
      <c r="H14">
        <f ca="1">IF(A14="","",-SUMIFS(Mouvements!$H:$H,Mouvements!$D:$D,A14,Mouvements!$G:$G,"Vente",Mouvements!$C:$C,"&gt;="&amp;DATE(YEAR(TODAY()),MONTH(TODAY()),1),Mouvements!$C:$C,"&lt;"&amp;DATE(YEAR(TODAY()),MONTH(TODAY())+1,1)))</f>
        <v>18</v>
      </c>
      <c r="I14" s="59">
        <f t="shared" ca="1" si="0"/>
        <v>9000</v>
      </c>
      <c r="J14" s="57" t="str">
        <f t="shared" si="12"/>
        <v>NON</v>
      </c>
      <c r="K14" s="58" t="str">
        <f t="shared" si="13"/>
        <v>STOCK FAIBLE</v>
      </c>
      <c r="L14">
        <f t="shared" si="14"/>
        <v>3</v>
      </c>
      <c r="Q14" s="52" t="s">
        <v>18</v>
      </c>
      <c r="R14" s="52" t="s">
        <v>145</v>
      </c>
      <c r="S14" s="54">
        <v>46351</v>
      </c>
      <c r="T14" s="48">
        <v>50</v>
      </c>
      <c r="U14" s="48"/>
      <c r="V14" s="48" t="str">
        <f t="shared" si="1"/>
        <v>Aspirine 500 mg</v>
      </c>
      <c r="W14" s="48" t="str">
        <f t="shared" si="2"/>
        <v>LOT-002</v>
      </c>
      <c r="X14" s="43">
        <f t="shared" si="3"/>
        <v>50</v>
      </c>
      <c r="Y14" s="44">
        <f t="shared" si="4"/>
        <v>46351</v>
      </c>
      <c r="Z14" s="53">
        <f ca="1">IFERROR(IF(Stock_par_lots[[#This Row],[Stock restant]]=0,"",Stock_par_lots[[#This Row],[Date de péremption]]-TODAY()),"")</f>
        <v>87</v>
      </c>
      <c r="AA14" s="45" t="str">
        <f ca="1">IF(Stock_par_lots[[#This Row],[Stock restant]]=0,"",IF(Stock_par_lots[[#This Row],[jours restants]]&gt;=60,"Conforme",IF(AND(Stock_par_lots[[#This Row],[jours restants]]&lt;60,Stock_par_lots[[#This Row],[jours restants]]&gt;=30),"Surveillance",IF(AND(Stock_par_lots[[#This Row],[jours restants]]&lt;30,Stock_par_lots[[#This Row],[jours restants]]&gt;=0),"Urgente","Expiré"))))</f>
        <v>Conforme</v>
      </c>
      <c r="AB14" s="68" t="str">
        <f ca="1">IF(AND(Stock_par_lots[[#This Row],[jours restants]]&gt;0,Stock_par_lots[[#This Row],[jours restants]]&lt;=60),"Proche","")</f>
        <v/>
      </c>
      <c r="AN14" t="s">
        <v>34</v>
      </c>
      <c r="AO14" t="s">
        <v>102</v>
      </c>
      <c r="AP14" s="51">
        <v>17</v>
      </c>
      <c r="BA14" s="39" t="s">
        <v>42</v>
      </c>
      <c r="BB14" s="48">
        <v>79</v>
      </c>
      <c r="BC14" s="48"/>
      <c r="BD14" s="48" t="str">
        <f t="shared" si="9"/>
        <v>Efferalgan sirop</v>
      </c>
      <c r="BE14" s="48">
        <f t="shared" si="10"/>
        <v>79</v>
      </c>
      <c r="BF14" s="46">
        <f>IFERROR(VLOOKUP(BA14,ListeProduits[],6,FALSE),"")</f>
        <v>25</v>
      </c>
      <c r="BG14" s="47" t="str">
        <f>IFERROR(IF(Stock_par_produits[[#This Row],[Stock nim]]="","",IF(Stock_par_produits[[#This Row],[Stock nim]]&gt;Stock_par_produits[[#This Row],[Quantités restants]],"Commander","Ok")),"")</f>
        <v>Ok</v>
      </c>
      <c r="BI14" s="137" t="s">
        <v>176</v>
      </c>
      <c r="BJ14" s="51">
        <v>13400</v>
      </c>
      <c r="BL14" s="136" t="s">
        <v>176</v>
      </c>
      <c r="BM14" s="51">
        <v>9000</v>
      </c>
    </row>
    <row r="15" spans="1:69" ht="15.75" x14ac:dyDescent="0.25">
      <c r="A15" t="s">
        <v>38</v>
      </c>
      <c r="B15" t="s">
        <v>34</v>
      </c>
      <c r="C15" t="s">
        <v>32</v>
      </c>
      <c r="D15" s="57">
        <f>IF(A15="","",SUMIF(HistoriqueMouvements[Code produit],A15,HistoriqueMouvements[Qantités]))</f>
        <v>47</v>
      </c>
      <c r="E15" s="51">
        <v>30</v>
      </c>
      <c r="F15" s="59">
        <v>600</v>
      </c>
      <c r="G15" s="59">
        <f t="shared" si="11"/>
        <v>28200</v>
      </c>
      <c r="H15">
        <f ca="1">IF(A15="","",-SUMIFS(Mouvements!$H:$H,Mouvements!$D:$D,A15,Mouvements!$G:$G,"Vente",Mouvements!$C:$C,"&gt;="&amp;DATE(YEAR(TODAY()),MONTH(TODAY()),1),Mouvements!$C:$C,"&lt;"&amp;DATE(YEAR(TODAY()),MONTH(TODAY())+1,1)))</f>
        <v>0</v>
      </c>
      <c r="I15" s="59">
        <f t="shared" ca="1" si="0"/>
        <v>0</v>
      </c>
      <c r="J15" s="57" t="str">
        <f t="shared" si="12"/>
        <v>NON</v>
      </c>
      <c r="K15" s="58" t="str">
        <f t="shared" si="13"/>
        <v>OK</v>
      </c>
      <c r="L15">
        <f t="shared" si="14"/>
        <v>0</v>
      </c>
      <c r="Q15" s="52" t="s">
        <v>25</v>
      </c>
      <c r="R15" s="52" t="s">
        <v>102</v>
      </c>
      <c r="S15" s="54">
        <v>46275</v>
      </c>
      <c r="T15" s="48">
        <v>21</v>
      </c>
      <c r="U15" s="48"/>
      <c r="V15" s="48" t="str">
        <f t="shared" si="1"/>
        <v>Azithromycine 500 mg</v>
      </c>
      <c r="W15" s="48" t="str">
        <f t="shared" si="2"/>
        <v>LOT-001</v>
      </c>
      <c r="X15" s="43">
        <f t="shared" si="3"/>
        <v>21</v>
      </c>
      <c r="Y15" s="44">
        <f t="shared" si="4"/>
        <v>46275</v>
      </c>
      <c r="Z15" s="53">
        <f ca="1">IFERROR(IF(Stock_par_lots[[#This Row],[Stock restant]]=0,"",Stock_par_lots[[#This Row],[Date de péremption]]-TODAY()),"")</f>
        <v>11</v>
      </c>
      <c r="AA15" s="45" t="str">
        <f ca="1">IF(Stock_par_lots[[#This Row],[Stock restant]]=0,"",IF(Stock_par_lots[[#This Row],[jours restants]]&gt;=60,"Conforme",IF(AND(Stock_par_lots[[#This Row],[jours restants]]&lt;60,Stock_par_lots[[#This Row],[jours restants]]&gt;=30),"Surveillance",IF(AND(Stock_par_lots[[#This Row],[jours restants]]&lt;30,Stock_par_lots[[#This Row],[jours restants]]&gt;=0),"Urgente","Expiré"))))</f>
        <v>Urgente</v>
      </c>
      <c r="AB15" s="68" t="str">
        <f ca="1">IF(AND(Stock_par_lots[[#This Row],[jours restants]]&gt;0,Stock_par_lots[[#This Row],[jours restants]]&lt;=60),"Proche","")</f>
        <v>Proche</v>
      </c>
      <c r="AN15" t="s">
        <v>27</v>
      </c>
      <c r="AO15" t="s">
        <v>145</v>
      </c>
      <c r="AP15" s="51">
        <v>45</v>
      </c>
      <c r="BA15" s="39" t="s">
        <v>51</v>
      </c>
      <c r="BB15" s="48">
        <v>86</v>
      </c>
      <c r="BC15" s="48"/>
      <c r="BD15" s="48" t="str">
        <f t="shared" si="9"/>
        <v>Gaviscon</v>
      </c>
      <c r="BE15" s="48">
        <f t="shared" si="10"/>
        <v>86</v>
      </c>
      <c r="BF15" s="46">
        <f>IFERROR(VLOOKUP(BA15,ListeProduits[],6,FALSE),"")</f>
        <v>20</v>
      </c>
      <c r="BG15" s="47" t="str">
        <f>IFERROR(IF(Stock_par_produits[[#This Row],[Stock nim]]="","",IF(Stock_par_produits[[#This Row],[Stock nim]]&gt;Stock_par_produits[[#This Row],[Quantités restants]],"Commander","Ok")),"")</f>
        <v>Ok</v>
      </c>
      <c r="BI15" s="137" t="s">
        <v>177</v>
      </c>
      <c r="BJ15" s="51">
        <v>15000</v>
      </c>
      <c r="BL15" s="136" t="s">
        <v>177</v>
      </c>
      <c r="BM15" s="51">
        <v>10000</v>
      </c>
    </row>
    <row r="16" spans="1:69" ht="15.75" x14ac:dyDescent="0.25">
      <c r="A16" t="s">
        <v>36</v>
      </c>
      <c r="B16" t="s">
        <v>37</v>
      </c>
      <c r="C16" t="s">
        <v>32</v>
      </c>
      <c r="D16" s="57">
        <f>IF(A16="","",SUMIF(HistoriqueMouvements[Code produit],A16,HistoriqueMouvements[Qantités]))</f>
        <v>18</v>
      </c>
      <c r="E16" s="51">
        <v>30</v>
      </c>
      <c r="F16" s="59">
        <v>1400</v>
      </c>
      <c r="G16" s="59">
        <f t="shared" si="11"/>
        <v>25200</v>
      </c>
      <c r="H16">
        <f ca="1">IF(A16="","",-SUMIFS(Mouvements!$H:$H,Mouvements!$D:$D,A16,Mouvements!$G:$G,"Vente",Mouvements!$C:$C,"&gt;="&amp;DATE(YEAR(TODAY()),MONTH(TODAY()),1),Mouvements!$C:$C,"&lt;"&amp;DATE(YEAR(TODAY()),MONTH(TODAY())+1,1)))</f>
        <v>0</v>
      </c>
      <c r="I16" s="59">
        <f t="shared" ca="1" si="0"/>
        <v>0</v>
      </c>
      <c r="J16" s="57" t="str">
        <f t="shared" si="12"/>
        <v>NON</v>
      </c>
      <c r="K16" s="58" t="str">
        <f t="shared" si="13"/>
        <v>STOCK FAIBLE</v>
      </c>
      <c r="L16">
        <f t="shared" si="14"/>
        <v>12</v>
      </c>
      <c r="N16" s="65" t="s">
        <v>124</v>
      </c>
      <c r="O16" s="65" t="str">
        <f ca="1">IFERROR(INDEX($B$4:$B$1000,MATCH(MAX($I$4:$I$1000),$I$4:$I$1000,0)),"")</f>
        <v>Paracétamol 500 mg</v>
      </c>
      <c r="Q16" s="52" t="s">
        <v>25</v>
      </c>
      <c r="R16" s="52" t="s">
        <v>145</v>
      </c>
      <c r="S16" s="54">
        <v>46356</v>
      </c>
      <c r="T16" s="48">
        <v>20</v>
      </c>
      <c r="U16" s="48"/>
      <c r="V16" s="48" t="str">
        <f t="shared" si="1"/>
        <v>Azithromycine 500 mg</v>
      </c>
      <c r="W16" s="48" t="str">
        <f t="shared" si="2"/>
        <v>LOT-002</v>
      </c>
      <c r="X16" s="43">
        <f t="shared" si="3"/>
        <v>20</v>
      </c>
      <c r="Y16" s="44">
        <f t="shared" si="4"/>
        <v>46356</v>
      </c>
      <c r="Z16" s="53">
        <f ca="1">IFERROR(IF(Stock_par_lots[[#This Row],[Stock restant]]=0,"",Stock_par_lots[[#This Row],[Date de péremption]]-TODAY()),"")</f>
        <v>92</v>
      </c>
      <c r="AA16" s="45" t="str">
        <f ca="1">IF(Stock_par_lots[[#This Row],[Stock restant]]=0,"",IF(Stock_par_lots[[#This Row],[jours restants]]&gt;=60,"Conforme",IF(AND(Stock_par_lots[[#This Row],[jours restants]]&lt;60,Stock_par_lots[[#This Row],[jours restants]]&gt;=30),"Surveillance",IF(AND(Stock_par_lots[[#This Row],[jours restants]]&lt;30,Stock_par_lots[[#This Row],[jours restants]]&gt;=0),"Urgente","Expiré"))))</f>
        <v>Conforme</v>
      </c>
      <c r="AB16" s="68" t="str">
        <f ca="1">IF(AND(Stock_par_lots[[#This Row],[jours restants]]&gt;0,Stock_par_lots[[#This Row],[jours restants]]&lt;=60),"Proche","")</f>
        <v/>
      </c>
      <c r="AN16" t="s">
        <v>144</v>
      </c>
      <c r="AO16" t="s">
        <v>102</v>
      </c>
      <c r="AP16" s="51">
        <v>38</v>
      </c>
      <c r="BA16" s="39" t="s">
        <v>61</v>
      </c>
      <c r="BB16" s="48">
        <v>18</v>
      </c>
      <c r="BC16" s="48"/>
      <c r="BD16" s="48" t="str">
        <f t="shared" si="9"/>
        <v>Gentamicine injectable</v>
      </c>
      <c r="BE16" s="48">
        <f t="shared" si="10"/>
        <v>18</v>
      </c>
      <c r="BF16" s="46">
        <f>IFERROR(VLOOKUP(BA16,ListeProduits[],6,FALSE),"")</f>
        <v>15</v>
      </c>
      <c r="BG16" s="47" t="str">
        <f>IFERROR(IF(Stock_par_produits[[#This Row],[Stock nim]]="","",IF(Stock_par_produits[[#This Row],[Stock nim]]&gt;Stock_par_produits[[#This Row],[Quantités restants]],"Commander","Ok")),"")</f>
        <v>Ok</v>
      </c>
      <c r="BI16" s="137" t="s">
        <v>178</v>
      </c>
      <c r="BJ16" s="51">
        <v>24500</v>
      </c>
      <c r="BL16" s="136" t="s">
        <v>178</v>
      </c>
      <c r="BM16" s="51">
        <v>17500</v>
      </c>
    </row>
    <row r="17" spans="1:65" ht="15.75" x14ac:dyDescent="0.25">
      <c r="A17" t="s">
        <v>35</v>
      </c>
      <c r="B17" t="s">
        <v>42</v>
      </c>
      <c r="C17" t="s">
        <v>11</v>
      </c>
      <c r="D17" s="57">
        <f>IF(A17="","",SUMIF(HistoriqueMouvements[Code produit],A17,HistoriqueMouvements[Qantités]))</f>
        <v>79</v>
      </c>
      <c r="E17" s="51">
        <v>25</v>
      </c>
      <c r="F17" s="59">
        <v>2100</v>
      </c>
      <c r="G17" s="59">
        <f t="shared" si="11"/>
        <v>165900</v>
      </c>
      <c r="H17">
        <f ca="1">IF(A17="","",-SUMIFS(Mouvements!$H:$H,Mouvements!$D:$D,A17,Mouvements!$G:$G,"Vente",Mouvements!$C:$C,"&gt;="&amp;DATE(YEAR(TODAY()),MONTH(TODAY()),1),Mouvements!$C:$C,"&lt;"&amp;DATE(YEAR(TODAY()),MONTH(TODAY())+1,1)))</f>
        <v>0</v>
      </c>
      <c r="I17" s="59">
        <f t="shared" ca="1" si="0"/>
        <v>0</v>
      </c>
      <c r="J17" s="57" t="str">
        <f t="shared" si="12"/>
        <v>NON</v>
      </c>
      <c r="K17" s="58" t="str">
        <f t="shared" si="13"/>
        <v>OK</v>
      </c>
      <c r="L17">
        <f t="shared" si="14"/>
        <v>0</v>
      </c>
      <c r="N17" s="62" t="s">
        <v>125</v>
      </c>
      <c r="O17" s="63">
        <f ca="1">MAX($I$4:$I$1000)</f>
        <v>83200</v>
      </c>
      <c r="Q17" s="52" t="s">
        <v>65</v>
      </c>
      <c r="R17" s="52" t="s">
        <v>102</v>
      </c>
      <c r="S17" s="54">
        <v>46568</v>
      </c>
      <c r="T17" s="48">
        <v>18</v>
      </c>
      <c r="U17" s="48"/>
      <c r="V17" s="48" t="str">
        <f t="shared" si="1"/>
        <v>Bétadine</v>
      </c>
      <c r="W17" s="48" t="str">
        <f t="shared" si="2"/>
        <v>LOT-001</v>
      </c>
      <c r="X17" s="43">
        <f t="shared" si="3"/>
        <v>18</v>
      </c>
      <c r="Y17" s="44">
        <f t="shared" si="4"/>
        <v>46568</v>
      </c>
      <c r="Z17" s="53">
        <f ca="1">IFERROR(IF(Stock_par_lots[[#This Row],[Stock restant]]=0,"",Stock_par_lots[[#This Row],[Date de péremption]]-TODAY()),"")</f>
        <v>304</v>
      </c>
      <c r="AA17" s="45" t="str">
        <f ca="1">IF(Stock_par_lots[[#This Row],[Stock restant]]=0,"",IF(Stock_par_lots[[#This Row],[jours restants]]&gt;=60,"Conforme",IF(AND(Stock_par_lots[[#This Row],[jours restants]]&lt;60,Stock_par_lots[[#This Row],[jours restants]]&gt;=30),"Surveillance",IF(AND(Stock_par_lots[[#This Row],[jours restants]]&lt;30,Stock_par_lots[[#This Row],[jours restants]]&gt;=0),"Urgente","Expiré"))))</f>
        <v>Conforme</v>
      </c>
      <c r="AB17" s="68" t="str">
        <f ca="1">IF(AND(Stock_par_lots[[#This Row],[jours restants]]&gt;0,Stock_par_lots[[#This Row],[jours restants]]&lt;=60),"Proche","")</f>
        <v/>
      </c>
      <c r="AN17" t="s">
        <v>25</v>
      </c>
      <c r="AO17" t="s">
        <v>102</v>
      </c>
      <c r="AP17" s="51">
        <v>21</v>
      </c>
      <c r="BA17" s="39" t="s">
        <v>15</v>
      </c>
      <c r="BB17" s="48">
        <v>30</v>
      </c>
      <c r="BC17" s="48"/>
      <c r="BD17" s="48" t="str">
        <f t="shared" si="9"/>
        <v>Ibuprofène 400 mg</v>
      </c>
      <c r="BE17" s="48">
        <f t="shared" si="10"/>
        <v>30</v>
      </c>
      <c r="BF17" s="46">
        <f>IFERROR(VLOOKUP(BA17,ListeProduits[],6,FALSE),"")</f>
        <v>40</v>
      </c>
      <c r="BG17" s="47" t="str">
        <f>IFERROR(IF(Stock_par_produits[[#This Row],[Stock nim]]="","",IF(Stock_par_produits[[#This Row],[Stock nim]]&gt;Stock_par_produits[[#This Row],[Quantités restants]],"Commander","Ok")),"")</f>
        <v>Commander</v>
      </c>
      <c r="BI17" s="137" t="s">
        <v>179</v>
      </c>
      <c r="BJ17" s="51">
        <v>7600</v>
      </c>
      <c r="BL17" s="136" t="s">
        <v>179</v>
      </c>
      <c r="BM17" s="51">
        <v>5000</v>
      </c>
    </row>
    <row r="18" spans="1:65" ht="15.75" x14ac:dyDescent="0.25">
      <c r="A18" t="s">
        <v>33</v>
      </c>
      <c r="B18" t="s">
        <v>46</v>
      </c>
      <c r="C18" t="s">
        <v>44</v>
      </c>
      <c r="D18" s="57">
        <f>IF(A18="","",SUMIF(HistoriqueMouvements[Code produit],A18,HistoriqueMouvements[Qantités]))</f>
        <v>186</v>
      </c>
      <c r="E18" s="51">
        <v>15</v>
      </c>
      <c r="F18" s="59">
        <v>1900</v>
      </c>
      <c r="G18" s="59">
        <f t="shared" si="11"/>
        <v>353400</v>
      </c>
      <c r="H18">
        <f ca="1">IF(A18="","",-SUMIFS(Mouvements!$H:$H,Mouvements!$D:$D,A18,Mouvements!$G:$G,"Vente",Mouvements!$C:$C,"&gt;="&amp;DATE(YEAR(TODAY()),MONTH(TODAY()),1),Mouvements!$C:$C,"&lt;"&amp;DATE(YEAR(TODAY()),MONTH(TODAY())+1,1)))</f>
        <v>0</v>
      </c>
      <c r="I18" s="59">
        <f t="shared" ca="1" si="0"/>
        <v>0</v>
      </c>
      <c r="J18" s="57" t="str">
        <f t="shared" si="12"/>
        <v>NON</v>
      </c>
      <c r="K18" s="58" t="str">
        <f t="shared" si="13"/>
        <v>OK</v>
      </c>
      <c r="L18">
        <f t="shared" si="14"/>
        <v>0</v>
      </c>
      <c r="Q18" s="52" t="s">
        <v>65</v>
      </c>
      <c r="R18" s="52" t="s">
        <v>145</v>
      </c>
      <c r="S18" s="54">
        <v>46275</v>
      </c>
      <c r="T18" s="48">
        <v>60</v>
      </c>
      <c r="U18" s="48"/>
      <c r="V18" s="48" t="str">
        <f t="shared" si="1"/>
        <v>Bétadine</v>
      </c>
      <c r="W18" s="48" t="str">
        <f t="shared" si="2"/>
        <v>LOT-002</v>
      </c>
      <c r="X18" s="43">
        <f t="shared" si="3"/>
        <v>60</v>
      </c>
      <c r="Y18" s="44">
        <f t="shared" si="4"/>
        <v>46275</v>
      </c>
      <c r="Z18" s="53">
        <f ca="1">IFERROR(IF(Stock_par_lots[[#This Row],[Stock restant]]=0,"",Stock_par_lots[[#This Row],[Date de péremption]]-TODAY()),"")</f>
        <v>11</v>
      </c>
      <c r="AA18" s="45" t="str">
        <f ca="1">IF(Stock_par_lots[[#This Row],[Stock restant]]=0,"",IF(Stock_par_lots[[#This Row],[jours restants]]&gt;=60,"Conforme",IF(AND(Stock_par_lots[[#This Row],[jours restants]]&lt;60,Stock_par_lots[[#This Row],[jours restants]]&gt;=30),"Surveillance",IF(AND(Stock_par_lots[[#This Row],[jours restants]]&lt;30,Stock_par_lots[[#This Row],[jours restants]]&gt;=0),"Urgente","Expiré"))))</f>
        <v>Urgente</v>
      </c>
      <c r="AB18" s="68" t="str">
        <f ca="1">IF(AND(Stock_par_lots[[#This Row],[jours restants]]&gt;0,Stock_par_lots[[#This Row],[jours restants]]&lt;=60),"Proche","")</f>
        <v>Proche</v>
      </c>
      <c r="AN18" t="s">
        <v>13</v>
      </c>
      <c r="AO18" t="s">
        <v>102</v>
      </c>
      <c r="AP18" s="51">
        <v>33</v>
      </c>
      <c r="BA18" s="39" t="s">
        <v>54</v>
      </c>
      <c r="BB18" s="48">
        <v>0</v>
      </c>
      <c r="BC18" s="48"/>
      <c r="BD18" s="48" t="str">
        <f t="shared" si="9"/>
        <v>Oméprazole 40 mg</v>
      </c>
      <c r="BE18" s="48">
        <f t="shared" si="10"/>
        <v>0</v>
      </c>
      <c r="BF18" s="46">
        <f>IFERROR(VLOOKUP(BA18,ListeProduits[],6,FALSE),"")</f>
        <v>15</v>
      </c>
      <c r="BG18" s="47" t="str">
        <f>IFERROR(IF(Stock_par_produits[[#This Row],[Stock nim]]="","",IF(Stock_par_produits[[#This Row],[Stock nim]]&gt;Stock_par_produits[[#This Row],[Quantités restants]],"Commander","Ok")),"")</f>
        <v>Commander</v>
      </c>
      <c r="BI18" s="145" t="s">
        <v>163</v>
      </c>
      <c r="BJ18" s="144">
        <v>149300</v>
      </c>
      <c r="BL18" s="145" t="s">
        <v>163</v>
      </c>
      <c r="BM18" s="144">
        <v>101700</v>
      </c>
    </row>
    <row r="19" spans="1:65" ht="15.75" x14ac:dyDescent="0.25">
      <c r="A19" t="s">
        <v>30</v>
      </c>
      <c r="B19" t="s">
        <v>51</v>
      </c>
      <c r="C19" t="s">
        <v>142</v>
      </c>
      <c r="D19" s="57">
        <f>IF(A19="","",SUMIF(HistoriqueMouvements[Code produit],A19,HistoriqueMouvements[Qantités]))</f>
        <v>86</v>
      </c>
      <c r="E19" s="51">
        <v>20</v>
      </c>
      <c r="F19" s="59">
        <v>2300</v>
      </c>
      <c r="G19" s="59">
        <f t="shared" si="11"/>
        <v>197800</v>
      </c>
      <c r="H19">
        <f ca="1">IF(A19="","",-SUMIFS(Mouvements!$H:$H,Mouvements!$D:$D,A19,Mouvements!$G:$G,"Vente",Mouvements!$C:$C,"&gt;="&amp;DATE(YEAR(TODAY()),MONTH(TODAY()),1),Mouvements!$C:$C,"&lt;"&amp;DATE(YEAR(TODAY()),MONTH(TODAY())+1,1)))</f>
        <v>0</v>
      </c>
      <c r="I19" s="59">
        <f t="shared" ca="1" si="0"/>
        <v>0</v>
      </c>
      <c r="J19" s="57" t="str">
        <f t="shared" si="12"/>
        <v>NON</v>
      </c>
      <c r="K19" s="58" t="str">
        <f t="shared" si="13"/>
        <v>OK</v>
      </c>
      <c r="L19">
        <f t="shared" si="14"/>
        <v>0</v>
      </c>
      <c r="Q19" s="52" t="s">
        <v>27</v>
      </c>
      <c r="R19" s="52" t="s">
        <v>102</v>
      </c>
      <c r="S19" s="54">
        <v>46387</v>
      </c>
      <c r="T19" s="48">
        <v>12</v>
      </c>
      <c r="U19" s="48"/>
      <c r="V19" s="48" t="str">
        <f t="shared" si="1"/>
        <v>Ciprofloxacine 500 mg</v>
      </c>
      <c r="W19" s="48" t="str">
        <f t="shared" si="2"/>
        <v>LOT-001</v>
      </c>
      <c r="X19" s="43">
        <f t="shared" si="3"/>
        <v>12</v>
      </c>
      <c r="Y19" s="44">
        <f t="shared" si="4"/>
        <v>46387</v>
      </c>
      <c r="Z19" s="53">
        <f ca="1">IFERROR(IF(Stock_par_lots[[#This Row],[Stock restant]]=0,"",Stock_par_lots[[#This Row],[Date de péremption]]-TODAY()),"")</f>
        <v>123</v>
      </c>
      <c r="AA19" s="45" t="str">
        <f ca="1">IF(Stock_par_lots[[#This Row],[Stock restant]]=0,"",IF(Stock_par_lots[[#This Row],[jours restants]]&gt;=60,"Conforme",IF(AND(Stock_par_lots[[#This Row],[jours restants]]&lt;60,Stock_par_lots[[#This Row],[jours restants]]&gt;=30),"Surveillance",IF(AND(Stock_par_lots[[#This Row],[jours restants]]&lt;30,Stock_par_lots[[#This Row],[jours restants]]&gt;=0),"Urgente","Expiré"))))</f>
        <v>Conforme</v>
      </c>
      <c r="AB19" s="68" t="str">
        <f ca="1">IF(AND(Stock_par_lots[[#This Row],[jours restants]]&gt;0,Stock_par_lots[[#This Row],[jours restants]]&lt;=60),"Proche","")</f>
        <v/>
      </c>
      <c r="BA19" s="39" t="s">
        <v>13</v>
      </c>
      <c r="BB19" s="48">
        <v>83</v>
      </c>
      <c r="BC19" s="48"/>
      <c r="BD19" s="48" t="str">
        <f t="shared" si="9"/>
        <v>Paracétamol 1000 mg</v>
      </c>
      <c r="BE19" s="48">
        <f t="shared" si="10"/>
        <v>83</v>
      </c>
      <c r="BF19" s="46">
        <f>IFERROR(VLOOKUP(BA19,ListeProduits[],6,FALSE),"")</f>
        <v>40</v>
      </c>
      <c r="BG19" s="47" t="str">
        <f>IFERROR(IF(Stock_par_produits[[#This Row],[Stock nim]]="","",IF(Stock_par_produits[[#This Row],[Stock nim]]&gt;Stock_par_produits[[#This Row],[Quantités restants]],"Commander","Ok")),"")</f>
        <v>Ok</v>
      </c>
    </row>
    <row r="20" spans="1:65" ht="15.75" x14ac:dyDescent="0.25">
      <c r="A20" t="s">
        <v>29</v>
      </c>
      <c r="B20" t="s">
        <v>54</v>
      </c>
      <c r="C20" t="s">
        <v>142</v>
      </c>
      <c r="D20" s="57">
        <f>IF(A20="","",SUMIF(HistoriqueMouvements[Code produit],A20,HistoriqueMouvements[Qantités]))</f>
        <v>0</v>
      </c>
      <c r="E20" s="51">
        <v>15</v>
      </c>
      <c r="F20" s="59">
        <v>3500</v>
      </c>
      <c r="G20" s="59">
        <f t="shared" si="11"/>
        <v>0</v>
      </c>
      <c r="H20">
        <f ca="1">IF(A20="","",-SUMIFS(Mouvements!$H:$H,Mouvements!$D:$D,A20,Mouvements!$G:$G,"Vente",Mouvements!$C:$C,"&gt;="&amp;DATE(YEAR(TODAY()),MONTH(TODAY()),1),Mouvements!$C:$C,"&lt;"&amp;DATE(YEAR(TODAY()),MONTH(TODAY())+1,1)))</f>
        <v>0</v>
      </c>
      <c r="I20" s="59">
        <f t="shared" ca="1" si="0"/>
        <v>0</v>
      </c>
      <c r="J20" s="57" t="str">
        <f t="shared" si="12"/>
        <v>OUI</v>
      </c>
      <c r="K20" s="58" t="str">
        <f t="shared" si="13"/>
        <v>RUPTURE</v>
      </c>
      <c r="L20">
        <f t="shared" si="14"/>
        <v>15</v>
      </c>
      <c r="N20" s="65" t="s">
        <v>128</v>
      </c>
      <c r="O20" s="69">
        <f ca="1">COUNTIF(Stock_par_lots[Status],"Conforme")</f>
        <v>170</v>
      </c>
      <c r="Q20" s="52" t="s">
        <v>27</v>
      </c>
      <c r="R20" s="52" t="s">
        <v>145</v>
      </c>
      <c r="S20" s="54">
        <v>46275</v>
      </c>
      <c r="T20" s="48">
        <v>45</v>
      </c>
      <c r="U20" s="48"/>
      <c r="V20" s="48" t="str">
        <f t="shared" si="1"/>
        <v>Ciprofloxacine 500 mg</v>
      </c>
      <c r="W20" s="48" t="str">
        <f t="shared" si="2"/>
        <v>LOT-002</v>
      </c>
      <c r="X20" s="43">
        <f t="shared" si="3"/>
        <v>45</v>
      </c>
      <c r="Y20" s="44">
        <f t="shared" si="4"/>
        <v>46275</v>
      </c>
      <c r="Z20" s="53">
        <f ca="1">IFERROR(IF(Stock_par_lots[[#This Row],[Stock restant]]=0,"",Stock_par_lots[[#This Row],[Date de péremption]]-TODAY()),"")</f>
        <v>11</v>
      </c>
      <c r="AA20" s="45" t="str">
        <f ca="1">IF(Stock_par_lots[[#This Row],[Stock restant]]=0,"",IF(Stock_par_lots[[#This Row],[jours restants]]&gt;=60,"Conforme",IF(AND(Stock_par_lots[[#This Row],[jours restants]]&lt;60,Stock_par_lots[[#This Row],[jours restants]]&gt;=30),"Surveillance",IF(AND(Stock_par_lots[[#This Row],[jours restants]]&lt;30,Stock_par_lots[[#This Row],[jours restants]]&gt;=0),"Urgente","Expiré"))))</f>
        <v>Urgente</v>
      </c>
      <c r="AB20" s="68" t="str">
        <f ca="1">IF(AND(Stock_par_lots[[#This Row],[jours restants]]&gt;0,Stock_par_lots[[#This Row],[jours restants]]&lt;=60),"Proche","")</f>
        <v>Proche</v>
      </c>
      <c r="BA20" s="39" t="s">
        <v>10</v>
      </c>
      <c r="BB20" s="48">
        <v>17</v>
      </c>
      <c r="BC20" s="48"/>
      <c r="BD20" s="48" t="str">
        <f t="shared" si="9"/>
        <v>Paracétamol 500 mg</v>
      </c>
      <c r="BE20" s="48">
        <f t="shared" si="10"/>
        <v>17</v>
      </c>
      <c r="BF20" s="46">
        <f>IFERROR(VLOOKUP(BA20,ListeProduits[],6,FALSE),"")</f>
        <v>50</v>
      </c>
      <c r="BG20" s="47" t="str">
        <f>IFERROR(IF(Stock_par_produits[[#This Row],[Stock nim]]="","",IF(Stock_par_produits[[#This Row],[Stock nim]]&gt;Stock_par_produits[[#This Row],[Quantités restants]],"Commander","Ok")),"")</f>
        <v>Commander</v>
      </c>
    </row>
    <row r="21" spans="1:65" ht="15.75" x14ac:dyDescent="0.25">
      <c r="A21" t="s">
        <v>28</v>
      </c>
      <c r="B21" t="s">
        <v>55</v>
      </c>
      <c r="C21" t="s">
        <v>56</v>
      </c>
      <c r="D21" s="57">
        <f>IF(A21="","",SUMIF(HistoriqueMouvements[Code produit],A21,HistoriqueMouvements[Qantités]))</f>
        <v>24</v>
      </c>
      <c r="E21" s="51">
        <v>20</v>
      </c>
      <c r="F21" s="59">
        <v>800</v>
      </c>
      <c r="G21" s="59">
        <f t="shared" si="11"/>
        <v>19200</v>
      </c>
      <c r="H21">
        <f ca="1">IF(A21="","",-SUMIFS(Mouvements!$H:$H,Mouvements!$D:$D,A21,Mouvements!$G:$G,"Vente",Mouvements!$C:$C,"&gt;="&amp;DATE(YEAR(TODAY()),MONTH(TODAY()),1),Mouvements!$C:$C,"&lt;"&amp;DATE(YEAR(TODAY()),MONTH(TODAY())+1,1)))</f>
        <v>0</v>
      </c>
      <c r="I21" s="59">
        <f t="shared" ca="1" si="0"/>
        <v>0</v>
      </c>
      <c r="J21" s="57" t="str">
        <f t="shared" si="12"/>
        <v>NON</v>
      </c>
      <c r="K21" s="58" t="str">
        <f t="shared" si="13"/>
        <v>OK</v>
      </c>
      <c r="L21">
        <f t="shared" si="14"/>
        <v>0</v>
      </c>
      <c r="N21" s="65" t="s">
        <v>127</v>
      </c>
      <c r="O21" s="69">
        <f ca="1">COUNTIF(Stock_par_lots[Status],"Surveillance")</f>
        <v>4</v>
      </c>
      <c r="Q21" s="52" t="s">
        <v>62</v>
      </c>
      <c r="R21" s="52" t="s">
        <v>161</v>
      </c>
      <c r="S21" s="54">
        <v>46752</v>
      </c>
      <c r="T21" s="48">
        <v>20</v>
      </c>
      <c r="U21" s="48"/>
      <c r="V21" s="48" t="str">
        <f t="shared" si="1"/>
        <v>Diclofénac injectable</v>
      </c>
      <c r="W21" s="48" t="str">
        <f t="shared" si="2"/>
        <v>LOT-003</v>
      </c>
      <c r="X21" s="43">
        <f t="shared" si="3"/>
        <v>20</v>
      </c>
      <c r="Y21" s="44">
        <f t="shared" si="4"/>
        <v>46752</v>
      </c>
      <c r="Z21" s="53">
        <f ca="1">IFERROR(IF(Stock_par_lots[[#This Row],[Stock restant]]=0,"",Stock_par_lots[[#This Row],[Date de péremption]]-TODAY()),"")</f>
        <v>488</v>
      </c>
      <c r="AA21" s="45" t="str">
        <f ca="1">IF(Stock_par_lots[[#This Row],[Stock restant]]=0,"",IF(Stock_par_lots[[#This Row],[jours restants]]&gt;=60,"Conforme",IF(AND(Stock_par_lots[[#This Row],[jours restants]]&lt;60,Stock_par_lots[[#This Row],[jours restants]]&gt;=30),"Surveillance",IF(AND(Stock_par_lots[[#This Row],[jours restants]]&lt;30,Stock_par_lots[[#This Row],[jours restants]]&gt;=0),"Urgente","Expiré"))))</f>
        <v>Conforme</v>
      </c>
      <c r="AB21" s="68" t="str">
        <f ca="1">IF(AND(Stock_par_lots[[#This Row],[jours restants]]&gt;0,Stock_par_lots[[#This Row],[jours restants]]&lt;=60),"Proche","")</f>
        <v/>
      </c>
      <c r="BA21" s="39" t="s">
        <v>57</v>
      </c>
      <c r="BB21" s="48">
        <v>94</v>
      </c>
      <c r="BC21" s="48"/>
      <c r="BD21" s="48" t="str">
        <f t="shared" si="9"/>
        <v>Salbutamol inhalateur</v>
      </c>
      <c r="BE21" s="48">
        <f t="shared" si="10"/>
        <v>94</v>
      </c>
      <c r="BF21" s="46">
        <f>IFERROR(VLOOKUP(BA21,ListeProduits[],6,FALSE),"")</f>
        <v>15</v>
      </c>
      <c r="BG21" s="47" t="str">
        <f>IFERROR(IF(Stock_par_produits[[#This Row],[Stock nim]]="","",IF(Stock_par_produits[[#This Row],[Stock nim]]&gt;Stock_par_produits[[#This Row],[Quantités restants]],"Commander","Ok")),"")</f>
        <v>Ok</v>
      </c>
    </row>
    <row r="22" spans="1:65" ht="15.75" x14ac:dyDescent="0.25">
      <c r="A22" t="s">
        <v>26</v>
      </c>
      <c r="B22" t="s">
        <v>57</v>
      </c>
      <c r="C22" t="s">
        <v>58</v>
      </c>
      <c r="D22" s="57">
        <f>IF(A22="","",SUMIF(HistoriqueMouvements[Code produit],A22,HistoriqueMouvements[Qantités]))</f>
        <v>94</v>
      </c>
      <c r="E22" s="51">
        <v>15</v>
      </c>
      <c r="F22" s="59">
        <v>3200</v>
      </c>
      <c r="G22" s="59">
        <f t="shared" si="11"/>
        <v>300800</v>
      </c>
      <c r="H22">
        <f ca="1">IF(A22="","",-SUMIFS(Mouvements!$H:$H,Mouvements!$D:$D,A22,Mouvements!$G:$G,"Vente",Mouvements!$C:$C,"&gt;="&amp;DATE(YEAR(TODAY()),MONTH(TODAY()),1),Mouvements!$C:$C,"&lt;"&amp;DATE(YEAR(TODAY()),MONTH(TODAY())+1,1)))</f>
        <v>0</v>
      </c>
      <c r="I22" s="59">
        <f t="shared" ca="1" si="0"/>
        <v>0</v>
      </c>
      <c r="J22" s="57" t="str">
        <f t="shared" si="12"/>
        <v>NON</v>
      </c>
      <c r="K22" s="58" t="str">
        <f t="shared" si="13"/>
        <v>OK</v>
      </c>
      <c r="L22">
        <f t="shared" si="14"/>
        <v>0</v>
      </c>
      <c r="N22" s="65" t="s">
        <v>129</v>
      </c>
      <c r="O22" s="69">
        <f ca="1">COUNTIF(Stock_par_lots[Status],"Urgente")</f>
        <v>9</v>
      </c>
      <c r="Q22" s="52" t="s">
        <v>62</v>
      </c>
      <c r="R22" s="52" t="s">
        <v>102</v>
      </c>
      <c r="S22" s="54">
        <v>46387</v>
      </c>
      <c r="T22" s="48">
        <v>59</v>
      </c>
      <c r="U22" s="48"/>
      <c r="V22" s="48" t="str">
        <f t="shared" si="1"/>
        <v>Diclofénac injectable</v>
      </c>
      <c r="W22" s="48" t="str">
        <f t="shared" si="2"/>
        <v>LOT-001</v>
      </c>
      <c r="X22" s="43">
        <f t="shared" si="3"/>
        <v>59</v>
      </c>
      <c r="Y22" s="44">
        <f t="shared" si="4"/>
        <v>46387</v>
      </c>
      <c r="Z22" s="53">
        <f ca="1">IFERROR(IF(Stock_par_lots[[#This Row],[Stock restant]]=0,"",Stock_par_lots[[#This Row],[Date de péremption]]-TODAY()),"")</f>
        <v>123</v>
      </c>
      <c r="AA22" s="45" t="str">
        <f ca="1">IF(Stock_par_lots[[#This Row],[Stock restant]]=0,"",IF(Stock_par_lots[[#This Row],[jours restants]]&gt;=60,"Conforme",IF(AND(Stock_par_lots[[#This Row],[jours restants]]&lt;60,Stock_par_lots[[#This Row],[jours restants]]&gt;=30),"Surveillance",IF(AND(Stock_par_lots[[#This Row],[jours restants]]&lt;30,Stock_par_lots[[#This Row],[jours restants]]&gt;=0),"Urgente","Expiré"))))</f>
        <v>Conforme</v>
      </c>
      <c r="AB22" s="68" t="str">
        <f ca="1">IF(AND(Stock_par_lots[[#This Row],[jours restants]]&gt;0,Stock_par_lots[[#This Row],[jours restants]]&lt;=60),"Proche","")</f>
        <v/>
      </c>
      <c r="BA22" s="39" t="s">
        <v>64</v>
      </c>
      <c r="BB22" s="48">
        <v>63</v>
      </c>
      <c r="BC22" s="48"/>
      <c r="BD22" s="48" t="str">
        <f t="shared" si="9"/>
        <v>Sérum physiologique</v>
      </c>
      <c r="BE22" s="48">
        <f t="shared" si="10"/>
        <v>63</v>
      </c>
      <c r="BF22" s="46">
        <f>IFERROR(VLOOKUP(BA22,ListeProduits[],6,FALSE),"")</f>
        <v>30</v>
      </c>
      <c r="BG22" s="47" t="str">
        <f>IFERROR(IF(Stock_par_produits[[#This Row],[Stock nim]]="","",IF(Stock_par_produits[[#This Row],[Stock nim]]&gt;Stock_par_produits[[#This Row],[Quantités restants]],"Commander","Ok")),"")</f>
        <v>Ok</v>
      </c>
    </row>
    <row r="23" spans="1:65" ht="15.75" customHeight="1" x14ac:dyDescent="0.25">
      <c r="A23" t="s">
        <v>24</v>
      </c>
      <c r="B23" t="s">
        <v>59</v>
      </c>
      <c r="C23" t="s">
        <v>58</v>
      </c>
      <c r="D23" s="57">
        <f>IF(A23="","",SUMIF(HistoriqueMouvements[Code produit],A23,HistoriqueMouvements[Qantités]))</f>
        <v>40</v>
      </c>
      <c r="E23" s="51">
        <v>15</v>
      </c>
      <c r="F23" s="59">
        <v>3500</v>
      </c>
      <c r="G23" s="59">
        <f t="shared" si="11"/>
        <v>140000</v>
      </c>
      <c r="H23">
        <f ca="1">IF(A23="","",-SUMIFS(Mouvements!$H:$H,Mouvements!$D:$D,A23,Mouvements!$G:$G,"Vente",Mouvements!$C:$C,"&gt;="&amp;DATE(YEAR(TODAY()),MONTH(TODAY()),1),Mouvements!$C:$C,"&lt;"&amp;DATE(YEAR(TODAY()),MONTH(TODAY())+1,1)))</f>
        <v>0</v>
      </c>
      <c r="I23" s="59">
        <f t="shared" ca="1" si="0"/>
        <v>0</v>
      </c>
      <c r="J23" s="57" t="str">
        <f t="shared" si="12"/>
        <v>NON</v>
      </c>
      <c r="K23" s="58" t="str">
        <f t="shared" si="13"/>
        <v>OK</v>
      </c>
      <c r="L23">
        <f t="shared" si="14"/>
        <v>0</v>
      </c>
      <c r="N23" s="65" t="s">
        <v>85</v>
      </c>
      <c r="O23" s="69">
        <f ca="1">COUNTIF(Stock_par_lots[Status],"Expiré")</f>
        <v>4</v>
      </c>
      <c r="Q23" s="52" t="s">
        <v>62</v>
      </c>
      <c r="R23" s="52" t="s">
        <v>145</v>
      </c>
      <c r="S23" s="54">
        <v>46341</v>
      </c>
      <c r="T23" s="48">
        <v>12</v>
      </c>
      <c r="U23" s="48"/>
      <c r="V23" s="48" t="str">
        <f t="shared" si="1"/>
        <v>Diclofénac injectable</v>
      </c>
      <c r="W23" s="48" t="str">
        <f t="shared" si="2"/>
        <v>LOT-002</v>
      </c>
      <c r="X23" s="43">
        <f t="shared" si="3"/>
        <v>12</v>
      </c>
      <c r="Y23" s="44">
        <f t="shared" si="4"/>
        <v>46341</v>
      </c>
      <c r="Z23" s="53">
        <f ca="1">IFERROR(IF(Stock_par_lots[[#This Row],[Stock restant]]=0,"",Stock_par_lots[[#This Row],[Date de péremption]]-TODAY()),"")</f>
        <v>77</v>
      </c>
      <c r="AA23" s="45" t="str">
        <f ca="1">IF(Stock_par_lots[[#This Row],[Stock restant]]=0,"",IF(Stock_par_lots[[#This Row],[jours restants]]&gt;=60,"Conforme",IF(AND(Stock_par_lots[[#This Row],[jours restants]]&lt;60,Stock_par_lots[[#This Row],[jours restants]]&gt;=30),"Surveillance",IF(AND(Stock_par_lots[[#This Row],[jours restants]]&lt;30,Stock_par_lots[[#This Row],[jours restants]]&gt;=0),"Urgente","Expiré"))))</f>
        <v>Conforme</v>
      </c>
      <c r="AB23" s="68" t="str">
        <f ca="1">IF(AND(Stock_par_lots[[#This Row],[jours restants]]&gt;0,Stock_par_lots[[#This Row],[jours restants]]&lt;=60),"Proche","")</f>
        <v/>
      </c>
      <c r="BA23" s="39" t="s">
        <v>46</v>
      </c>
      <c r="BB23" s="48">
        <v>186</v>
      </c>
      <c r="BC23" s="48"/>
      <c r="BD23" s="48" t="str">
        <f t="shared" si="9"/>
        <v>Spasfon injectable</v>
      </c>
      <c r="BE23" s="48">
        <f t="shared" si="10"/>
        <v>186</v>
      </c>
      <c r="BF23" s="46">
        <f>IFERROR(VLOOKUP(BA23,ListeProduits[],6,FALSE),"")</f>
        <v>15</v>
      </c>
      <c r="BG23" s="47" t="str">
        <f>IFERROR(IF(Stock_par_produits[[#This Row],[Stock nim]]="","",IF(Stock_par_produits[[#This Row],[Stock nim]]&gt;Stock_par_produits[[#This Row],[Quantités restants]],"Commander","Ok")),"")</f>
        <v>Ok</v>
      </c>
    </row>
    <row r="24" spans="1:65" ht="15.75" x14ac:dyDescent="0.25">
      <c r="A24" t="s">
        <v>22</v>
      </c>
      <c r="B24" t="s">
        <v>60</v>
      </c>
      <c r="C24" t="s">
        <v>21</v>
      </c>
      <c r="D24" s="57">
        <f>IF(A24="","",SUMIF(HistoriqueMouvements[Code produit],A24,HistoriqueMouvements[Qantités]))</f>
        <v>70</v>
      </c>
      <c r="E24" s="51">
        <v>25</v>
      </c>
      <c r="F24" s="59">
        <v>2600</v>
      </c>
      <c r="G24" s="59">
        <f t="shared" si="11"/>
        <v>182000</v>
      </c>
      <c r="H24">
        <f ca="1">IF(A24="","",-SUMIFS(Mouvements!$H:$H,Mouvements!$D:$D,A24,Mouvements!$G:$G,"Vente",Mouvements!$C:$C,"&gt;="&amp;DATE(YEAR(TODAY()),MONTH(TODAY()),1),Mouvements!$C:$C,"&lt;"&amp;DATE(YEAR(TODAY()),MONTH(TODAY())+1,1)))</f>
        <v>0</v>
      </c>
      <c r="I24" s="59">
        <f t="shared" ca="1" si="0"/>
        <v>0</v>
      </c>
      <c r="J24" s="57" t="str">
        <f t="shared" si="12"/>
        <v>NON</v>
      </c>
      <c r="K24" s="58" t="str">
        <f t="shared" si="13"/>
        <v>OK</v>
      </c>
      <c r="L24">
        <f t="shared" si="14"/>
        <v>0</v>
      </c>
      <c r="N24" s="65" t="s">
        <v>130</v>
      </c>
      <c r="O24" s="66" t="str">
        <f ca="1">O21+O22&amp; " Lots"</f>
        <v>13 Lots</v>
      </c>
      <c r="Q24" s="52" t="s">
        <v>42</v>
      </c>
      <c r="R24" s="52" t="s">
        <v>102</v>
      </c>
      <c r="S24" s="54">
        <v>46300</v>
      </c>
      <c r="T24" s="48">
        <v>29</v>
      </c>
      <c r="U24" s="48"/>
      <c r="V24" s="48" t="str">
        <f t="shared" si="1"/>
        <v>Efferalgan sirop</v>
      </c>
      <c r="W24" s="48" t="str">
        <f t="shared" si="2"/>
        <v>LOT-001</v>
      </c>
      <c r="X24" s="43">
        <f t="shared" si="3"/>
        <v>29</v>
      </c>
      <c r="Y24" s="44">
        <f t="shared" si="4"/>
        <v>46300</v>
      </c>
      <c r="Z24" s="53">
        <f ca="1">IFERROR(IF(Stock_par_lots[[#This Row],[Stock restant]]=0,"",Stock_par_lots[[#This Row],[Date de péremption]]-TODAY()),"")</f>
        <v>36</v>
      </c>
      <c r="AA24" s="45" t="str">
        <f ca="1">IF(Stock_par_lots[[#This Row],[Stock restant]]=0,"",IF(Stock_par_lots[[#This Row],[jours restants]]&gt;=60,"Conforme",IF(AND(Stock_par_lots[[#This Row],[jours restants]]&lt;60,Stock_par_lots[[#This Row],[jours restants]]&gt;=30),"Surveillance",IF(AND(Stock_par_lots[[#This Row],[jours restants]]&lt;30,Stock_par_lots[[#This Row],[jours restants]]&gt;=0),"Urgente","Expiré"))))</f>
        <v>Surveillance</v>
      </c>
      <c r="AB24" s="68" t="str">
        <f ca="1">IF(AND(Stock_par_lots[[#This Row],[jours restants]]&gt;0,Stock_par_lots[[#This Row],[jours restants]]&lt;=60),"Proche","")</f>
        <v>Proche</v>
      </c>
      <c r="BA24" s="39" t="s">
        <v>59</v>
      </c>
      <c r="BB24" s="48">
        <v>40</v>
      </c>
      <c r="BC24" s="48"/>
      <c r="BD24" s="48" t="str">
        <f t="shared" si="9"/>
        <v>Ventoline inhalateur</v>
      </c>
      <c r="BE24" s="48">
        <f t="shared" si="10"/>
        <v>40</v>
      </c>
      <c r="BF24" s="46">
        <f>IFERROR(VLOOKUP(BA24,ListeProduits[],6,FALSE),"")</f>
        <v>15</v>
      </c>
      <c r="BG24" s="47" t="str">
        <f>IFERROR(IF(Stock_par_produits[[#This Row],[Stock nim]]="","",IF(Stock_par_produits[[#This Row],[Stock nim]]&gt;Stock_par_produits[[#This Row],[Quantités restants]],"Commander","Ok")),"")</f>
        <v>Ok</v>
      </c>
    </row>
    <row r="25" spans="1:65" ht="15.75" customHeight="1" x14ac:dyDescent="0.25">
      <c r="A25" t="s">
        <v>19</v>
      </c>
      <c r="B25" t="s">
        <v>61</v>
      </c>
      <c r="C25" t="s">
        <v>21</v>
      </c>
      <c r="D25" s="57">
        <f>IF(A25="","",SUMIF(HistoriqueMouvements[Code produit],A25,HistoriqueMouvements[Qantités]))</f>
        <v>18</v>
      </c>
      <c r="E25" s="51">
        <v>15</v>
      </c>
      <c r="F25" s="59">
        <v>1800</v>
      </c>
      <c r="G25" s="59">
        <f t="shared" si="11"/>
        <v>32400</v>
      </c>
      <c r="H25">
        <f ca="1">IF(A25="","",-SUMIFS(Mouvements!$H:$H,Mouvements!$D:$D,A25,Mouvements!$G:$G,"Vente",Mouvements!$C:$C,"&gt;="&amp;DATE(YEAR(TODAY()),MONTH(TODAY()),1),Mouvements!$C:$C,"&lt;"&amp;DATE(YEAR(TODAY()),MONTH(TODAY())+1,1)))</f>
        <v>0</v>
      </c>
      <c r="I25" s="59">
        <f t="shared" ca="1" si="0"/>
        <v>0</v>
      </c>
      <c r="J25" s="57" t="str">
        <f t="shared" si="12"/>
        <v>NON</v>
      </c>
      <c r="K25" s="58" t="str">
        <f t="shared" si="13"/>
        <v>OK</v>
      </c>
      <c r="L25">
        <f t="shared" si="14"/>
        <v>0</v>
      </c>
      <c r="Q25" s="52" t="s">
        <v>42</v>
      </c>
      <c r="R25" s="52" t="s">
        <v>145</v>
      </c>
      <c r="S25" s="54">
        <v>46371</v>
      </c>
      <c r="T25" s="48">
        <v>50</v>
      </c>
      <c r="U25" s="48"/>
      <c r="V25" s="48" t="str">
        <f t="shared" si="1"/>
        <v>Efferalgan sirop</v>
      </c>
      <c r="W25" s="48" t="str">
        <f t="shared" si="2"/>
        <v>LOT-002</v>
      </c>
      <c r="X25" s="43">
        <f t="shared" si="3"/>
        <v>50</v>
      </c>
      <c r="Y25" s="44">
        <f t="shared" si="4"/>
        <v>46371</v>
      </c>
      <c r="Z25" s="53">
        <f ca="1">IFERROR(IF(Stock_par_lots[[#This Row],[Stock restant]]=0,"",Stock_par_lots[[#This Row],[Date de péremption]]-TODAY()),"")</f>
        <v>107</v>
      </c>
      <c r="AA25" s="45" t="str">
        <f ca="1">IF(Stock_par_lots[[#This Row],[Stock restant]]=0,"",IF(Stock_par_lots[[#This Row],[jours restants]]&gt;=60,"Conforme",IF(AND(Stock_par_lots[[#This Row],[jours restants]]&lt;60,Stock_par_lots[[#This Row],[jours restants]]&gt;=30),"Surveillance",IF(AND(Stock_par_lots[[#This Row],[jours restants]]&lt;30,Stock_par_lots[[#This Row],[jours restants]]&gt;=0),"Urgente","Expiré"))))</f>
        <v>Conforme</v>
      </c>
      <c r="AB25" s="68" t="str">
        <f ca="1">IF(AND(Stock_par_lots[[#This Row],[jours restants]]&gt;0,Stock_par_lots[[#This Row],[jours restants]]&lt;=60),"Proche","")</f>
        <v/>
      </c>
      <c r="BA25" s="39" t="s">
        <v>34</v>
      </c>
      <c r="BB25" s="48">
        <v>47</v>
      </c>
      <c r="BC25" s="48"/>
      <c r="BD25" s="48" t="str">
        <f t="shared" si="9"/>
        <v>Vitamine C 1000 mg</v>
      </c>
      <c r="BE25" s="48">
        <f t="shared" si="10"/>
        <v>47</v>
      </c>
      <c r="BF25" s="46">
        <f>IFERROR(VLOOKUP(BA25,ListeProduits[],6,FALSE),"")</f>
        <v>30</v>
      </c>
      <c r="BG25" s="47" t="str">
        <f>IFERROR(IF(Stock_par_produits[[#This Row],[Stock nim]]="","",IF(Stock_par_produits[[#This Row],[Stock nim]]&gt;Stock_par_produits[[#This Row],[Quantités restants]],"Commander","Ok")),"")</f>
        <v>Ok</v>
      </c>
    </row>
    <row r="26" spans="1:65" ht="15.75" x14ac:dyDescent="0.25">
      <c r="A26" t="s">
        <v>17</v>
      </c>
      <c r="B26" t="s">
        <v>62</v>
      </c>
      <c r="C26" t="s">
        <v>16</v>
      </c>
      <c r="D26" s="57">
        <f>IF(A26="","",SUMIF(HistoriqueMouvements[Code produit],A26,HistoriqueMouvements[Qantités]))</f>
        <v>91</v>
      </c>
      <c r="E26" s="51">
        <v>20</v>
      </c>
      <c r="F26" s="59">
        <v>1800</v>
      </c>
      <c r="G26" s="59">
        <f t="shared" si="11"/>
        <v>163800</v>
      </c>
      <c r="H26">
        <f ca="1">IF(A26="","",-SUMIFS(Mouvements!$H:$H,Mouvements!$D:$D,A26,Mouvements!$G:$G,"Vente",Mouvements!$C:$C,"&gt;="&amp;DATE(YEAR(TODAY()),MONTH(TODAY()),1),Mouvements!$C:$C,"&lt;"&amp;DATE(YEAR(TODAY()),MONTH(TODAY())+1,1)))</f>
        <v>0</v>
      </c>
      <c r="I26" s="59">
        <f t="shared" ca="1" si="0"/>
        <v>0</v>
      </c>
      <c r="J26" s="57" t="str">
        <f t="shared" si="12"/>
        <v>NON</v>
      </c>
      <c r="K26" s="58" t="str">
        <f t="shared" si="13"/>
        <v>OK</v>
      </c>
      <c r="L26">
        <f t="shared" si="14"/>
        <v>0</v>
      </c>
      <c r="N26" s="64" t="s">
        <v>126</v>
      </c>
      <c r="Q26" s="52" t="s">
        <v>51</v>
      </c>
      <c r="R26" s="52" t="s">
        <v>102</v>
      </c>
      <c r="S26" s="54">
        <v>46173</v>
      </c>
      <c r="T26" s="48">
        <v>19</v>
      </c>
      <c r="U26" s="48"/>
      <c r="V26" s="48" t="str">
        <f t="shared" si="1"/>
        <v>Gaviscon</v>
      </c>
      <c r="W26" s="48" t="str">
        <f t="shared" si="2"/>
        <v>LOT-001</v>
      </c>
      <c r="X26" s="43">
        <f t="shared" si="3"/>
        <v>19</v>
      </c>
      <c r="Y26" s="44">
        <f t="shared" si="4"/>
        <v>46173</v>
      </c>
      <c r="Z26" s="53">
        <f ca="1">IFERROR(IF(Stock_par_lots[[#This Row],[Stock restant]]=0,"",Stock_par_lots[[#This Row],[Date de péremption]]-TODAY()),"")</f>
        <v>-91</v>
      </c>
      <c r="AA26" s="45" t="str">
        <f ca="1">IF(Stock_par_lots[[#This Row],[Stock restant]]=0,"",IF(Stock_par_lots[[#This Row],[jours restants]]&gt;=60,"Conforme",IF(AND(Stock_par_lots[[#This Row],[jours restants]]&lt;60,Stock_par_lots[[#This Row],[jours restants]]&gt;=30),"Surveillance",IF(AND(Stock_par_lots[[#This Row],[jours restants]]&lt;30,Stock_par_lots[[#This Row],[jours restants]]&gt;=0),"Urgente","Expiré"))))</f>
        <v>Expiré</v>
      </c>
      <c r="AB26" s="68" t="str">
        <f ca="1">IF(AND(Stock_par_lots[[#This Row],[jours restants]]&gt;0,Stock_par_lots[[#This Row],[jours restants]]&lt;=60),"Proche","")</f>
        <v/>
      </c>
      <c r="BA26" s="39" t="s">
        <v>31</v>
      </c>
      <c r="BB26" s="48">
        <v>27</v>
      </c>
      <c r="BC26" s="48"/>
      <c r="BD26" s="48" t="str">
        <f t="shared" si="9"/>
        <v>Vitamine C 500 mg</v>
      </c>
      <c r="BE26" s="48">
        <f t="shared" si="10"/>
        <v>27</v>
      </c>
      <c r="BF26" s="46">
        <f>IFERROR(VLOOKUP(BA26,ListeProduits[],6,FALSE),"")</f>
        <v>30</v>
      </c>
      <c r="BG26" s="47" t="str">
        <f>IFERROR(IF(Stock_par_produits[[#This Row],[Stock nim]]="","",IF(Stock_par_produits[[#This Row],[Stock nim]]&gt;Stock_par_produits[[#This Row],[Quantités restants]],"Commander","Ok")),"")</f>
        <v>Commander</v>
      </c>
    </row>
    <row r="27" spans="1:65" ht="15.75" x14ac:dyDescent="0.25">
      <c r="A27" t="s">
        <v>14</v>
      </c>
      <c r="B27" t="s">
        <v>64</v>
      </c>
      <c r="C27" t="s">
        <v>63</v>
      </c>
      <c r="D27" s="57">
        <f>IF(A27="","",SUMIF(HistoriqueMouvements[Code produit],A27,HistoriqueMouvements[Qantités]))</f>
        <v>63</v>
      </c>
      <c r="E27" s="51">
        <v>30</v>
      </c>
      <c r="F27" s="59">
        <v>1200</v>
      </c>
      <c r="G27" s="59">
        <f t="shared" si="11"/>
        <v>75600</v>
      </c>
      <c r="H27">
        <f ca="1">IF(A27="","",-SUMIFS(Mouvements!$H:$H,Mouvements!$D:$D,A27,Mouvements!$G:$G,"Vente",Mouvements!$C:$C,"&gt;="&amp;DATE(YEAR(TODAY()),MONTH(TODAY()),1),Mouvements!$C:$C,"&lt;"&amp;DATE(YEAR(TODAY()),MONTH(TODAY())+1,1)))</f>
        <v>0</v>
      </c>
      <c r="I27" s="59">
        <f t="shared" ca="1" si="0"/>
        <v>0</v>
      </c>
      <c r="J27" s="57" t="str">
        <f t="shared" si="12"/>
        <v>NON</v>
      </c>
      <c r="K27" s="58" t="str">
        <f t="shared" si="13"/>
        <v>OK</v>
      </c>
      <c r="L27">
        <f t="shared" si="14"/>
        <v>0</v>
      </c>
      <c r="N27" s="62">
        <f>COUNTA(tblDataDashboard[Code])</f>
        <v>26</v>
      </c>
      <c r="Q27" s="52" t="s">
        <v>51</v>
      </c>
      <c r="R27" s="52" t="s">
        <v>145</v>
      </c>
      <c r="S27" s="54">
        <v>46275</v>
      </c>
      <c r="T27" s="48">
        <v>67</v>
      </c>
      <c r="U27" s="48"/>
      <c r="V27" s="48" t="str">
        <f t="shared" si="1"/>
        <v>Gaviscon</v>
      </c>
      <c r="W27" s="48" t="str">
        <f t="shared" si="2"/>
        <v>LOT-002</v>
      </c>
      <c r="X27" s="43">
        <f t="shared" si="3"/>
        <v>67</v>
      </c>
      <c r="Y27" s="44">
        <f t="shared" si="4"/>
        <v>46275</v>
      </c>
      <c r="Z27" s="53">
        <f ca="1">IFERROR(IF(Stock_par_lots[[#This Row],[Stock restant]]=0,"",Stock_par_lots[[#This Row],[Date de péremption]]-TODAY()),"")</f>
        <v>11</v>
      </c>
      <c r="AA27" s="45" t="str">
        <f ca="1">IF(Stock_par_lots[[#This Row],[Stock restant]]=0,"",IF(Stock_par_lots[[#This Row],[jours restants]]&gt;=60,"Conforme",IF(AND(Stock_par_lots[[#This Row],[jours restants]]&lt;60,Stock_par_lots[[#This Row],[jours restants]]&gt;=30),"Surveillance",IF(AND(Stock_par_lots[[#This Row],[jours restants]]&lt;30,Stock_par_lots[[#This Row],[jours restants]]&gt;=0),"Urgente","Expiré"))))</f>
        <v>Urgente</v>
      </c>
      <c r="AB27" s="68" t="str">
        <f ca="1">IF(AND(Stock_par_lots[[#This Row],[jours restants]]&gt;0,Stock_par_lots[[#This Row],[jours restants]]&lt;=60),"Proche","")</f>
        <v>Proche</v>
      </c>
      <c r="BA27" s="39" t="s">
        <v>37</v>
      </c>
      <c r="BB27" s="48">
        <v>18</v>
      </c>
      <c r="BC27" s="48"/>
      <c r="BD27" s="48" t="str">
        <f t="shared" si="9"/>
        <v>Vitamine D3</v>
      </c>
      <c r="BE27" s="48">
        <f t="shared" si="10"/>
        <v>18</v>
      </c>
      <c r="BF27" s="46">
        <f>IFERROR(VLOOKUP(BA27,ListeProduits[],6,FALSE),"")</f>
        <v>30</v>
      </c>
      <c r="BG27" s="47" t="str">
        <f>IFERROR(IF(Stock_par_produits[[#This Row],[Stock nim]]="","",IF(Stock_par_produits[[#This Row],[Stock nim]]&gt;Stock_par_produits[[#This Row],[Quantités restants]],"Commander","Ok")),"")</f>
        <v>Commander</v>
      </c>
    </row>
    <row r="28" spans="1:65" ht="15.75" customHeight="1" x14ac:dyDescent="0.25">
      <c r="A28" t="s">
        <v>12</v>
      </c>
      <c r="B28" t="s">
        <v>65</v>
      </c>
      <c r="C28" t="s">
        <v>66</v>
      </c>
      <c r="D28" s="57">
        <f>IF(A28="","",SUMIF(HistoriqueMouvements[Code produit],A28,HistoriqueMouvements[Qantités]))</f>
        <v>78</v>
      </c>
      <c r="E28" s="51">
        <v>20</v>
      </c>
      <c r="F28" s="59">
        <v>2200</v>
      </c>
      <c r="G28" s="59">
        <f t="shared" si="11"/>
        <v>171600</v>
      </c>
      <c r="H28">
        <f ca="1">IF(A28="","",-SUMIFS(Mouvements!$H:$H,Mouvements!$D:$D,A28,Mouvements!$G:$G,"Vente",Mouvements!$C:$C,"&gt;="&amp;DATE(YEAR(TODAY()),MONTH(TODAY()),1),Mouvements!$C:$C,"&lt;"&amp;DATE(YEAR(TODAY()),MONTH(TODAY())+1,1)))</f>
        <v>0</v>
      </c>
      <c r="I28" s="59">
        <f t="shared" ca="1" si="0"/>
        <v>0</v>
      </c>
      <c r="J28" s="57" t="str">
        <f t="shared" si="12"/>
        <v>NON</v>
      </c>
      <c r="K28" s="58" t="str">
        <f t="shared" si="13"/>
        <v>OK</v>
      </c>
      <c r="L28">
        <f t="shared" si="14"/>
        <v>0</v>
      </c>
      <c r="Q28" s="52" t="s">
        <v>61</v>
      </c>
      <c r="R28" s="52" t="s">
        <v>102</v>
      </c>
      <c r="S28" s="54">
        <v>46300</v>
      </c>
      <c r="T28" s="48">
        <v>3</v>
      </c>
      <c r="U28" s="48"/>
      <c r="V28" s="48" t="str">
        <f t="shared" si="1"/>
        <v>Gentamicine injectable</v>
      </c>
      <c r="W28" s="48" t="str">
        <f t="shared" si="2"/>
        <v>LOT-001</v>
      </c>
      <c r="X28" s="43">
        <f t="shared" si="3"/>
        <v>3</v>
      </c>
      <c r="Y28" s="44">
        <f t="shared" si="4"/>
        <v>46300</v>
      </c>
      <c r="Z28" s="53">
        <f ca="1">IFERROR(IF(Stock_par_lots[[#This Row],[Stock restant]]=0,"",Stock_par_lots[[#This Row],[Date de péremption]]-TODAY()),"")</f>
        <v>36</v>
      </c>
      <c r="AA28" s="45" t="str">
        <f ca="1">IF(Stock_par_lots[[#This Row],[Stock restant]]=0,"",IF(Stock_par_lots[[#This Row],[jours restants]]&gt;=60,"Conforme",IF(AND(Stock_par_lots[[#This Row],[jours restants]]&lt;60,Stock_par_lots[[#This Row],[jours restants]]&gt;=30),"Surveillance",IF(AND(Stock_par_lots[[#This Row],[jours restants]]&lt;30,Stock_par_lots[[#This Row],[jours restants]]&gt;=0),"Urgente","Expiré"))))</f>
        <v>Surveillance</v>
      </c>
      <c r="AB28" s="68" t="str">
        <f ca="1">IF(AND(Stock_par_lots[[#This Row],[jours restants]]&gt;0,Stock_par_lots[[#This Row],[jours restants]]&lt;=60),"Proche","")</f>
        <v>Proche</v>
      </c>
      <c r="BA28" s="39" t="s">
        <v>143</v>
      </c>
      <c r="BB28" s="48">
        <v>20</v>
      </c>
      <c r="BC28" s="48"/>
      <c r="BD28" s="48" t="str">
        <f t="shared" si="9"/>
        <v>Metronidazole 500 mg</v>
      </c>
      <c r="BE28" s="48">
        <f t="shared" si="10"/>
        <v>20</v>
      </c>
      <c r="BF28" s="46">
        <f>IFERROR(VLOOKUP(BA28,ListeProduits[],6,FALSE),"")</f>
        <v>25</v>
      </c>
      <c r="BG28" s="47" t="str">
        <f>IFERROR(IF(Stock_par_produits[[#This Row],[Stock nim]]="","",IF(Stock_par_produits[[#This Row],[Stock nim]]&gt;Stock_par_produits[[#This Row],[Quantités restants]],"Commander","Ok")),"")</f>
        <v>Commander</v>
      </c>
    </row>
    <row r="29" spans="1:65" ht="15.75" x14ac:dyDescent="0.25">
      <c r="A29" t="s">
        <v>9</v>
      </c>
      <c r="B29" t="s">
        <v>67</v>
      </c>
      <c r="C29" t="s">
        <v>66</v>
      </c>
      <c r="D29" s="57">
        <f>IF(A29="","",SUMIF(HistoriqueMouvements[Code produit],A29,HistoriqueMouvements[Qantités]))</f>
        <v>23</v>
      </c>
      <c r="E29" s="51">
        <v>25</v>
      </c>
      <c r="F29" s="59">
        <v>1500</v>
      </c>
      <c r="G29" s="59">
        <f t="shared" si="11"/>
        <v>34500</v>
      </c>
      <c r="H29">
        <f ca="1">IF(A29="","",-SUMIFS(Mouvements!$H:$H,Mouvements!$D:$D,A29,Mouvements!$G:$G,"Vente",Mouvements!$C:$C,"&gt;="&amp;DATE(YEAR(TODAY()),MONTH(TODAY()),1),Mouvements!$C:$C,"&lt;"&amp;DATE(YEAR(TODAY()),MONTH(TODAY())+1,1)))</f>
        <v>32</v>
      </c>
      <c r="I29" s="59">
        <f t="shared" ca="1" si="0"/>
        <v>48000</v>
      </c>
      <c r="J29" s="57" t="str">
        <f t="shared" si="12"/>
        <v>NON</v>
      </c>
      <c r="K29" s="58" t="str">
        <f t="shared" si="13"/>
        <v>STOCK FAIBLE</v>
      </c>
      <c r="L29">
        <f t="shared" si="14"/>
        <v>2</v>
      </c>
      <c r="Q29" s="52" t="s">
        <v>61</v>
      </c>
      <c r="R29" s="52" t="s">
        <v>145</v>
      </c>
      <c r="S29" s="54">
        <v>46356</v>
      </c>
      <c r="T29" s="48">
        <v>15</v>
      </c>
      <c r="U29" s="48"/>
      <c r="V29" s="48" t="str">
        <f t="shared" si="1"/>
        <v>Gentamicine injectable</v>
      </c>
      <c r="W29" s="48" t="str">
        <f t="shared" si="2"/>
        <v>LOT-002</v>
      </c>
      <c r="X29" s="43">
        <f t="shared" si="3"/>
        <v>15</v>
      </c>
      <c r="Y29" s="44">
        <f t="shared" si="4"/>
        <v>46356</v>
      </c>
      <c r="Z29" s="53">
        <f ca="1">IFERROR(IF(Stock_par_lots[[#This Row],[Stock restant]]=0,"",Stock_par_lots[[#This Row],[Date de péremption]]-TODAY()),"")</f>
        <v>92</v>
      </c>
      <c r="AA29" s="45" t="str">
        <f ca="1">IF(Stock_par_lots[[#This Row],[Stock restant]]=0,"",IF(Stock_par_lots[[#This Row],[jours restants]]&gt;=60,"Conforme",IF(AND(Stock_par_lots[[#This Row],[jours restants]]&lt;60,Stock_par_lots[[#This Row],[jours restants]]&gt;=30),"Surveillance",IF(AND(Stock_par_lots[[#This Row],[jours restants]]&lt;30,Stock_par_lots[[#This Row],[jours restants]]&gt;=0),"Urgente","Expiré"))))</f>
        <v>Conforme</v>
      </c>
      <c r="AB29" s="68" t="str">
        <f ca="1">IF(AND(Stock_par_lots[[#This Row],[jours restants]]&gt;0,Stock_par_lots[[#This Row],[jours restants]]&lt;=60),"Proche","")</f>
        <v/>
      </c>
      <c r="BA29" s="39" t="s">
        <v>144</v>
      </c>
      <c r="BB29" s="48">
        <v>67</v>
      </c>
      <c r="BC29" s="48"/>
      <c r="BD29" s="48" t="str">
        <f t="shared" si="9"/>
        <v>Ceftriaxone injectable</v>
      </c>
      <c r="BE29" s="48">
        <f t="shared" si="10"/>
        <v>67</v>
      </c>
      <c r="BF29" s="46">
        <f>IFERROR(VLOOKUP(BA29,ListeProduits[],6,FALSE),"")</f>
        <v>20</v>
      </c>
      <c r="BG29" s="47" t="str">
        <f>IFERROR(IF(Stock_par_produits[[#This Row],[Stock nim]]="","",IF(Stock_par_produits[[#This Row],[Stock nim]]&gt;Stock_par_produits[[#This Row],[Quantités restants]],"Commander","Ok")),"")</f>
        <v>Ok</v>
      </c>
    </row>
    <row r="30" spans="1:65" ht="15.75" x14ac:dyDescent="0.25">
      <c r="D30" s="57" t="str">
        <f>IF(A30="","",SUMIF(HistoriqueMouvements[Code produit],A30,HistoriqueMouvements[Qantités]))</f>
        <v/>
      </c>
      <c r="E30" s="51"/>
      <c r="F30" s="59"/>
      <c r="G30" s="104" t="str">
        <f t="shared" si="11"/>
        <v/>
      </c>
      <c r="H30" t="str">
        <f ca="1">IF(A30="","",-SUMIFS(Mouvements!$H:$H,Mouvements!$D:$D,A30,Mouvements!$G:$G,"Vente",Mouvements!$C:$C,"&gt;="&amp;DATE(YEAR(TODAY()),MONTH(TODAY()),1),Mouvements!$C:$C,"&lt;"&amp;DATE(YEAR(TODAY()),MONTH(TODAY())+1,1)))</f>
        <v/>
      </c>
      <c r="I30" s="59" t="str">
        <f t="shared" si="0"/>
        <v/>
      </c>
      <c r="J30" s="57" t="str">
        <f t="shared" si="12"/>
        <v/>
      </c>
      <c r="K30" s="58" t="str">
        <f t="shared" si="13"/>
        <v/>
      </c>
      <c r="L30" t="str">
        <f t="shared" si="14"/>
        <v/>
      </c>
      <c r="Q30" s="52" t="s">
        <v>15</v>
      </c>
      <c r="R30" s="52" t="s">
        <v>102</v>
      </c>
      <c r="S30" s="54">
        <v>46300</v>
      </c>
      <c r="T30" s="48">
        <v>0</v>
      </c>
      <c r="U30" s="48"/>
      <c r="V30" s="48" t="str">
        <f t="shared" si="1"/>
        <v>Ibuprofène 400 mg</v>
      </c>
      <c r="W30" s="48" t="str">
        <f t="shared" si="2"/>
        <v>LOT-001</v>
      </c>
      <c r="X30" s="43">
        <f t="shared" si="3"/>
        <v>0</v>
      </c>
      <c r="Y30" s="44">
        <f t="shared" si="4"/>
        <v>46300</v>
      </c>
      <c r="Z30" s="53" t="str">
        <f ca="1">IFERROR(IF(Stock_par_lots[[#This Row],[Stock restant]]=0,"",Stock_par_lots[[#This Row],[Date de péremption]]-TODAY()),"")</f>
        <v/>
      </c>
      <c r="AA30" s="45" t="str">
        <f>IF(Stock_par_lots[[#This Row],[Stock restant]]=0,"",IF(Stock_par_lots[[#This Row],[jours restants]]&gt;=60,"Conforme",IF(AND(Stock_par_lots[[#This Row],[jours restants]]&lt;60,Stock_par_lots[[#This Row],[jours restants]]&gt;=30),"Surveillance",IF(AND(Stock_par_lots[[#This Row],[jours restants]]&lt;30,Stock_par_lots[[#This Row],[jours restants]]&gt;=0),"Urgente","Expiré"))))</f>
        <v/>
      </c>
      <c r="AB30" s="68" t="str">
        <f ca="1">IF(AND(Stock_par_lots[[#This Row],[jours restants]]&gt;0,Stock_par_lots[[#This Row],[jours restants]]&lt;=60),"Proche","")</f>
        <v/>
      </c>
      <c r="BC30" s="48"/>
      <c r="BD30" s="48">
        <f t="shared" si="9"/>
        <v>0</v>
      </c>
      <c r="BE30" s="48">
        <f t="shared" si="10"/>
        <v>0</v>
      </c>
      <c r="BF30" s="46" t="str">
        <f>IFERROR(VLOOKUP(BA30,ListeProduits[],6,FALSE),"")</f>
        <v/>
      </c>
      <c r="BG30" s="47" t="str">
        <f>IFERROR(IF(Stock_par_produits[[#This Row],[Stock nim]]="","",IF(Stock_par_produits[[#This Row],[Stock nim]]&gt;Stock_par_produits[[#This Row],[Quantités restants]],"Commander","Ok")),"")</f>
        <v/>
      </c>
    </row>
    <row r="31" spans="1:65" ht="15.75" x14ac:dyDescent="0.25">
      <c r="D31" s="57" t="str">
        <f>IF(A31="","",SUMIF(HistoriqueMouvements[Code produit],A31,HistoriqueMouvements[Qantités]))</f>
        <v/>
      </c>
      <c r="E31" s="51"/>
      <c r="F31" s="59"/>
      <c r="G31" s="59" t="str">
        <f t="shared" si="11"/>
        <v/>
      </c>
      <c r="H31" t="str">
        <f ca="1">IF(A31="","",-SUMIFS(Mouvements!$H:$H,Mouvements!$D:$D,A31,Mouvements!$G:$G,"Vente",Mouvements!$C:$C,"&gt;="&amp;DATE(YEAR(TODAY()),MONTH(TODAY()),1),Mouvements!$C:$C,"&lt;"&amp;DATE(YEAR(TODAY()),MONTH(TODAY())+1,1)))</f>
        <v/>
      </c>
      <c r="I31" s="59" t="str">
        <f t="shared" si="0"/>
        <v/>
      </c>
      <c r="J31" s="57" t="str">
        <f t="shared" si="12"/>
        <v/>
      </c>
      <c r="K31" s="58" t="str">
        <f t="shared" si="13"/>
        <v/>
      </c>
      <c r="L31" t="str">
        <f t="shared" si="14"/>
        <v/>
      </c>
      <c r="Q31" s="52" t="s">
        <v>15</v>
      </c>
      <c r="R31" s="52" t="s">
        <v>145</v>
      </c>
      <c r="S31" s="54">
        <v>46356</v>
      </c>
      <c r="T31" s="48">
        <v>30</v>
      </c>
      <c r="U31" s="48"/>
      <c r="V31" s="48" t="str">
        <f t="shared" si="1"/>
        <v>Ibuprofène 400 mg</v>
      </c>
      <c r="W31" s="48" t="str">
        <f t="shared" si="2"/>
        <v>LOT-002</v>
      </c>
      <c r="X31" s="43">
        <f t="shared" si="3"/>
        <v>30</v>
      </c>
      <c r="Y31" s="44">
        <f t="shared" si="4"/>
        <v>46356</v>
      </c>
      <c r="Z31" s="53">
        <f ca="1">IFERROR(IF(Stock_par_lots[[#This Row],[Stock restant]]=0,"",Stock_par_lots[[#This Row],[Date de péremption]]-TODAY()),"")</f>
        <v>92</v>
      </c>
      <c r="AA31" s="45" t="str">
        <f ca="1">IF(Stock_par_lots[[#This Row],[Stock restant]]=0,"",IF(Stock_par_lots[[#This Row],[jours restants]]&gt;=60,"Conforme",IF(AND(Stock_par_lots[[#This Row],[jours restants]]&lt;60,Stock_par_lots[[#This Row],[jours restants]]&gt;=30),"Surveillance",IF(AND(Stock_par_lots[[#This Row],[jours restants]]&lt;30,Stock_par_lots[[#This Row],[jours restants]]&gt;=0),"Urgente","Expiré"))))</f>
        <v>Conforme</v>
      </c>
      <c r="AB31" s="68" t="str">
        <f ca="1">IF(AND(Stock_par_lots[[#This Row],[jours restants]]&gt;0,Stock_par_lots[[#This Row],[jours restants]]&lt;=60),"Proche","")</f>
        <v/>
      </c>
      <c r="BC31" s="48"/>
      <c r="BD31" s="48">
        <f t="shared" si="9"/>
        <v>0</v>
      </c>
      <c r="BE31" s="48">
        <f t="shared" si="10"/>
        <v>0</v>
      </c>
      <c r="BF31" s="46" t="str">
        <f>IFERROR(VLOOKUP(BA31,ListeProduits[],6,FALSE),"")</f>
        <v/>
      </c>
      <c r="BG31" s="47" t="str">
        <f>IFERROR(IF(Stock_par_produits[[#This Row],[Stock nim]]="","",IF(Stock_par_produits[[#This Row],[Stock nim]]&gt;Stock_par_produits[[#This Row],[Quantités restants]],"Commander","Ok")),"")</f>
        <v/>
      </c>
    </row>
    <row r="32" spans="1:65" ht="15.75" x14ac:dyDescent="0.25">
      <c r="D32" s="57" t="str">
        <f>IF(A32="","",SUMIF(HistoriqueMouvements[Code produit],A32,HistoriqueMouvements[Qantités]))</f>
        <v/>
      </c>
      <c r="E32" s="51"/>
      <c r="F32" s="59"/>
      <c r="G32" s="59" t="str">
        <f t="shared" si="11"/>
        <v/>
      </c>
      <c r="H32" t="str">
        <f ca="1">IF(A32="","",-SUMIFS(Mouvements!$H:$H,Mouvements!$D:$D,A32,Mouvements!$G:$G,"Vente",Mouvements!$C:$C,"&gt;="&amp;DATE(YEAR(TODAY()),MONTH(TODAY()),1),Mouvements!$C:$C,"&lt;"&amp;DATE(YEAR(TODAY()),MONTH(TODAY())+1,1)))</f>
        <v/>
      </c>
      <c r="I32" s="59" t="str">
        <f t="shared" si="0"/>
        <v/>
      </c>
      <c r="J32" s="57" t="str">
        <f t="shared" si="12"/>
        <v/>
      </c>
      <c r="K32" s="58" t="str">
        <f t="shared" si="13"/>
        <v/>
      </c>
      <c r="L32" t="str">
        <f t="shared" si="14"/>
        <v/>
      </c>
      <c r="Q32" s="52" t="s">
        <v>54</v>
      </c>
      <c r="R32" s="52" t="s">
        <v>102</v>
      </c>
      <c r="S32" s="54">
        <v>46568</v>
      </c>
      <c r="T32" s="48">
        <v>0</v>
      </c>
      <c r="U32" s="48"/>
      <c r="V32" s="48" t="str">
        <f t="shared" si="1"/>
        <v>Oméprazole 40 mg</v>
      </c>
      <c r="W32" s="48" t="str">
        <f t="shared" si="2"/>
        <v>LOT-001</v>
      </c>
      <c r="X32" s="43">
        <f t="shared" si="3"/>
        <v>0</v>
      </c>
      <c r="Y32" s="44">
        <f t="shared" si="4"/>
        <v>46568</v>
      </c>
      <c r="Z32" s="53" t="str">
        <f ca="1">IFERROR(IF(Stock_par_lots[[#This Row],[Stock restant]]=0,"",Stock_par_lots[[#This Row],[Date de péremption]]-TODAY()),"")</f>
        <v/>
      </c>
      <c r="AA32" s="45" t="str">
        <f>IF(Stock_par_lots[[#This Row],[Stock restant]]=0,"",IF(Stock_par_lots[[#This Row],[jours restants]]&gt;=60,"Conforme",IF(AND(Stock_par_lots[[#This Row],[jours restants]]&lt;60,Stock_par_lots[[#This Row],[jours restants]]&gt;=30),"Surveillance",IF(AND(Stock_par_lots[[#This Row],[jours restants]]&lt;30,Stock_par_lots[[#This Row],[jours restants]]&gt;=0),"Urgente","Expiré"))))</f>
        <v/>
      </c>
      <c r="AB32" s="68" t="str">
        <f ca="1">IF(AND(Stock_par_lots[[#This Row],[jours restants]]&gt;0,Stock_par_lots[[#This Row],[jours restants]]&lt;=60),"Proche","")</f>
        <v/>
      </c>
      <c r="BC32" s="48"/>
      <c r="BD32" s="48">
        <f t="shared" si="9"/>
        <v>0</v>
      </c>
      <c r="BE32" s="48">
        <f t="shared" si="10"/>
        <v>0</v>
      </c>
      <c r="BF32" s="46" t="str">
        <f>IFERROR(VLOOKUP(BA32,ListeProduits[],6,FALSE),"")</f>
        <v/>
      </c>
      <c r="BG32" s="47" t="str">
        <f>IFERROR(IF(Stock_par_produits[[#This Row],[Stock nim]]="","",IF(Stock_par_produits[[#This Row],[Stock nim]]&gt;Stock_par_produits[[#This Row],[Quantités restants]],"Commander","Ok")),"")</f>
        <v/>
      </c>
    </row>
    <row r="33" spans="4:59" ht="15.75" x14ac:dyDescent="0.25">
      <c r="D33" s="57" t="str">
        <f>IF(A33="","",SUMIF(HistoriqueMouvements[Code produit],A33,HistoriqueMouvements[Qantités]))</f>
        <v/>
      </c>
      <c r="E33" s="51"/>
      <c r="F33" s="59"/>
      <c r="G33" s="59" t="str">
        <f t="shared" si="11"/>
        <v/>
      </c>
      <c r="H33" t="str">
        <f ca="1">IF(A33="","",-SUMIFS(Mouvements!$H:$H,Mouvements!$D:$D,A33,Mouvements!$G:$G,"Vente",Mouvements!$C:$C,"&gt;="&amp;DATE(YEAR(TODAY()),MONTH(TODAY()),1),Mouvements!$C:$C,"&lt;"&amp;DATE(YEAR(TODAY()),MONTH(TODAY())+1,1)))</f>
        <v/>
      </c>
      <c r="I33" s="59" t="str">
        <f t="shared" si="0"/>
        <v/>
      </c>
      <c r="J33" s="57" t="str">
        <f t="shared" si="12"/>
        <v/>
      </c>
      <c r="K33" s="58" t="str">
        <f t="shared" si="13"/>
        <v/>
      </c>
      <c r="L33" t="str">
        <f t="shared" si="14"/>
        <v/>
      </c>
      <c r="Q33" s="52" t="s">
        <v>54</v>
      </c>
      <c r="R33" s="52" t="s">
        <v>145</v>
      </c>
      <c r="S33" s="54">
        <v>46325</v>
      </c>
      <c r="T33" s="48">
        <v>0</v>
      </c>
      <c r="U33" s="48"/>
      <c r="V33" s="48" t="str">
        <f t="shared" si="1"/>
        <v>Oméprazole 40 mg</v>
      </c>
      <c r="W33" s="48" t="str">
        <f t="shared" si="2"/>
        <v>LOT-002</v>
      </c>
      <c r="X33" s="43">
        <f t="shared" si="3"/>
        <v>0</v>
      </c>
      <c r="Y33" s="44">
        <f t="shared" si="4"/>
        <v>46325</v>
      </c>
      <c r="Z33" s="53" t="str">
        <f ca="1">IFERROR(IF(Stock_par_lots[[#This Row],[Stock restant]]=0,"",Stock_par_lots[[#This Row],[Date de péremption]]-TODAY()),"")</f>
        <v/>
      </c>
      <c r="AA33" s="45" t="str">
        <f>IF(Stock_par_lots[[#This Row],[Stock restant]]=0,"",IF(Stock_par_lots[[#This Row],[jours restants]]&gt;=60,"Conforme",IF(AND(Stock_par_lots[[#This Row],[jours restants]]&lt;60,Stock_par_lots[[#This Row],[jours restants]]&gt;=30),"Surveillance",IF(AND(Stock_par_lots[[#This Row],[jours restants]]&lt;30,Stock_par_lots[[#This Row],[jours restants]]&gt;=0),"Urgente","Expiré"))))</f>
        <v/>
      </c>
      <c r="AB33" s="68" t="str">
        <f ca="1">IF(AND(Stock_par_lots[[#This Row],[jours restants]]&gt;0,Stock_par_lots[[#This Row],[jours restants]]&lt;=60),"Proche","")</f>
        <v/>
      </c>
      <c r="BC33" s="48"/>
      <c r="BD33" s="48">
        <f t="shared" si="9"/>
        <v>0</v>
      </c>
      <c r="BE33" s="48">
        <f t="shared" si="10"/>
        <v>0</v>
      </c>
      <c r="BF33" s="46" t="str">
        <f>IFERROR(VLOOKUP(BA33,ListeProduits[],6,FALSE),"")</f>
        <v/>
      </c>
      <c r="BG33" s="47" t="str">
        <f>IFERROR(IF(Stock_par_produits[[#This Row],[Stock nim]]="","",IF(Stock_par_produits[[#This Row],[Stock nim]]&gt;Stock_par_produits[[#This Row],[Quantités restants]],"Commander","Ok")),"")</f>
        <v/>
      </c>
    </row>
    <row r="34" spans="4:59" ht="15.75" x14ac:dyDescent="0.25">
      <c r="D34" s="57" t="str">
        <f>IF(A34="","",SUMIF(HistoriqueMouvements[Code produit],A34,HistoriqueMouvements[Qantités]))</f>
        <v/>
      </c>
      <c r="E34" s="51"/>
      <c r="F34" s="59"/>
      <c r="G34" s="59" t="str">
        <f t="shared" si="11"/>
        <v/>
      </c>
      <c r="H34" t="str">
        <f ca="1">IF(A34="","",-SUMIFS(Mouvements!$H:$H,Mouvements!$D:$D,A34,Mouvements!$G:$G,"Vente",Mouvements!$C:$C,"&gt;="&amp;DATE(YEAR(TODAY()),MONTH(TODAY()),1),Mouvements!$C:$C,"&lt;"&amp;DATE(YEAR(TODAY()),MONTH(TODAY())+1,1)))</f>
        <v/>
      </c>
      <c r="I34" s="59" t="str">
        <f t="shared" si="0"/>
        <v/>
      </c>
      <c r="J34" s="57" t="str">
        <f t="shared" si="12"/>
        <v/>
      </c>
      <c r="K34" s="58" t="str">
        <f t="shared" si="13"/>
        <v/>
      </c>
      <c r="L34" t="str">
        <f t="shared" si="14"/>
        <v/>
      </c>
      <c r="Q34" s="52" t="s">
        <v>13</v>
      </c>
      <c r="R34" s="52" t="s">
        <v>102</v>
      </c>
      <c r="S34" s="54">
        <v>46275</v>
      </c>
      <c r="T34" s="48">
        <v>33</v>
      </c>
      <c r="U34" s="48"/>
      <c r="V34" s="48" t="str">
        <f t="shared" si="1"/>
        <v>Paracétamol 1000 mg</v>
      </c>
      <c r="W34" s="48" t="str">
        <f t="shared" si="2"/>
        <v>LOT-001</v>
      </c>
      <c r="X34" s="43">
        <f t="shared" si="3"/>
        <v>33</v>
      </c>
      <c r="Y34" s="44">
        <f t="shared" si="4"/>
        <v>46275</v>
      </c>
      <c r="Z34" s="53">
        <f ca="1">IFERROR(IF(Stock_par_lots[[#This Row],[Stock restant]]=0,"",Stock_par_lots[[#This Row],[Date de péremption]]-TODAY()),"")</f>
        <v>11</v>
      </c>
      <c r="AA34" s="45" t="str">
        <f ca="1">IF(Stock_par_lots[[#This Row],[Stock restant]]=0,"",IF(Stock_par_lots[[#This Row],[jours restants]]&gt;=60,"Conforme",IF(AND(Stock_par_lots[[#This Row],[jours restants]]&lt;60,Stock_par_lots[[#This Row],[jours restants]]&gt;=30),"Surveillance",IF(AND(Stock_par_lots[[#This Row],[jours restants]]&lt;30,Stock_par_lots[[#This Row],[jours restants]]&gt;=0),"Urgente","Expiré"))))</f>
        <v>Urgente</v>
      </c>
      <c r="AB34" s="68" t="str">
        <f ca="1">IF(AND(Stock_par_lots[[#This Row],[jours restants]]&gt;0,Stock_par_lots[[#This Row],[jours restants]]&lt;=60),"Proche","")</f>
        <v>Proche</v>
      </c>
      <c r="BC34" s="48"/>
      <c r="BD34" s="48">
        <f t="shared" si="9"/>
        <v>0</v>
      </c>
      <c r="BE34" s="48">
        <f t="shared" si="10"/>
        <v>0</v>
      </c>
      <c r="BF34" s="46" t="str">
        <f>IFERROR(VLOOKUP(BA34,ListeProduits[],6,FALSE),"")</f>
        <v/>
      </c>
      <c r="BG34" s="47" t="str">
        <f>IFERROR(IF(Stock_par_produits[[#This Row],[Stock nim]]="","",IF(Stock_par_produits[[#This Row],[Stock nim]]&gt;Stock_par_produits[[#This Row],[Quantités restants]],"Commander","Ok")),"")</f>
        <v/>
      </c>
    </row>
    <row r="35" spans="4:59" ht="15.75" x14ac:dyDescent="0.25">
      <c r="D35" s="57" t="str">
        <f>IF(A35="","",SUMIF(HistoriqueMouvements[Code produit],A35,HistoriqueMouvements[Qantités]))</f>
        <v/>
      </c>
      <c r="E35" s="51"/>
      <c r="F35" s="59"/>
      <c r="G35" s="59" t="str">
        <f t="shared" si="11"/>
        <v/>
      </c>
      <c r="H35" t="str">
        <f ca="1">IF(A35="","",-SUMIFS(Mouvements!$H:$H,Mouvements!$D:$D,A35,Mouvements!$G:$G,"Vente",Mouvements!$C:$C,"&gt;="&amp;DATE(YEAR(TODAY()),MONTH(TODAY()),1),Mouvements!$C:$C,"&lt;"&amp;DATE(YEAR(TODAY()),MONTH(TODAY())+1,1)))</f>
        <v/>
      </c>
      <c r="I35" s="59" t="str">
        <f t="shared" si="0"/>
        <v/>
      </c>
      <c r="J35" s="57" t="str">
        <f t="shared" si="12"/>
        <v/>
      </c>
      <c r="K35" s="58" t="str">
        <f t="shared" si="13"/>
        <v/>
      </c>
      <c r="L35" t="str">
        <f t="shared" si="14"/>
        <v/>
      </c>
      <c r="Q35" s="52" t="s">
        <v>13</v>
      </c>
      <c r="R35" s="52" t="s">
        <v>145</v>
      </c>
      <c r="S35" s="54">
        <v>46356</v>
      </c>
      <c r="T35" s="48">
        <v>50</v>
      </c>
      <c r="U35" s="48"/>
      <c r="V35" s="48" t="str">
        <f t="shared" si="1"/>
        <v>Paracétamol 1000 mg</v>
      </c>
      <c r="W35" s="48" t="str">
        <f t="shared" si="2"/>
        <v>LOT-002</v>
      </c>
      <c r="X35" s="43">
        <f t="shared" si="3"/>
        <v>50</v>
      </c>
      <c r="Y35" s="44">
        <f t="shared" si="4"/>
        <v>46356</v>
      </c>
      <c r="Z35" s="53">
        <f ca="1">IFERROR(IF(Stock_par_lots[[#This Row],[Stock restant]]=0,"",Stock_par_lots[[#This Row],[Date de péremption]]-TODAY()),"")</f>
        <v>92</v>
      </c>
      <c r="AA35" s="45" t="str">
        <f ca="1">IF(Stock_par_lots[[#This Row],[Stock restant]]=0,"",IF(Stock_par_lots[[#This Row],[jours restants]]&gt;=60,"Conforme",IF(AND(Stock_par_lots[[#This Row],[jours restants]]&lt;60,Stock_par_lots[[#This Row],[jours restants]]&gt;=30),"Surveillance",IF(AND(Stock_par_lots[[#This Row],[jours restants]]&lt;30,Stock_par_lots[[#This Row],[jours restants]]&gt;=0),"Urgente","Expiré"))))</f>
        <v>Conforme</v>
      </c>
      <c r="AB35" s="68" t="str">
        <f ca="1">IF(AND(Stock_par_lots[[#This Row],[jours restants]]&gt;0,Stock_par_lots[[#This Row],[jours restants]]&lt;=60),"Proche","")</f>
        <v/>
      </c>
      <c r="BC35" s="48"/>
      <c r="BD35" s="48">
        <f t="shared" si="9"/>
        <v>0</v>
      </c>
      <c r="BE35" s="48">
        <f t="shared" si="10"/>
        <v>0</v>
      </c>
      <c r="BF35" s="46" t="str">
        <f>IFERROR(VLOOKUP(BA35,ListeProduits[],6,FALSE),"")</f>
        <v/>
      </c>
      <c r="BG35" s="47" t="str">
        <f>IFERROR(IF(Stock_par_produits[[#This Row],[Stock nim]]="","",IF(Stock_par_produits[[#This Row],[Stock nim]]&gt;Stock_par_produits[[#This Row],[Quantités restants]],"Commander","Ok")),"")</f>
        <v/>
      </c>
    </row>
    <row r="36" spans="4:59" ht="15.75" x14ac:dyDescent="0.25">
      <c r="D36" s="57" t="str">
        <f>IF(A36="","",SUMIF(HistoriqueMouvements[Code produit],A36,HistoriqueMouvements[Qantités]))</f>
        <v/>
      </c>
      <c r="E36" s="51"/>
      <c r="F36" s="59"/>
      <c r="G36" s="59" t="str">
        <f t="shared" si="11"/>
        <v/>
      </c>
      <c r="H36" t="str">
        <f ca="1">IF(A36="","",-SUMIFS(Mouvements!$H:$H,Mouvements!$D:$D,A36,Mouvements!$G:$G,"Vente",Mouvements!$C:$C,"&gt;="&amp;DATE(YEAR(TODAY()),MONTH(TODAY()),1),Mouvements!$C:$C,"&lt;"&amp;DATE(YEAR(TODAY()),MONTH(TODAY())+1,1)))</f>
        <v/>
      </c>
      <c r="I36" s="59" t="str">
        <f t="shared" si="0"/>
        <v/>
      </c>
      <c r="J36" s="57" t="str">
        <f t="shared" si="12"/>
        <v/>
      </c>
      <c r="K36" s="58" t="str">
        <f t="shared" si="13"/>
        <v/>
      </c>
      <c r="L36" t="str">
        <f t="shared" si="14"/>
        <v/>
      </c>
      <c r="Q36" s="52" t="s">
        <v>10</v>
      </c>
      <c r="R36" s="52" t="s">
        <v>161</v>
      </c>
      <c r="S36" s="54">
        <v>46325</v>
      </c>
      <c r="T36" s="48">
        <v>0</v>
      </c>
      <c r="U36" s="48"/>
      <c r="V36" s="48" t="str">
        <f t="shared" ref="V36:V67" si="15">IF(Q36="","",Q36)</f>
        <v>Paracétamol 500 mg</v>
      </c>
      <c r="W36" s="48" t="str">
        <f t="shared" ref="W36:W67" si="16">IF(R36="","",R36)</f>
        <v>LOT-003</v>
      </c>
      <c r="X36" s="43">
        <f t="shared" ref="X36:X67" si="17">IF(T36="","",T36)</f>
        <v>0</v>
      </c>
      <c r="Y36" s="44">
        <f t="shared" ref="Y36:Y67" si="18">IF(S36="","",S36)</f>
        <v>46325</v>
      </c>
      <c r="Z36" s="53" t="str">
        <f ca="1">IFERROR(IF(Stock_par_lots[[#This Row],[Stock restant]]=0,"",Stock_par_lots[[#This Row],[Date de péremption]]-TODAY()),"")</f>
        <v/>
      </c>
      <c r="AA36" s="45" t="str">
        <f>IF(Stock_par_lots[[#This Row],[Stock restant]]=0,"",IF(Stock_par_lots[[#This Row],[jours restants]]&gt;=60,"Conforme",IF(AND(Stock_par_lots[[#This Row],[jours restants]]&lt;60,Stock_par_lots[[#This Row],[jours restants]]&gt;=30),"Surveillance",IF(AND(Stock_par_lots[[#This Row],[jours restants]]&lt;30,Stock_par_lots[[#This Row],[jours restants]]&gt;=0),"Urgente","Expiré"))))</f>
        <v/>
      </c>
      <c r="AB36" s="68" t="str">
        <f ca="1">IF(AND(Stock_par_lots[[#This Row],[jours restants]]&gt;0,Stock_par_lots[[#This Row],[jours restants]]&lt;=60),"Proche","")</f>
        <v/>
      </c>
      <c r="BC36" s="48"/>
      <c r="BD36" s="48">
        <f t="shared" ref="BD36:BD67" si="19">BA36</f>
        <v>0</v>
      </c>
      <c r="BE36" s="48">
        <f t="shared" ref="BE36:BE67" si="20">BB36</f>
        <v>0</v>
      </c>
      <c r="BF36" s="46" t="str">
        <f>IFERROR(VLOOKUP(BA36,ListeProduits[],6,FALSE),"")</f>
        <v/>
      </c>
      <c r="BG36" s="47" t="str">
        <f>IFERROR(IF(Stock_par_produits[[#This Row],[Stock nim]]="","",IF(Stock_par_produits[[#This Row],[Stock nim]]&gt;Stock_par_produits[[#This Row],[Quantités restants]],"Commander","Ok")),"")</f>
        <v/>
      </c>
    </row>
    <row r="37" spans="4:59" ht="15.75" x14ac:dyDescent="0.25">
      <c r="D37" s="57" t="str">
        <f>IF(A37="","",SUMIF(HistoriqueMouvements[Code produit],A37,HistoriqueMouvements[Qantités]))</f>
        <v/>
      </c>
      <c r="E37" s="51"/>
      <c r="F37" s="59"/>
      <c r="G37" s="59" t="str">
        <f t="shared" si="11"/>
        <v/>
      </c>
      <c r="H37" t="str">
        <f ca="1">IF(A37="","",-SUMIFS(Mouvements!$H:$H,Mouvements!$D:$D,A37,Mouvements!$G:$G,"Vente",Mouvements!$C:$C,"&gt;="&amp;DATE(YEAR(TODAY()),MONTH(TODAY()),1),Mouvements!$C:$C,"&lt;"&amp;DATE(YEAR(TODAY()),MONTH(TODAY())+1,1)))</f>
        <v/>
      </c>
      <c r="I37" s="59" t="str">
        <f t="shared" si="0"/>
        <v/>
      </c>
      <c r="J37" s="57" t="str">
        <f t="shared" si="12"/>
        <v/>
      </c>
      <c r="K37" s="58" t="str">
        <f t="shared" si="13"/>
        <v/>
      </c>
      <c r="L37" t="str">
        <f t="shared" si="14"/>
        <v/>
      </c>
      <c r="Q37" s="52" t="s">
        <v>10</v>
      </c>
      <c r="R37" s="52" t="s">
        <v>102</v>
      </c>
      <c r="S37" s="54">
        <v>46173</v>
      </c>
      <c r="T37" s="48">
        <v>0</v>
      </c>
      <c r="U37" s="48"/>
      <c r="V37" s="48" t="str">
        <f t="shared" si="15"/>
        <v>Paracétamol 500 mg</v>
      </c>
      <c r="W37" s="48" t="str">
        <f t="shared" si="16"/>
        <v>LOT-001</v>
      </c>
      <c r="X37" s="43">
        <f t="shared" si="17"/>
        <v>0</v>
      </c>
      <c r="Y37" s="44">
        <f t="shared" si="18"/>
        <v>46173</v>
      </c>
      <c r="Z37" s="53" t="str">
        <f ca="1">IFERROR(IF(Stock_par_lots[[#This Row],[Stock restant]]=0,"",Stock_par_lots[[#This Row],[Date de péremption]]-TODAY()),"")</f>
        <v/>
      </c>
      <c r="AA37" s="45" t="str">
        <f>IF(Stock_par_lots[[#This Row],[Stock restant]]=0,"",IF(Stock_par_lots[[#This Row],[jours restants]]&gt;=60,"Conforme",IF(AND(Stock_par_lots[[#This Row],[jours restants]]&lt;60,Stock_par_lots[[#This Row],[jours restants]]&gt;=30),"Surveillance",IF(AND(Stock_par_lots[[#This Row],[jours restants]]&lt;30,Stock_par_lots[[#This Row],[jours restants]]&gt;=0),"Urgente","Expiré"))))</f>
        <v/>
      </c>
      <c r="AB37" s="68" t="str">
        <f ca="1">IF(AND(Stock_par_lots[[#This Row],[jours restants]]&gt;0,Stock_par_lots[[#This Row],[jours restants]]&lt;=60),"Proche","")</f>
        <v/>
      </c>
      <c r="BC37" s="48"/>
      <c r="BD37" s="48">
        <f t="shared" si="19"/>
        <v>0</v>
      </c>
      <c r="BE37" s="48">
        <f t="shared" si="20"/>
        <v>0</v>
      </c>
      <c r="BF37" s="46" t="str">
        <f>IFERROR(VLOOKUP(BA37,ListeProduits[],6,FALSE),"")</f>
        <v/>
      </c>
      <c r="BG37" s="47" t="str">
        <f>IFERROR(IF(Stock_par_produits[[#This Row],[Stock nim]]="","",IF(Stock_par_produits[[#This Row],[Stock nim]]&gt;Stock_par_produits[[#This Row],[Quantités restants]],"Commander","Ok")),"")</f>
        <v/>
      </c>
    </row>
    <row r="38" spans="4:59" ht="15.75" customHeight="1" x14ac:dyDescent="0.25">
      <c r="D38" s="57" t="str">
        <f>IF(A38="","",SUMIF(HistoriqueMouvements[Code produit],A38,HistoriqueMouvements[Qantités]))</f>
        <v/>
      </c>
      <c r="E38" s="51"/>
      <c r="F38" s="59"/>
      <c r="G38" s="59" t="str">
        <f t="shared" si="11"/>
        <v/>
      </c>
      <c r="H38" t="str">
        <f ca="1">IF(A38="","",-SUMIFS(Mouvements!$H:$H,Mouvements!$D:$D,A38,Mouvements!$G:$G,"Vente",Mouvements!$C:$C,"&gt;="&amp;DATE(YEAR(TODAY()),MONTH(TODAY()),1),Mouvements!$C:$C,"&lt;"&amp;DATE(YEAR(TODAY()),MONTH(TODAY())+1,1)))</f>
        <v/>
      </c>
      <c r="I38" s="59" t="str">
        <f t="shared" si="0"/>
        <v/>
      </c>
      <c r="J38" s="57" t="str">
        <f t="shared" si="12"/>
        <v/>
      </c>
      <c r="K38" s="58" t="str">
        <f t="shared" si="13"/>
        <v/>
      </c>
      <c r="L38" t="str">
        <f t="shared" si="14"/>
        <v/>
      </c>
      <c r="Q38" s="52" t="s">
        <v>10</v>
      </c>
      <c r="R38" s="52" t="s">
        <v>145</v>
      </c>
      <c r="S38" s="54">
        <v>46356</v>
      </c>
      <c r="T38" s="48">
        <v>17</v>
      </c>
      <c r="U38" s="48"/>
      <c r="V38" s="48" t="str">
        <f t="shared" si="15"/>
        <v>Paracétamol 500 mg</v>
      </c>
      <c r="W38" s="48" t="str">
        <f t="shared" si="16"/>
        <v>LOT-002</v>
      </c>
      <c r="X38" s="43">
        <f t="shared" si="17"/>
        <v>17</v>
      </c>
      <c r="Y38" s="44">
        <f t="shared" si="18"/>
        <v>46356</v>
      </c>
      <c r="Z38" s="53">
        <f ca="1">IFERROR(IF(Stock_par_lots[[#This Row],[Stock restant]]=0,"",Stock_par_lots[[#This Row],[Date de péremption]]-TODAY()),"")</f>
        <v>92</v>
      </c>
      <c r="AA38" s="45" t="str">
        <f ca="1">IF(Stock_par_lots[[#This Row],[Stock restant]]=0,"",IF(Stock_par_lots[[#This Row],[jours restants]]&gt;=60,"Conforme",IF(AND(Stock_par_lots[[#This Row],[jours restants]]&lt;60,Stock_par_lots[[#This Row],[jours restants]]&gt;=30),"Surveillance",IF(AND(Stock_par_lots[[#This Row],[jours restants]]&lt;30,Stock_par_lots[[#This Row],[jours restants]]&gt;=0),"Urgente","Expiré"))))</f>
        <v>Conforme</v>
      </c>
      <c r="AB38" s="68" t="str">
        <f ca="1">IF(AND(Stock_par_lots[[#This Row],[jours restants]]&gt;0,Stock_par_lots[[#This Row],[jours restants]]&lt;=60),"Proche","")</f>
        <v/>
      </c>
      <c r="BC38" s="48"/>
      <c r="BD38" s="48">
        <f t="shared" si="19"/>
        <v>0</v>
      </c>
      <c r="BE38" s="48">
        <f t="shared" si="20"/>
        <v>0</v>
      </c>
      <c r="BF38" s="46" t="str">
        <f>IFERROR(VLOOKUP(BA38,ListeProduits[],6,FALSE),"")</f>
        <v/>
      </c>
      <c r="BG38" s="47" t="str">
        <f>IFERROR(IF(Stock_par_produits[[#This Row],[Stock nim]]="","",IF(Stock_par_produits[[#This Row],[Stock nim]]&gt;Stock_par_produits[[#This Row],[Quantités restants]],"Commander","Ok")),"")</f>
        <v/>
      </c>
    </row>
    <row r="39" spans="4:59" ht="15.75" x14ac:dyDescent="0.25">
      <c r="D39" s="57" t="str">
        <f>IF(A39="","",SUMIF(HistoriqueMouvements[Code produit],A39,HistoriqueMouvements[Qantités]))</f>
        <v/>
      </c>
      <c r="E39" s="51"/>
      <c r="F39" s="59"/>
      <c r="G39" s="59" t="str">
        <f t="shared" si="11"/>
        <v/>
      </c>
      <c r="H39" t="str">
        <f ca="1">IF(A39="","",-SUMIFS(Mouvements!$H:$H,Mouvements!$D:$D,A39,Mouvements!$G:$G,"Vente",Mouvements!$C:$C,"&gt;="&amp;DATE(YEAR(TODAY()),MONTH(TODAY()),1),Mouvements!$C:$C,"&lt;"&amp;DATE(YEAR(TODAY()),MONTH(TODAY())+1,1)))</f>
        <v/>
      </c>
      <c r="I39" s="59" t="str">
        <f t="shared" si="0"/>
        <v/>
      </c>
      <c r="J39" s="57" t="str">
        <f t="shared" si="12"/>
        <v/>
      </c>
      <c r="K39" s="58" t="str">
        <f t="shared" si="13"/>
        <v/>
      </c>
      <c r="L39" t="str">
        <f t="shared" si="14"/>
        <v/>
      </c>
      <c r="Q39" s="52" t="s">
        <v>57</v>
      </c>
      <c r="R39" s="52" t="s">
        <v>161</v>
      </c>
      <c r="S39" s="54">
        <v>46752</v>
      </c>
      <c r="T39" s="48">
        <v>30</v>
      </c>
      <c r="U39" s="48"/>
      <c r="V39" s="48" t="str">
        <f t="shared" si="15"/>
        <v>Salbutamol inhalateur</v>
      </c>
      <c r="W39" s="48" t="str">
        <f t="shared" si="16"/>
        <v>LOT-003</v>
      </c>
      <c r="X39" s="43">
        <f t="shared" si="17"/>
        <v>30</v>
      </c>
      <c r="Y39" s="44">
        <f t="shared" si="18"/>
        <v>46752</v>
      </c>
      <c r="Z39" s="53">
        <f ca="1">IFERROR(IF(Stock_par_lots[[#This Row],[Stock restant]]=0,"",Stock_par_lots[[#This Row],[Date de péremption]]-TODAY()),"")</f>
        <v>488</v>
      </c>
      <c r="AA39" s="45" t="str">
        <f ca="1">IF(Stock_par_lots[[#This Row],[Stock restant]]=0,"",IF(Stock_par_lots[[#This Row],[jours restants]]&gt;=60,"Conforme",IF(AND(Stock_par_lots[[#This Row],[jours restants]]&lt;60,Stock_par_lots[[#This Row],[jours restants]]&gt;=30),"Surveillance",IF(AND(Stock_par_lots[[#This Row],[jours restants]]&lt;30,Stock_par_lots[[#This Row],[jours restants]]&gt;=0),"Urgente","Expiré"))))</f>
        <v>Conforme</v>
      </c>
      <c r="AB39" s="68" t="str">
        <f ca="1">IF(AND(Stock_par_lots[[#This Row],[jours restants]]&gt;0,Stock_par_lots[[#This Row],[jours restants]]&lt;=60),"Proche","")</f>
        <v/>
      </c>
      <c r="BC39" s="48"/>
      <c r="BD39" s="48">
        <f t="shared" si="19"/>
        <v>0</v>
      </c>
      <c r="BE39" s="48">
        <f t="shared" si="20"/>
        <v>0</v>
      </c>
      <c r="BF39" s="46" t="str">
        <f>IFERROR(VLOOKUP(BA39,ListeProduits[],6,FALSE),"")</f>
        <v/>
      </c>
      <c r="BG39" s="47" t="str">
        <f>IFERROR(IF(Stock_par_produits[[#This Row],[Stock nim]]="","",IF(Stock_par_produits[[#This Row],[Stock nim]]&gt;Stock_par_produits[[#This Row],[Quantités restants]],"Commander","Ok")),"")</f>
        <v/>
      </c>
    </row>
    <row r="40" spans="4:59" ht="15.75" customHeight="1" x14ac:dyDescent="0.25">
      <c r="D40" s="57" t="str">
        <f>IF(A40="","",SUMIF(HistoriqueMouvements[Code produit],A40,HistoriqueMouvements[Qantités]))</f>
        <v/>
      </c>
      <c r="E40" s="51"/>
      <c r="F40" s="59"/>
      <c r="G40" s="59" t="str">
        <f t="shared" si="11"/>
        <v/>
      </c>
      <c r="H40" t="str">
        <f ca="1">IF(A40="","",-SUMIFS(Mouvements!$H:$H,Mouvements!$D:$D,A40,Mouvements!$G:$G,"Vente",Mouvements!$C:$C,"&gt;="&amp;DATE(YEAR(TODAY()),MONTH(TODAY()),1),Mouvements!$C:$C,"&lt;"&amp;DATE(YEAR(TODAY()),MONTH(TODAY())+1,1)))</f>
        <v/>
      </c>
      <c r="I40" s="59" t="str">
        <f t="shared" si="0"/>
        <v/>
      </c>
      <c r="J40" s="57" t="str">
        <f t="shared" si="12"/>
        <v/>
      </c>
      <c r="K40" s="58" t="str">
        <f t="shared" si="13"/>
        <v/>
      </c>
      <c r="L40" t="str">
        <f t="shared" si="14"/>
        <v/>
      </c>
      <c r="Q40" s="52" t="s">
        <v>57</v>
      </c>
      <c r="R40" s="52" t="s">
        <v>102</v>
      </c>
      <c r="S40" s="54">
        <v>46173</v>
      </c>
      <c r="T40" s="48">
        <v>34</v>
      </c>
      <c r="U40" s="48"/>
      <c r="V40" s="48" t="str">
        <f t="shared" si="15"/>
        <v>Salbutamol inhalateur</v>
      </c>
      <c r="W40" s="48" t="str">
        <f t="shared" si="16"/>
        <v>LOT-001</v>
      </c>
      <c r="X40" s="43">
        <f t="shared" si="17"/>
        <v>34</v>
      </c>
      <c r="Y40" s="44">
        <f t="shared" si="18"/>
        <v>46173</v>
      </c>
      <c r="Z40" s="53">
        <f ca="1">IFERROR(IF(Stock_par_lots[[#This Row],[Stock restant]]=0,"",Stock_par_lots[[#This Row],[Date de péremption]]-TODAY()),"")</f>
        <v>-91</v>
      </c>
      <c r="AA40" s="45" t="str">
        <f ca="1">IF(Stock_par_lots[[#This Row],[Stock restant]]=0,"",IF(Stock_par_lots[[#This Row],[jours restants]]&gt;=60,"Conforme",IF(AND(Stock_par_lots[[#This Row],[jours restants]]&lt;60,Stock_par_lots[[#This Row],[jours restants]]&gt;=30),"Surveillance",IF(AND(Stock_par_lots[[#This Row],[jours restants]]&lt;30,Stock_par_lots[[#This Row],[jours restants]]&gt;=0),"Urgente","Expiré"))))</f>
        <v>Expiré</v>
      </c>
      <c r="AB40" s="68" t="str">
        <f ca="1">IF(AND(Stock_par_lots[[#This Row],[jours restants]]&gt;0,Stock_par_lots[[#This Row],[jours restants]]&lt;=60),"Proche","")</f>
        <v/>
      </c>
      <c r="BC40" s="48"/>
      <c r="BD40" s="48">
        <f t="shared" si="19"/>
        <v>0</v>
      </c>
      <c r="BE40" s="48">
        <f t="shared" si="20"/>
        <v>0</v>
      </c>
      <c r="BF40" s="46" t="str">
        <f>IFERROR(VLOOKUP(BA40,ListeProduits[],6,FALSE),"")</f>
        <v/>
      </c>
      <c r="BG40" s="47" t="str">
        <f>IFERROR(IF(Stock_par_produits[[#This Row],[Stock nim]]="","",IF(Stock_par_produits[[#This Row],[Stock nim]]&gt;Stock_par_produits[[#This Row],[Quantités restants]],"Commander","Ok")),"")</f>
        <v/>
      </c>
    </row>
    <row r="41" spans="4:59" ht="15.75" x14ac:dyDescent="0.25">
      <c r="D41" s="57" t="str">
        <f>IF(A41="","",SUMIF(HistoriqueMouvements[Code produit],A41,HistoriqueMouvements[Qantités]))</f>
        <v/>
      </c>
      <c r="E41" s="51"/>
      <c r="F41" s="59"/>
      <c r="G41" s="59" t="str">
        <f t="shared" si="11"/>
        <v/>
      </c>
      <c r="H41" t="str">
        <f ca="1">IF(A41="","",-SUMIFS(Mouvements!$H:$H,Mouvements!$D:$D,A41,Mouvements!$G:$G,"Vente",Mouvements!$C:$C,"&gt;="&amp;DATE(YEAR(TODAY()),MONTH(TODAY()),1),Mouvements!$C:$C,"&lt;"&amp;DATE(YEAR(TODAY()),MONTH(TODAY())+1,1)))</f>
        <v/>
      </c>
      <c r="I41" s="59" t="str">
        <f t="shared" si="0"/>
        <v/>
      </c>
      <c r="J41" s="57" t="str">
        <f t="shared" si="12"/>
        <v/>
      </c>
      <c r="K41" s="58" t="str">
        <f t="shared" si="13"/>
        <v/>
      </c>
      <c r="L41" t="str">
        <f t="shared" si="14"/>
        <v/>
      </c>
      <c r="Q41" s="52" t="s">
        <v>57</v>
      </c>
      <c r="R41" s="52" t="s">
        <v>145</v>
      </c>
      <c r="S41" s="54">
        <v>46371</v>
      </c>
      <c r="T41" s="48">
        <v>30</v>
      </c>
      <c r="U41" s="48"/>
      <c r="V41" s="48" t="str">
        <f t="shared" si="15"/>
        <v>Salbutamol inhalateur</v>
      </c>
      <c r="W41" s="48" t="str">
        <f t="shared" si="16"/>
        <v>LOT-002</v>
      </c>
      <c r="X41" s="43">
        <f t="shared" si="17"/>
        <v>30</v>
      </c>
      <c r="Y41" s="44">
        <f t="shared" si="18"/>
        <v>46371</v>
      </c>
      <c r="Z41" s="53">
        <f ca="1">IFERROR(IF(Stock_par_lots[[#This Row],[Stock restant]]=0,"",Stock_par_lots[[#This Row],[Date de péremption]]-TODAY()),"")</f>
        <v>107</v>
      </c>
      <c r="AA41" s="45" t="str">
        <f ca="1">IF(Stock_par_lots[[#This Row],[Stock restant]]=0,"",IF(Stock_par_lots[[#This Row],[jours restants]]&gt;=60,"Conforme",IF(AND(Stock_par_lots[[#This Row],[jours restants]]&lt;60,Stock_par_lots[[#This Row],[jours restants]]&gt;=30),"Surveillance",IF(AND(Stock_par_lots[[#This Row],[jours restants]]&lt;30,Stock_par_lots[[#This Row],[jours restants]]&gt;=0),"Urgente","Expiré"))))</f>
        <v>Conforme</v>
      </c>
      <c r="AB41" s="68" t="str">
        <f ca="1">IF(AND(Stock_par_lots[[#This Row],[jours restants]]&gt;0,Stock_par_lots[[#This Row],[jours restants]]&lt;=60),"Proche","")</f>
        <v/>
      </c>
      <c r="BC41" s="48"/>
      <c r="BD41" s="48">
        <f t="shared" si="19"/>
        <v>0</v>
      </c>
      <c r="BE41" s="48">
        <f t="shared" si="20"/>
        <v>0</v>
      </c>
      <c r="BF41" s="46" t="str">
        <f>IFERROR(VLOOKUP(BA41,ListeProduits[],6,FALSE),"")</f>
        <v/>
      </c>
      <c r="BG41" s="47" t="str">
        <f>IFERROR(IF(Stock_par_produits[[#This Row],[Stock nim]]="","",IF(Stock_par_produits[[#This Row],[Stock nim]]&gt;Stock_par_produits[[#This Row],[Quantités restants]],"Commander","Ok")),"")</f>
        <v/>
      </c>
    </row>
    <row r="42" spans="4:59" ht="15.75" x14ac:dyDescent="0.25">
      <c r="D42" s="57" t="str">
        <f>IF(A42="","",SUMIF(HistoriqueMouvements[Code produit],A42,HistoriqueMouvements[Qantités]))</f>
        <v/>
      </c>
      <c r="E42" s="51"/>
      <c r="F42" s="59"/>
      <c r="G42" s="59" t="str">
        <f t="shared" si="11"/>
        <v/>
      </c>
      <c r="H42" t="str">
        <f ca="1">IF(A42="","",-SUMIFS(Mouvements!$H:$H,Mouvements!$D:$D,A42,Mouvements!$G:$G,"Vente",Mouvements!$C:$C,"&gt;="&amp;DATE(YEAR(TODAY()),MONTH(TODAY()),1),Mouvements!$C:$C,"&lt;"&amp;DATE(YEAR(TODAY()),MONTH(TODAY())+1,1)))</f>
        <v/>
      </c>
      <c r="I42" s="59" t="str">
        <f t="shared" si="0"/>
        <v/>
      </c>
      <c r="J42" s="57" t="str">
        <f t="shared" si="12"/>
        <v/>
      </c>
      <c r="K42" s="58" t="str">
        <f t="shared" si="13"/>
        <v/>
      </c>
      <c r="L42" t="str">
        <f t="shared" si="14"/>
        <v/>
      </c>
      <c r="Q42" s="52" t="s">
        <v>64</v>
      </c>
      <c r="R42" s="52" t="s">
        <v>102</v>
      </c>
      <c r="S42" s="54">
        <v>46173</v>
      </c>
      <c r="T42" s="48">
        <v>31</v>
      </c>
      <c r="U42" s="48"/>
      <c r="V42" s="48" t="str">
        <f t="shared" si="15"/>
        <v>Sérum physiologique</v>
      </c>
      <c r="W42" s="48" t="str">
        <f t="shared" si="16"/>
        <v>LOT-001</v>
      </c>
      <c r="X42" s="43">
        <f t="shared" si="17"/>
        <v>31</v>
      </c>
      <c r="Y42" s="44">
        <f t="shared" si="18"/>
        <v>46173</v>
      </c>
      <c r="Z42" s="53">
        <f ca="1">IFERROR(IF(Stock_par_lots[[#This Row],[Stock restant]]=0,"",Stock_par_lots[[#This Row],[Date de péremption]]-TODAY()),"")</f>
        <v>-91</v>
      </c>
      <c r="AA42" s="45" t="str">
        <f ca="1">IF(Stock_par_lots[[#This Row],[Stock restant]]=0,"",IF(Stock_par_lots[[#This Row],[jours restants]]&gt;=60,"Conforme",IF(AND(Stock_par_lots[[#This Row],[jours restants]]&lt;60,Stock_par_lots[[#This Row],[jours restants]]&gt;=30),"Surveillance",IF(AND(Stock_par_lots[[#This Row],[jours restants]]&lt;30,Stock_par_lots[[#This Row],[jours restants]]&gt;=0),"Urgente","Expiré"))))</f>
        <v>Expiré</v>
      </c>
      <c r="AB42" s="68" t="str">
        <f ca="1">IF(AND(Stock_par_lots[[#This Row],[jours restants]]&gt;0,Stock_par_lots[[#This Row],[jours restants]]&lt;=60),"Proche","")</f>
        <v/>
      </c>
      <c r="BC42" s="48"/>
      <c r="BD42" s="48">
        <f t="shared" si="19"/>
        <v>0</v>
      </c>
      <c r="BE42" s="48">
        <f t="shared" si="20"/>
        <v>0</v>
      </c>
      <c r="BF42" s="46" t="str">
        <f>IFERROR(VLOOKUP(BA42,ListeProduits[],6,FALSE),"")</f>
        <v/>
      </c>
      <c r="BG42" s="47" t="str">
        <f>IFERROR(IF(Stock_par_produits[[#This Row],[Stock nim]]="","",IF(Stock_par_produits[[#This Row],[Stock nim]]&gt;Stock_par_produits[[#This Row],[Quantités restants]],"Commander","Ok")),"")</f>
        <v/>
      </c>
    </row>
    <row r="43" spans="4:59" ht="15.75" x14ac:dyDescent="0.25">
      <c r="D43" s="57" t="str">
        <f>IF(A43="","",SUMIF(HistoriqueMouvements[Code produit],A43,HistoriqueMouvements[Qantités]))</f>
        <v/>
      </c>
      <c r="E43" s="51"/>
      <c r="F43" s="59"/>
      <c r="G43" s="59" t="str">
        <f t="shared" si="11"/>
        <v/>
      </c>
      <c r="H43" t="str">
        <f ca="1">IF(A43="","",-SUMIFS(Mouvements!$H:$H,Mouvements!$D:$D,A43,Mouvements!$G:$G,"Vente",Mouvements!$C:$C,"&gt;="&amp;DATE(YEAR(TODAY()),MONTH(TODAY()),1),Mouvements!$C:$C,"&lt;"&amp;DATE(YEAR(TODAY()),MONTH(TODAY())+1,1)))</f>
        <v/>
      </c>
      <c r="I43" s="59" t="str">
        <f t="shared" si="0"/>
        <v/>
      </c>
      <c r="J43" s="57" t="str">
        <f t="shared" si="12"/>
        <v/>
      </c>
      <c r="K43" s="58" t="str">
        <f t="shared" si="13"/>
        <v/>
      </c>
      <c r="L43" t="str">
        <f t="shared" si="14"/>
        <v/>
      </c>
      <c r="Q43" s="52" t="s">
        <v>64</v>
      </c>
      <c r="R43" s="52" t="s">
        <v>145</v>
      </c>
      <c r="S43" s="54">
        <v>46305</v>
      </c>
      <c r="T43" s="48">
        <v>32</v>
      </c>
      <c r="U43" s="48"/>
      <c r="V43" s="48" t="str">
        <f t="shared" si="15"/>
        <v>Sérum physiologique</v>
      </c>
      <c r="W43" s="48" t="str">
        <f t="shared" si="16"/>
        <v>LOT-002</v>
      </c>
      <c r="X43" s="43">
        <f t="shared" si="17"/>
        <v>32</v>
      </c>
      <c r="Y43" s="44">
        <f t="shared" si="18"/>
        <v>46305</v>
      </c>
      <c r="Z43" s="53">
        <f ca="1">IFERROR(IF(Stock_par_lots[[#This Row],[Stock restant]]=0,"",Stock_par_lots[[#This Row],[Date de péremption]]-TODAY()),"")</f>
        <v>41</v>
      </c>
      <c r="AA43" s="45" t="str">
        <f ca="1">IF(Stock_par_lots[[#This Row],[Stock restant]]=0,"",IF(Stock_par_lots[[#This Row],[jours restants]]&gt;=60,"Conforme",IF(AND(Stock_par_lots[[#This Row],[jours restants]]&lt;60,Stock_par_lots[[#This Row],[jours restants]]&gt;=30),"Surveillance",IF(AND(Stock_par_lots[[#This Row],[jours restants]]&lt;30,Stock_par_lots[[#This Row],[jours restants]]&gt;=0),"Urgente","Expiré"))))</f>
        <v>Surveillance</v>
      </c>
      <c r="AB43" s="68" t="str">
        <f ca="1">IF(AND(Stock_par_lots[[#This Row],[jours restants]]&gt;0,Stock_par_lots[[#This Row],[jours restants]]&lt;=60),"Proche","")</f>
        <v>Proche</v>
      </c>
      <c r="BC43" s="48"/>
      <c r="BD43" s="48">
        <f t="shared" si="19"/>
        <v>0</v>
      </c>
      <c r="BE43" s="48">
        <f t="shared" si="20"/>
        <v>0</v>
      </c>
      <c r="BF43" s="46" t="str">
        <f>IFERROR(VLOOKUP(BA43,ListeProduits[],6,FALSE),"")</f>
        <v/>
      </c>
      <c r="BG43" s="47" t="str">
        <f>IFERROR(IF(Stock_par_produits[[#This Row],[Stock nim]]="","",IF(Stock_par_produits[[#This Row],[Stock nim]]&gt;Stock_par_produits[[#This Row],[Quantités restants]],"Commander","Ok")),"")</f>
        <v/>
      </c>
    </row>
    <row r="44" spans="4:59" ht="15.75" x14ac:dyDescent="0.25">
      <c r="D44" s="57" t="str">
        <f>IF(A44="","",SUMIF(HistoriqueMouvements[Code produit],A44,HistoriqueMouvements[Qantités]))</f>
        <v/>
      </c>
      <c r="E44" s="51"/>
      <c r="F44" s="59"/>
      <c r="G44" s="59" t="str">
        <f t="shared" si="11"/>
        <v/>
      </c>
      <c r="H44" t="str">
        <f ca="1">IF(A44="","",-SUMIFS(Mouvements!$H:$H,Mouvements!$D:$D,A44,Mouvements!$G:$G,"Vente",Mouvements!$C:$C,"&gt;="&amp;DATE(YEAR(TODAY()),MONTH(TODAY()),1),Mouvements!$C:$C,"&lt;"&amp;DATE(YEAR(TODAY()),MONTH(TODAY())+1,1)))</f>
        <v/>
      </c>
      <c r="I44" s="59" t="str">
        <f t="shared" si="0"/>
        <v/>
      </c>
      <c r="J44" s="57" t="str">
        <f t="shared" si="12"/>
        <v/>
      </c>
      <c r="K44" s="58" t="str">
        <f t="shared" si="13"/>
        <v/>
      </c>
      <c r="L44" t="str">
        <f t="shared" si="14"/>
        <v/>
      </c>
      <c r="Q44" s="52" t="s">
        <v>46</v>
      </c>
      <c r="R44" s="52" t="s">
        <v>161</v>
      </c>
      <c r="S44" s="54">
        <v>46752</v>
      </c>
      <c r="T44" s="48">
        <v>45</v>
      </c>
      <c r="U44" s="48"/>
      <c r="V44" s="48" t="str">
        <f t="shared" si="15"/>
        <v>Spasfon injectable</v>
      </c>
      <c r="W44" s="48" t="str">
        <f t="shared" si="16"/>
        <v>LOT-003</v>
      </c>
      <c r="X44" s="43">
        <f t="shared" si="17"/>
        <v>45</v>
      </c>
      <c r="Y44" s="44">
        <f t="shared" si="18"/>
        <v>46752</v>
      </c>
      <c r="Z44" s="53">
        <f ca="1">IFERROR(IF(Stock_par_lots[[#This Row],[Stock restant]]=0,"",Stock_par_lots[[#This Row],[Date de péremption]]-TODAY()),"")</f>
        <v>488</v>
      </c>
      <c r="AA44" s="45" t="str">
        <f ca="1">IF(Stock_par_lots[[#This Row],[Stock restant]]=0,"",IF(Stock_par_lots[[#This Row],[jours restants]]&gt;=60,"Conforme",IF(AND(Stock_par_lots[[#This Row],[jours restants]]&lt;60,Stock_par_lots[[#This Row],[jours restants]]&gt;=30),"Surveillance",IF(AND(Stock_par_lots[[#This Row],[jours restants]]&lt;30,Stock_par_lots[[#This Row],[jours restants]]&gt;=0),"Urgente","Expiré"))))</f>
        <v>Conforme</v>
      </c>
      <c r="AB44" s="68" t="str">
        <f ca="1">IF(AND(Stock_par_lots[[#This Row],[jours restants]]&gt;0,Stock_par_lots[[#This Row],[jours restants]]&lt;=60),"Proche","")</f>
        <v/>
      </c>
      <c r="BC44" s="48"/>
      <c r="BD44" s="48">
        <f t="shared" si="19"/>
        <v>0</v>
      </c>
      <c r="BE44" s="48">
        <f t="shared" si="20"/>
        <v>0</v>
      </c>
      <c r="BF44" s="46" t="str">
        <f>IFERROR(VLOOKUP(BA44,ListeProduits[],6,FALSE),"")</f>
        <v/>
      </c>
      <c r="BG44" s="47" t="str">
        <f>IFERROR(IF(Stock_par_produits[[#This Row],[Stock nim]]="","",IF(Stock_par_produits[[#This Row],[Stock nim]]&gt;Stock_par_produits[[#This Row],[Quantités restants]],"Commander","Ok")),"")</f>
        <v/>
      </c>
    </row>
    <row r="45" spans="4:59" ht="15.75" x14ac:dyDescent="0.25">
      <c r="D45" s="57" t="str">
        <f>IF(A45="","",SUMIF(HistoriqueMouvements[Code produit],A45,HistoriqueMouvements[Qantités]))</f>
        <v/>
      </c>
      <c r="E45" s="51"/>
      <c r="F45" s="59"/>
      <c r="G45" s="59" t="str">
        <f t="shared" si="11"/>
        <v/>
      </c>
      <c r="H45" t="str">
        <f ca="1">IF(A45="","",-SUMIFS(Mouvements!$H:$H,Mouvements!$D:$D,A45,Mouvements!$G:$G,"Vente",Mouvements!$C:$C,"&gt;="&amp;DATE(YEAR(TODAY()),MONTH(TODAY()),1),Mouvements!$C:$C,"&lt;"&amp;DATE(YEAR(TODAY()),MONTH(TODAY())+1,1)))</f>
        <v/>
      </c>
      <c r="I45" s="59" t="str">
        <f t="shared" si="0"/>
        <v/>
      </c>
      <c r="J45" s="57" t="str">
        <f t="shared" si="12"/>
        <v/>
      </c>
      <c r="K45" s="58" t="str">
        <f t="shared" si="13"/>
        <v/>
      </c>
      <c r="L45" t="str">
        <f t="shared" si="14"/>
        <v/>
      </c>
      <c r="Q45" s="52" t="s">
        <v>46</v>
      </c>
      <c r="R45" s="52" t="s">
        <v>102</v>
      </c>
      <c r="S45" s="54">
        <v>46275</v>
      </c>
      <c r="T45" s="48">
        <v>46</v>
      </c>
      <c r="U45" s="48"/>
      <c r="V45" s="48" t="str">
        <f t="shared" si="15"/>
        <v>Spasfon injectable</v>
      </c>
      <c r="W45" s="48" t="str">
        <f t="shared" si="16"/>
        <v>LOT-001</v>
      </c>
      <c r="X45" s="43">
        <f t="shared" si="17"/>
        <v>46</v>
      </c>
      <c r="Y45" s="44">
        <f t="shared" si="18"/>
        <v>46275</v>
      </c>
      <c r="Z45" s="53">
        <f ca="1">IFERROR(IF(Stock_par_lots[[#This Row],[Stock restant]]=0,"",Stock_par_lots[[#This Row],[Date de péremption]]-TODAY()),"")</f>
        <v>11</v>
      </c>
      <c r="AA45" s="45" t="str">
        <f ca="1">IF(Stock_par_lots[[#This Row],[Stock restant]]=0,"",IF(Stock_par_lots[[#This Row],[jours restants]]&gt;=60,"Conforme",IF(AND(Stock_par_lots[[#This Row],[jours restants]]&lt;60,Stock_par_lots[[#This Row],[jours restants]]&gt;=30),"Surveillance",IF(AND(Stock_par_lots[[#This Row],[jours restants]]&lt;30,Stock_par_lots[[#This Row],[jours restants]]&gt;=0),"Urgente","Expiré"))))</f>
        <v>Urgente</v>
      </c>
      <c r="AB45" s="68" t="str">
        <f ca="1">IF(AND(Stock_par_lots[[#This Row],[jours restants]]&gt;0,Stock_par_lots[[#This Row],[jours restants]]&lt;=60),"Proche","")</f>
        <v>Proche</v>
      </c>
      <c r="BC45" s="48"/>
      <c r="BD45" s="48">
        <f t="shared" si="19"/>
        <v>0</v>
      </c>
      <c r="BE45" s="48">
        <f t="shared" si="20"/>
        <v>0</v>
      </c>
      <c r="BF45" s="46" t="str">
        <f>IFERROR(VLOOKUP(BA45,ListeProduits[],6,FALSE),"")</f>
        <v/>
      </c>
      <c r="BG45" s="47" t="str">
        <f>IFERROR(IF(Stock_par_produits[[#This Row],[Stock nim]]="","",IF(Stock_par_produits[[#This Row],[Stock nim]]&gt;Stock_par_produits[[#This Row],[Quantités restants]],"Commander","Ok")),"")</f>
        <v/>
      </c>
    </row>
    <row r="46" spans="4:59" ht="15.75" x14ac:dyDescent="0.25">
      <c r="D46" s="57" t="str">
        <f>IF(A46="","",SUMIF(HistoriqueMouvements[Code produit],A46,HistoriqueMouvements[Qantités]))</f>
        <v/>
      </c>
      <c r="E46" s="51"/>
      <c r="F46" s="59"/>
      <c r="G46" s="59" t="str">
        <f t="shared" si="11"/>
        <v/>
      </c>
      <c r="H46" t="str">
        <f ca="1">IF(A46="","",-SUMIFS(Mouvements!$H:$H,Mouvements!$D:$D,A46,Mouvements!$G:$G,"Vente",Mouvements!$C:$C,"&gt;="&amp;DATE(YEAR(TODAY()),MONTH(TODAY()),1),Mouvements!$C:$C,"&lt;"&amp;DATE(YEAR(TODAY()),MONTH(TODAY())+1,1)))</f>
        <v/>
      </c>
      <c r="I46" s="59" t="str">
        <f t="shared" si="0"/>
        <v/>
      </c>
      <c r="J46" s="57" t="str">
        <f t="shared" si="12"/>
        <v/>
      </c>
      <c r="K46" s="58" t="str">
        <f t="shared" si="13"/>
        <v/>
      </c>
      <c r="L46" t="str">
        <f t="shared" si="14"/>
        <v/>
      </c>
      <c r="Q46" s="52" t="s">
        <v>46</v>
      </c>
      <c r="R46" s="52" t="s">
        <v>145</v>
      </c>
      <c r="S46" s="54">
        <v>46275</v>
      </c>
      <c r="T46" s="48">
        <v>95</v>
      </c>
      <c r="U46" s="48"/>
      <c r="V46" s="48" t="str">
        <f t="shared" si="15"/>
        <v>Spasfon injectable</v>
      </c>
      <c r="W46" s="48" t="str">
        <f t="shared" si="16"/>
        <v>LOT-002</v>
      </c>
      <c r="X46" s="43">
        <f t="shared" si="17"/>
        <v>95</v>
      </c>
      <c r="Y46" s="44">
        <f t="shared" si="18"/>
        <v>46275</v>
      </c>
      <c r="Z46" s="53">
        <f ca="1">IFERROR(IF(Stock_par_lots[[#This Row],[Stock restant]]=0,"",Stock_par_lots[[#This Row],[Date de péremption]]-TODAY()),"")</f>
        <v>11</v>
      </c>
      <c r="AA46" s="45" t="str">
        <f ca="1">IF(Stock_par_lots[[#This Row],[Stock restant]]=0,"",IF(Stock_par_lots[[#This Row],[jours restants]]&gt;=60,"Conforme",IF(AND(Stock_par_lots[[#This Row],[jours restants]]&lt;60,Stock_par_lots[[#This Row],[jours restants]]&gt;=30),"Surveillance",IF(AND(Stock_par_lots[[#This Row],[jours restants]]&lt;30,Stock_par_lots[[#This Row],[jours restants]]&gt;=0),"Urgente","Expiré"))))</f>
        <v>Urgente</v>
      </c>
      <c r="AB46" s="68" t="str">
        <f ca="1">IF(AND(Stock_par_lots[[#This Row],[jours restants]]&gt;0,Stock_par_lots[[#This Row],[jours restants]]&lt;=60),"Proche","")</f>
        <v>Proche</v>
      </c>
      <c r="BC46" s="48"/>
      <c r="BD46" s="48">
        <f t="shared" si="19"/>
        <v>0</v>
      </c>
      <c r="BE46" s="48">
        <f t="shared" si="20"/>
        <v>0</v>
      </c>
      <c r="BF46" s="46" t="str">
        <f>IFERROR(VLOOKUP(BA46,ListeProduits[],6,FALSE),"")</f>
        <v/>
      </c>
      <c r="BG46" s="47" t="str">
        <f>IFERROR(IF(Stock_par_produits[[#This Row],[Stock nim]]="","",IF(Stock_par_produits[[#This Row],[Stock nim]]&gt;Stock_par_produits[[#This Row],[Quantités restants]],"Commander","Ok")),"")</f>
        <v/>
      </c>
    </row>
    <row r="47" spans="4:59" ht="15.75" x14ac:dyDescent="0.25">
      <c r="D47" s="57" t="str">
        <f>IF(A47="","",SUMIF(HistoriqueMouvements[Code produit],A47,HistoriqueMouvements[Qantités]))</f>
        <v/>
      </c>
      <c r="E47" s="51"/>
      <c r="F47" s="59"/>
      <c r="G47" s="59" t="str">
        <f t="shared" si="11"/>
        <v/>
      </c>
      <c r="H47" t="str">
        <f ca="1">IF(A47="","",-SUMIFS(Mouvements!$H:$H,Mouvements!$D:$D,A47,Mouvements!$G:$G,"Vente",Mouvements!$C:$C,"&gt;="&amp;DATE(YEAR(TODAY()),MONTH(TODAY()),1),Mouvements!$C:$C,"&lt;"&amp;DATE(YEAR(TODAY()),MONTH(TODAY())+1,1)))</f>
        <v/>
      </c>
      <c r="I47" s="59" t="str">
        <f t="shared" si="0"/>
        <v/>
      </c>
      <c r="J47" s="57" t="str">
        <f t="shared" si="12"/>
        <v/>
      </c>
      <c r="K47" s="58" t="str">
        <f t="shared" si="13"/>
        <v/>
      </c>
      <c r="L47" t="str">
        <f t="shared" si="14"/>
        <v/>
      </c>
      <c r="Q47" s="52" t="s">
        <v>59</v>
      </c>
      <c r="R47" s="52" t="s">
        <v>102</v>
      </c>
      <c r="S47" s="54">
        <v>46387</v>
      </c>
      <c r="T47" s="48">
        <v>40</v>
      </c>
      <c r="U47" s="48"/>
      <c r="V47" s="48" t="str">
        <f t="shared" si="15"/>
        <v>Ventoline inhalateur</v>
      </c>
      <c r="W47" s="48" t="str">
        <f t="shared" si="16"/>
        <v>LOT-001</v>
      </c>
      <c r="X47" s="43">
        <f t="shared" si="17"/>
        <v>40</v>
      </c>
      <c r="Y47" s="44">
        <f t="shared" si="18"/>
        <v>46387</v>
      </c>
      <c r="Z47" s="53">
        <f ca="1">IFERROR(IF(Stock_par_lots[[#This Row],[Stock restant]]=0,"",Stock_par_lots[[#This Row],[Date de péremption]]-TODAY()),"")</f>
        <v>123</v>
      </c>
      <c r="AA47" s="45" t="str">
        <f ca="1">IF(Stock_par_lots[[#This Row],[Stock restant]]=0,"",IF(Stock_par_lots[[#This Row],[jours restants]]&gt;=60,"Conforme",IF(AND(Stock_par_lots[[#This Row],[jours restants]]&lt;60,Stock_par_lots[[#This Row],[jours restants]]&gt;=30),"Surveillance",IF(AND(Stock_par_lots[[#This Row],[jours restants]]&lt;30,Stock_par_lots[[#This Row],[jours restants]]&gt;=0),"Urgente","Expiré"))))</f>
        <v>Conforme</v>
      </c>
      <c r="AB47" s="68" t="str">
        <f ca="1">IF(AND(Stock_par_lots[[#This Row],[jours restants]]&gt;0,Stock_par_lots[[#This Row],[jours restants]]&lt;=60),"Proche","")</f>
        <v/>
      </c>
      <c r="BC47" s="48"/>
      <c r="BD47" s="48">
        <f t="shared" si="19"/>
        <v>0</v>
      </c>
      <c r="BE47" s="48">
        <f t="shared" si="20"/>
        <v>0</v>
      </c>
      <c r="BF47" s="46" t="str">
        <f>IFERROR(VLOOKUP(BA47,ListeProduits[],6,FALSE),"")</f>
        <v/>
      </c>
      <c r="BG47" s="47" t="str">
        <f>IFERROR(IF(Stock_par_produits[[#This Row],[Stock nim]]="","",IF(Stock_par_produits[[#This Row],[Stock nim]]&gt;Stock_par_produits[[#This Row],[Quantités restants]],"Commander","Ok")),"")</f>
        <v/>
      </c>
    </row>
    <row r="48" spans="4:59" ht="15.75" x14ac:dyDescent="0.25">
      <c r="D48" s="57" t="str">
        <f>IF(A48="","",SUMIF(HistoriqueMouvements[Code produit],A48,HistoriqueMouvements[Qantités]))</f>
        <v/>
      </c>
      <c r="E48" s="51"/>
      <c r="F48" s="59"/>
      <c r="G48" s="59" t="str">
        <f t="shared" si="11"/>
        <v/>
      </c>
      <c r="H48" t="str">
        <f ca="1">IF(A48="","",-SUMIFS(Mouvements!$H:$H,Mouvements!$D:$D,A48,Mouvements!$G:$G,"Vente",Mouvements!$C:$C,"&gt;="&amp;DATE(YEAR(TODAY()),MONTH(TODAY()),1),Mouvements!$C:$C,"&lt;"&amp;DATE(YEAR(TODAY()),MONTH(TODAY())+1,1)))</f>
        <v/>
      </c>
      <c r="I48" s="59" t="str">
        <f t="shared" si="0"/>
        <v/>
      </c>
      <c r="J48" s="57" t="str">
        <f t="shared" si="12"/>
        <v/>
      </c>
      <c r="K48" s="58" t="str">
        <f t="shared" si="13"/>
        <v/>
      </c>
      <c r="L48" t="str">
        <f t="shared" si="14"/>
        <v/>
      </c>
      <c r="Q48" s="52" t="s">
        <v>34</v>
      </c>
      <c r="R48" s="52" t="s">
        <v>102</v>
      </c>
      <c r="S48" s="54">
        <v>46275</v>
      </c>
      <c r="T48" s="48">
        <v>17</v>
      </c>
      <c r="U48" s="48"/>
      <c r="V48" s="48" t="str">
        <f t="shared" si="15"/>
        <v>Vitamine C 1000 mg</v>
      </c>
      <c r="W48" s="48" t="str">
        <f t="shared" si="16"/>
        <v>LOT-001</v>
      </c>
      <c r="X48" s="43">
        <f t="shared" si="17"/>
        <v>17</v>
      </c>
      <c r="Y48" s="44">
        <f t="shared" si="18"/>
        <v>46275</v>
      </c>
      <c r="Z48" s="53">
        <f ca="1">IFERROR(IF(Stock_par_lots[[#This Row],[Stock restant]]=0,"",Stock_par_lots[[#This Row],[Date de péremption]]-TODAY()),"")</f>
        <v>11</v>
      </c>
      <c r="AA48" s="45" t="str">
        <f ca="1">IF(Stock_par_lots[[#This Row],[Stock restant]]=0,"",IF(Stock_par_lots[[#This Row],[jours restants]]&gt;=60,"Conforme",IF(AND(Stock_par_lots[[#This Row],[jours restants]]&lt;60,Stock_par_lots[[#This Row],[jours restants]]&gt;=30),"Surveillance",IF(AND(Stock_par_lots[[#This Row],[jours restants]]&lt;30,Stock_par_lots[[#This Row],[jours restants]]&gt;=0),"Urgente","Expiré"))))</f>
        <v>Urgente</v>
      </c>
      <c r="AB48" s="68" t="str">
        <f ca="1">IF(AND(Stock_par_lots[[#This Row],[jours restants]]&gt;0,Stock_par_lots[[#This Row],[jours restants]]&lt;=60),"Proche","")</f>
        <v>Proche</v>
      </c>
      <c r="BC48" s="48"/>
      <c r="BD48" s="48">
        <f t="shared" si="19"/>
        <v>0</v>
      </c>
      <c r="BE48" s="48">
        <f t="shared" si="20"/>
        <v>0</v>
      </c>
      <c r="BF48" s="46" t="str">
        <f>IFERROR(VLOOKUP(BA48,ListeProduits[],6,FALSE),"")</f>
        <v/>
      </c>
      <c r="BG48" s="47" t="str">
        <f>IFERROR(IF(Stock_par_produits[[#This Row],[Stock nim]]="","",IF(Stock_par_produits[[#This Row],[Stock nim]]&gt;Stock_par_produits[[#This Row],[Quantités restants]],"Commander","Ok")),"")</f>
        <v/>
      </c>
    </row>
    <row r="49" spans="4:59" ht="15.75" x14ac:dyDescent="0.25">
      <c r="D49" s="57" t="str">
        <f>IF(A49="","",SUMIF(HistoriqueMouvements[Code produit],A49,HistoriqueMouvements[Qantités]))</f>
        <v/>
      </c>
      <c r="E49" s="51"/>
      <c r="F49" s="59"/>
      <c r="G49" s="59" t="str">
        <f t="shared" si="11"/>
        <v/>
      </c>
      <c r="H49" t="str">
        <f ca="1">IF(A49="","",-SUMIFS(Mouvements!$H:$H,Mouvements!$D:$D,A49,Mouvements!$G:$G,"Vente",Mouvements!$C:$C,"&gt;="&amp;DATE(YEAR(TODAY()),MONTH(TODAY()),1),Mouvements!$C:$C,"&lt;"&amp;DATE(YEAR(TODAY()),MONTH(TODAY())+1,1)))</f>
        <v/>
      </c>
      <c r="I49" s="59" t="str">
        <f t="shared" si="0"/>
        <v/>
      </c>
      <c r="J49" s="57" t="str">
        <f t="shared" si="12"/>
        <v/>
      </c>
      <c r="K49" s="58" t="str">
        <f t="shared" si="13"/>
        <v/>
      </c>
      <c r="L49" t="str">
        <f t="shared" si="14"/>
        <v/>
      </c>
      <c r="Q49" s="52" t="s">
        <v>34</v>
      </c>
      <c r="R49" s="52" t="s">
        <v>145</v>
      </c>
      <c r="S49" s="54">
        <v>46387</v>
      </c>
      <c r="T49" s="48">
        <v>30</v>
      </c>
      <c r="U49" s="48"/>
      <c r="V49" s="48" t="str">
        <f t="shared" si="15"/>
        <v>Vitamine C 1000 mg</v>
      </c>
      <c r="W49" s="48" t="str">
        <f t="shared" si="16"/>
        <v>LOT-002</v>
      </c>
      <c r="X49" s="43">
        <f t="shared" si="17"/>
        <v>30</v>
      </c>
      <c r="Y49" s="44">
        <f t="shared" si="18"/>
        <v>46387</v>
      </c>
      <c r="Z49" s="53">
        <f ca="1">IFERROR(IF(Stock_par_lots[[#This Row],[Stock restant]]=0,"",Stock_par_lots[[#This Row],[Date de péremption]]-TODAY()),"")</f>
        <v>123</v>
      </c>
      <c r="AA49" s="45" t="str">
        <f ca="1">IF(Stock_par_lots[[#This Row],[Stock restant]]=0,"",IF(Stock_par_lots[[#This Row],[jours restants]]&gt;=60,"Conforme",IF(AND(Stock_par_lots[[#This Row],[jours restants]]&lt;60,Stock_par_lots[[#This Row],[jours restants]]&gt;=30),"Surveillance",IF(AND(Stock_par_lots[[#This Row],[jours restants]]&lt;30,Stock_par_lots[[#This Row],[jours restants]]&gt;=0),"Urgente","Expiré"))))</f>
        <v>Conforme</v>
      </c>
      <c r="AB49" s="68" t="str">
        <f ca="1">IF(AND(Stock_par_lots[[#This Row],[jours restants]]&gt;0,Stock_par_lots[[#This Row],[jours restants]]&lt;=60),"Proche","")</f>
        <v/>
      </c>
      <c r="BC49" s="48"/>
      <c r="BD49" s="48">
        <f t="shared" si="19"/>
        <v>0</v>
      </c>
      <c r="BE49" s="48">
        <f t="shared" si="20"/>
        <v>0</v>
      </c>
      <c r="BF49" s="46" t="str">
        <f>IFERROR(VLOOKUP(BA49,ListeProduits[],6,FALSE),"")</f>
        <v/>
      </c>
      <c r="BG49" s="47" t="str">
        <f>IFERROR(IF(Stock_par_produits[[#This Row],[Stock nim]]="","",IF(Stock_par_produits[[#This Row],[Stock nim]]&gt;Stock_par_produits[[#This Row],[Quantités restants]],"Commander","Ok")),"")</f>
        <v/>
      </c>
    </row>
    <row r="50" spans="4:59" ht="15.75" x14ac:dyDescent="0.25">
      <c r="D50" s="57" t="str">
        <f>IF(A50="","",SUMIF(HistoriqueMouvements[Code produit],A50,HistoriqueMouvements[Qantités]))</f>
        <v/>
      </c>
      <c r="E50" s="51"/>
      <c r="F50" s="59"/>
      <c r="G50" s="59" t="str">
        <f t="shared" si="11"/>
        <v/>
      </c>
      <c r="H50" t="str">
        <f ca="1">IF(A50="","",-SUMIFS(Mouvements!$H:$H,Mouvements!$D:$D,A50,Mouvements!$G:$G,"Vente",Mouvements!$C:$C,"&gt;="&amp;DATE(YEAR(TODAY()),MONTH(TODAY()),1),Mouvements!$C:$C,"&lt;"&amp;DATE(YEAR(TODAY()),MONTH(TODAY())+1,1)))</f>
        <v/>
      </c>
      <c r="I50" s="59" t="str">
        <f t="shared" si="0"/>
        <v/>
      </c>
      <c r="J50" s="57" t="str">
        <f t="shared" si="12"/>
        <v/>
      </c>
      <c r="K50" s="58" t="str">
        <f t="shared" si="13"/>
        <v/>
      </c>
      <c r="L50" t="str">
        <f t="shared" si="14"/>
        <v/>
      </c>
      <c r="Q50" s="52" t="s">
        <v>31</v>
      </c>
      <c r="R50" s="52" t="s">
        <v>102</v>
      </c>
      <c r="S50" s="54">
        <v>46300</v>
      </c>
      <c r="T50" s="48">
        <v>0</v>
      </c>
      <c r="U50" s="48"/>
      <c r="V50" s="48" t="str">
        <f t="shared" si="15"/>
        <v>Vitamine C 500 mg</v>
      </c>
      <c r="W50" s="48" t="str">
        <f t="shared" si="16"/>
        <v>LOT-001</v>
      </c>
      <c r="X50" s="43">
        <f t="shared" si="17"/>
        <v>0</v>
      </c>
      <c r="Y50" s="44">
        <f t="shared" si="18"/>
        <v>46300</v>
      </c>
      <c r="Z50" s="53" t="str">
        <f ca="1">IFERROR(IF(Stock_par_lots[[#This Row],[Stock restant]]=0,"",Stock_par_lots[[#This Row],[Date de péremption]]-TODAY()),"")</f>
        <v/>
      </c>
      <c r="AA50" s="45" t="str">
        <f>IF(Stock_par_lots[[#This Row],[Stock restant]]=0,"",IF(Stock_par_lots[[#This Row],[jours restants]]&gt;=60,"Conforme",IF(AND(Stock_par_lots[[#This Row],[jours restants]]&lt;60,Stock_par_lots[[#This Row],[jours restants]]&gt;=30),"Surveillance",IF(AND(Stock_par_lots[[#This Row],[jours restants]]&lt;30,Stock_par_lots[[#This Row],[jours restants]]&gt;=0),"Urgente","Expiré"))))</f>
        <v/>
      </c>
      <c r="AB50" s="68" t="str">
        <f ca="1">IF(AND(Stock_par_lots[[#This Row],[jours restants]]&gt;0,Stock_par_lots[[#This Row],[jours restants]]&lt;=60),"Proche","")</f>
        <v/>
      </c>
      <c r="BC50" s="48"/>
      <c r="BD50" s="48">
        <f t="shared" si="19"/>
        <v>0</v>
      </c>
      <c r="BE50" s="48">
        <f t="shared" si="20"/>
        <v>0</v>
      </c>
      <c r="BF50" s="46" t="str">
        <f>IFERROR(VLOOKUP(BA50,ListeProduits[],6,FALSE),"")</f>
        <v/>
      </c>
      <c r="BG50" s="47" t="str">
        <f>IFERROR(IF(Stock_par_produits[[#This Row],[Stock nim]]="","",IF(Stock_par_produits[[#This Row],[Stock nim]]&gt;Stock_par_produits[[#This Row],[Quantités restants]],"Commander","Ok")),"")</f>
        <v/>
      </c>
    </row>
    <row r="51" spans="4:59" ht="15.75" x14ac:dyDescent="0.25">
      <c r="D51" s="57" t="str">
        <f>IF(A51="","",SUMIF(HistoriqueMouvements[Code produit],A51,HistoriqueMouvements[Qantités]))</f>
        <v/>
      </c>
      <c r="E51" s="51"/>
      <c r="F51" s="59"/>
      <c r="G51" s="59" t="str">
        <f t="shared" si="11"/>
        <v/>
      </c>
      <c r="H51" t="str">
        <f ca="1">IF(A51="","",-SUMIFS(Mouvements!$H:$H,Mouvements!$D:$D,A51,Mouvements!$G:$G,"Vente",Mouvements!$C:$C,"&gt;="&amp;DATE(YEAR(TODAY()),MONTH(TODAY()),1),Mouvements!$C:$C,"&lt;"&amp;DATE(YEAR(TODAY()),MONTH(TODAY())+1,1)))</f>
        <v/>
      </c>
      <c r="I51" s="59" t="str">
        <f t="shared" si="0"/>
        <v/>
      </c>
      <c r="J51" s="57" t="str">
        <f t="shared" si="12"/>
        <v/>
      </c>
      <c r="K51" s="58" t="str">
        <f t="shared" si="13"/>
        <v/>
      </c>
      <c r="L51" t="str">
        <f t="shared" si="14"/>
        <v/>
      </c>
      <c r="Q51" s="52" t="s">
        <v>31</v>
      </c>
      <c r="R51" s="52" t="s">
        <v>145</v>
      </c>
      <c r="S51" s="54">
        <v>46387</v>
      </c>
      <c r="T51" s="48">
        <v>27</v>
      </c>
      <c r="U51" s="48"/>
      <c r="V51" s="48" t="str">
        <f t="shared" si="15"/>
        <v>Vitamine C 500 mg</v>
      </c>
      <c r="W51" s="48" t="str">
        <f t="shared" si="16"/>
        <v>LOT-002</v>
      </c>
      <c r="X51" s="43">
        <f t="shared" si="17"/>
        <v>27</v>
      </c>
      <c r="Y51" s="44">
        <f t="shared" si="18"/>
        <v>46387</v>
      </c>
      <c r="Z51" s="53">
        <f ca="1">IFERROR(IF(Stock_par_lots[[#This Row],[Stock restant]]=0,"",Stock_par_lots[[#This Row],[Date de péremption]]-TODAY()),"")</f>
        <v>123</v>
      </c>
      <c r="AA51" s="45" t="str">
        <f ca="1">IF(Stock_par_lots[[#This Row],[Stock restant]]=0,"",IF(Stock_par_lots[[#This Row],[jours restants]]&gt;=60,"Conforme",IF(AND(Stock_par_lots[[#This Row],[jours restants]]&lt;60,Stock_par_lots[[#This Row],[jours restants]]&gt;=30),"Surveillance",IF(AND(Stock_par_lots[[#This Row],[jours restants]]&lt;30,Stock_par_lots[[#This Row],[jours restants]]&gt;=0),"Urgente","Expiré"))))</f>
        <v>Conforme</v>
      </c>
      <c r="AB51" s="68" t="str">
        <f ca="1">IF(AND(Stock_par_lots[[#This Row],[jours restants]]&gt;0,Stock_par_lots[[#This Row],[jours restants]]&lt;=60),"Proche","")</f>
        <v/>
      </c>
      <c r="BC51" s="48"/>
      <c r="BD51" s="48">
        <f t="shared" si="19"/>
        <v>0</v>
      </c>
      <c r="BE51" s="48">
        <f t="shared" si="20"/>
        <v>0</v>
      </c>
      <c r="BF51" s="46" t="str">
        <f>IFERROR(VLOOKUP(BA51,ListeProduits[],6,FALSE),"")</f>
        <v/>
      </c>
      <c r="BG51" s="47" t="str">
        <f>IFERROR(IF(Stock_par_produits[[#This Row],[Stock nim]]="","",IF(Stock_par_produits[[#This Row],[Stock nim]]&gt;Stock_par_produits[[#This Row],[Quantités restants]],"Commander","Ok")),"")</f>
        <v/>
      </c>
    </row>
    <row r="52" spans="4:59" ht="15.75" x14ac:dyDescent="0.25">
      <c r="D52" s="57" t="str">
        <f>IF(A52="","",SUMIF(HistoriqueMouvements[Code produit],A52,HistoriqueMouvements[Qantités]))</f>
        <v/>
      </c>
      <c r="E52" s="51"/>
      <c r="F52" s="59"/>
      <c r="G52" s="59" t="str">
        <f t="shared" si="11"/>
        <v/>
      </c>
      <c r="H52" t="str">
        <f ca="1">IF(A52="","",-SUMIFS(Mouvements!$H:$H,Mouvements!$D:$D,A52,Mouvements!$G:$G,"Vente",Mouvements!$C:$C,"&gt;="&amp;DATE(YEAR(TODAY()),MONTH(TODAY()),1),Mouvements!$C:$C,"&lt;"&amp;DATE(YEAR(TODAY()),MONTH(TODAY())+1,1)))</f>
        <v/>
      </c>
      <c r="I52" s="59" t="str">
        <f t="shared" si="0"/>
        <v/>
      </c>
      <c r="J52" s="57" t="str">
        <f t="shared" si="12"/>
        <v/>
      </c>
      <c r="K52" s="58" t="str">
        <f t="shared" si="13"/>
        <v/>
      </c>
      <c r="L52" t="str">
        <f t="shared" si="14"/>
        <v/>
      </c>
      <c r="Q52" s="52" t="s">
        <v>37</v>
      </c>
      <c r="R52" s="52" t="s">
        <v>102</v>
      </c>
      <c r="S52" s="54">
        <v>46387</v>
      </c>
      <c r="T52" s="48">
        <v>18</v>
      </c>
      <c r="U52" s="48"/>
      <c r="V52" s="48" t="str">
        <f t="shared" si="15"/>
        <v>Vitamine D3</v>
      </c>
      <c r="W52" s="48" t="str">
        <f t="shared" si="16"/>
        <v>LOT-001</v>
      </c>
      <c r="X52" s="43">
        <f t="shared" si="17"/>
        <v>18</v>
      </c>
      <c r="Y52" s="44">
        <f t="shared" si="18"/>
        <v>46387</v>
      </c>
      <c r="Z52" s="53">
        <f ca="1">IFERROR(IF(Stock_par_lots[[#This Row],[Stock restant]]=0,"",Stock_par_lots[[#This Row],[Date de péremption]]-TODAY()),"")</f>
        <v>123</v>
      </c>
      <c r="AA52" s="45" t="str">
        <f ca="1">IF(Stock_par_lots[[#This Row],[Stock restant]]=0,"",IF(Stock_par_lots[[#This Row],[jours restants]]&gt;=60,"Conforme",IF(AND(Stock_par_lots[[#This Row],[jours restants]]&lt;60,Stock_par_lots[[#This Row],[jours restants]]&gt;=30),"Surveillance",IF(AND(Stock_par_lots[[#This Row],[jours restants]]&lt;30,Stock_par_lots[[#This Row],[jours restants]]&gt;=0),"Urgente","Expiré"))))</f>
        <v>Conforme</v>
      </c>
      <c r="AB52" s="68" t="str">
        <f ca="1">IF(AND(Stock_par_lots[[#This Row],[jours restants]]&gt;0,Stock_par_lots[[#This Row],[jours restants]]&lt;=60),"Proche","")</f>
        <v/>
      </c>
      <c r="BC52" s="48"/>
      <c r="BD52" s="48">
        <f t="shared" si="19"/>
        <v>0</v>
      </c>
      <c r="BE52" s="48">
        <f t="shared" si="20"/>
        <v>0</v>
      </c>
      <c r="BF52" s="46" t="str">
        <f>IFERROR(VLOOKUP(BA52,ListeProduits[],6,FALSE),"")</f>
        <v/>
      </c>
      <c r="BG52" s="47" t="str">
        <f>IFERROR(IF(Stock_par_produits[[#This Row],[Stock nim]]="","",IF(Stock_par_produits[[#This Row],[Stock nim]]&gt;Stock_par_produits[[#This Row],[Quantités restants]],"Commander","Ok")),"")</f>
        <v/>
      </c>
    </row>
    <row r="53" spans="4:59" ht="15.75" x14ac:dyDescent="0.25">
      <c r="D53" s="60" t="str">
        <f>IF(A53="","",SUMIF(HistoriqueMouvements[Code produit],A53,HistoriqueMouvements[Qantités]))</f>
        <v/>
      </c>
      <c r="E53" s="51"/>
      <c r="F53" s="59"/>
      <c r="G53" s="59" t="str">
        <f>+IF(A53="","",D53*F53)</f>
        <v/>
      </c>
      <c r="H53" t="str">
        <f ca="1">IF(A53="","",-SUMIFS(Mouvements!$H:$H,Mouvements!$D:$D,A53,Mouvements!$G:$G,"Vente",Mouvements!$C:$C,"&gt;="&amp;DATE(YEAR(TODAY()),MONTH(TODAY()),1),Mouvements!$C:$C,"&lt;"&amp;DATE(YEAR(TODAY()),MONTH(TODAY())+1,1)))</f>
        <v/>
      </c>
      <c r="I53" s="59" t="str">
        <f>IF(A53="","",H53*F53)</f>
        <v/>
      </c>
      <c r="J53" s="60" t="str">
        <f>IF(A53="","",IF(D53&lt;=0,"OUI","NON"))</f>
        <v/>
      </c>
      <c r="K53" s="61" t="str">
        <f>IF(A53="","",IF(D53&lt;=0,"RUPTURE",IF(D53&lt;=E53,"STOCK FAIBLE","OK")))</f>
        <v/>
      </c>
      <c r="L53" t="str">
        <f>IF(A53="","",MAX(0,E53-D53))</f>
        <v/>
      </c>
      <c r="Q53" s="52" t="s">
        <v>143</v>
      </c>
      <c r="R53" s="52" t="s">
        <v>102</v>
      </c>
      <c r="S53" s="54">
        <v>46568</v>
      </c>
      <c r="T53" s="48">
        <v>20</v>
      </c>
      <c r="U53" s="48"/>
      <c r="V53" s="48" t="str">
        <f t="shared" si="15"/>
        <v>Metronidazole 500 mg</v>
      </c>
      <c r="W53" s="48" t="str">
        <f t="shared" si="16"/>
        <v>LOT-001</v>
      </c>
      <c r="X53" s="43">
        <f t="shared" si="17"/>
        <v>20</v>
      </c>
      <c r="Y53" s="44">
        <f t="shared" si="18"/>
        <v>46568</v>
      </c>
      <c r="Z53" s="53">
        <f ca="1">IFERROR(IF(Stock_par_lots[[#This Row],[Stock restant]]=0,"",Stock_par_lots[[#This Row],[Date de péremption]]-TODAY()),"")</f>
        <v>304</v>
      </c>
      <c r="AA53" s="45" t="str">
        <f ca="1">IF(Stock_par_lots[[#This Row],[Stock restant]]=0,"",IF(Stock_par_lots[[#This Row],[jours restants]]&gt;=60,"Conforme",IF(AND(Stock_par_lots[[#This Row],[jours restants]]&lt;60,Stock_par_lots[[#This Row],[jours restants]]&gt;=30),"Surveillance",IF(AND(Stock_par_lots[[#This Row],[jours restants]]&lt;30,Stock_par_lots[[#This Row],[jours restants]]&gt;=0),"Urgente","Expiré"))))</f>
        <v>Conforme</v>
      </c>
      <c r="AB53" s="68" t="str">
        <f ca="1">IF(AND(Stock_par_lots[[#This Row],[jours restants]]&gt;0,Stock_par_lots[[#This Row],[jours restants]]&lt;=60),"Proche","")</f>
        <v/>
      </c>
      <c r="BC53" s="48"/>
      <c r="BD53" s="48">
        <f t="shared" si="19"/>
        <v>0</v>
      </c>
      <c r="BE53" s="48">
        <f t="shared" si="20"/>
        <v>0</v>
      </c>
      <c r="BF53" s="46" t="str">
        <f>IFERROR(VLOOKUP(BA53,ListeProduits[],6,FALSE),"")</f>
        <v/>
      </c>
      <c r="BG53" s="47" t="str">
        <f>IFERROR(IF(Stock_par_produits[[#This Row],[Stock nim]]="","",IF(Stock_par_produits[[#This Row],[Stock nim]]&gt;Stock_par_produits[[#This Row],[Quantités restants]],"Commander","Ok")),"")</f>
        <v/>
      </c>
    </row>
    <row r="54" spans="4:59" ht="15.75" customHeight="1" x14ac:dyDescent="0.25">
      <c r="Q54" s="52" t="s">
        <v>143</v>
      </c>
      <c r="R54" s="52" t="s">
        <v>145</v>
      </c>
      <c r="S54" s="54">
        <v>46356</v>
      </c>
      <c r="T54" s="48">
        <v>0</v>
      </c>
      <c r="U54" s="48"/>
      <c r="V54" s="48" t="str">
        <f t="shared" si="15"/>
        <v>Metronidazole 500 mg</v>
      </c>
      <c r="W54" s="48" t="str">
        <f t="shared" si="16"/>
        <v>LOT-002</v>
      </c>
      <c r="X54" s="43">
        <f t="shared" si="17"/>
        <v>0</v>
      </c>
      <c r="Y54" s="44">
        <f t="shared" si="18"/>
        <v>46356</v>
      </c>
      <c r="Z54" s="53" t="str">
        <f ca="1">IFERROR(IF(Stock_par_lots[[#This Row],[Stock restant]]=0,"",Stock_par_lots[[#This Row],[Date de péremption]]-TODAY()),"")</f>
        <v/>
      </c>
      <c r="AA54" s="45" t="str">
        <f>IF(Stock_par_lots[[#This Row],[Stock restant]]=0,"",IF(Stock_par_lots[[#This Row],[jours restants]]&gt;=60,"Conforme",IF(AND(Stock_par_lots[[#This Row],[jours restants]]&lt;60,Stock_par_lots[[#This Row],[jours restants]]&gt;=30),"Surveillance",IF(AND(Stock_par_lots[[#This Row],[jours restants]]&lt;30,Stock_par_lots[[#This Row],[jours restants]]&gt;=0),"Urgente","Expiré"))))</f>
        <v/>
      </c>
      <c r="AB54" s="68" t="str">
        <f ca="1">IF(AND(Stock_par_lots[[#This Row],[jours restants]]&gt;0,Stock_par_lots[[#This Row],[jours restants]]&lt;=60),"Proche","")</f>
        <v/>
      </c>
      <c r="BC54" s="48"/>
      <c r="BD54" s="48">
        <f t="shared" si="19"/>
        <v>0</v>
      </c>
      <c r="BE54" s="48">
        <f t="shared" si="20"/>
        <v>0</v>
      </c>
      <c r="BF54" s="46" t="str">
        <f>IFERROR(VLOOKUP(BA54,ListeProduits[],6,FALSE),"")</f>
        <v/>
      </c>
      <c r="BG54" s="47" t="str">
        <f>IFERROR(IF(Stock_par_produits[[#This Row],[Stock nim]]="","",IF(Stock_par_produits[[#This Row],[Stock nim]]&gt;Stock_par_produits[[#This Row],[Quantités restants]],"Commander","Ok")),"")</f>
        <v/>
      </c>
    </row>
    <row r="55" spans="4:59" ht="15.75" x14ac:dyDescent="0.25">
      <c r="Q55" s="52" t="s">
        <v>144</v>
      </c>
      <c r="R55" s="52" t="s">
        <v>102</v>
      </c>
      <c r="S55" s="54">
        <v>46300</v>
      </c>
      <c r="T55" s="48">
        <v>38</v>
      </c>
      <c r="U55" s="48"/>
      <c r="V55" s="48" t="str">
        <f t="shared" si="15"/>
        <v>Ceftriaxone injectable</v>
      </c>
      <c r="W55" s="48" t="str">
        <f t="shared" si="16"/>
        <v>LOT-001</v>
      </c>
      <c r="X55" s="43">
        <f t="shared" si="17"/>
        <v>38</v>
      </c>
      <c r="Y55" s="44">
        <f t="shared" si="18"/>
        <v>46300</v>
      </c>
      <c r="Z55" s="53">
        <f ca="1">IFERROR(IF(Stock_par_lots[[#This Row],[Stock restant]]=0,"",Stock_par_lots[[#This Row],[Date de péremption]]-TODAY()),"")</f>
        <v>36</v>
      </c>
      <c r="AA55" s="45" t="str">
        <f ca="1">IF(Stock_par_lots[[#This Row],[Stock restant]]=0,"",IF(Stock_par_lots[[#This Row],[jours restants]]&gt;=60,"Conforme",IF(AND(Stock_par_lots[[#This Row],[jours restants]]&lt;60,Stock_par_lots[[#This Row],[jours restants]]&gt;=30),"Surveillance",IF(AND(Stock_par_lots[[#This Row],[jours restants]]&lt;30,Stock_par_lots[[#This Row],[jours restants]]&gt;=0),"Urgente","Expiré"))))</f>
        <v>Surveillance</v>
      </c>
      <c r="AB55" s="68" t="str">
        <f ca="1">IF(AND(Stock_par_lots[[#This Row],[jours restants]]&gt;0,Stock_par_lots[[#This Row],[jours restants]]&lt;=60),"Proche","")</f>
        <v>Proche</v>
      </c>
      <c r="BA55" s="52"/>
      <c r="BB55" s="52"/>
      <c r="BC55" s="52"/>
      <c r="BD55" s="48">
        <f t="shared" si="19"/>
        <v>0</v>
      </c>
      <c r="BE55" s="48">
        <f t="shared" si="20"/>
        <v>0</v>
      </c>
      <c r="BF55" s="46" t="str">
        <f>IFERROR(VLOOKUP(BA55,ListeProduits[],6,FALSE),"")</f>
        <v/>
      </c>
      <c r="BG55" s="47" t="str">
        <f>IFERROR(IF(Stock_par_produits[[#This Row],[Stock nim]]="","",IF(Stock_par_produits[[#This Row],[Stock nim]]&gt;Stock_par_produits[[#This Row],[Quantités restants]],"Commander","Ok")),"")</f>
        <v/>
      </c>
    </row>
    <row r="56" spans="4:59" ht="15.75" x14ac:dyDescent="0.25">
      <c r="Q56" s="52" t="s">
        <v>144</v>
      </c>
      <c r="R56" s="52" t="s">
        <v>145</v>
      </c>
      <c r="S56" s="54">
        <v>46386</v>
      </c>
      <c r="T56" s="48">
        <v>29</v>
      </c>
      <c r="U56" s="48"/>
      <c r="V56" s="48" t="str">
        <f t="shared" si="15"/>
        <v>Ceftriaxone injectable</v>
      </c>
      <c r="W56" s="48" t="str">
        <f t="shared" si="16"/>
        <v>LOT-002</v>
      </c>
      <c r="X56" s="43">
        <f t="shared" si="17"/>
        <v>29</v>
      </c>
      <c r="Y56" s="44">
        <f t="shared" si="18"/>
        <v>46386</v>
      </c>
      <c r="Z56" s="53">
        <f ca="1">IFERROR(IF(Stock_par_lots[[#This Row],[Stock restant]]=0,"",Stock_par_lots[[#This Row],[Date de péremption]]-TODAY()),"")</f>
        <v>122</v>
      </c>
      <c r="AA56" s="45" t="str">
        <f ca="1">IF(Stock_par_lots[[#This Row],[Stock restant]]=0,"",IF(Stock_par_lots[[#This Row],[jours restants]]&gt;=60,"Conforme",IF(AND(Stock_par_lots[[#This Row],[jours restants]]&lt;60,Stock_par_lots[[#This Row],[jours restants]]&gt;=30),"Surveillance",IF(AND(Stock_par_lots[[#This Row],[jours restants]]&lt;30,Stock_par_lots[[#This Row],[jours restants]]&gt;=0),"Urgente","Expiré"))))</f>
        <v>Conforme</v>
      </c>
      <c r="AB56" s="68" t="str">
        <f ca="1">IF(AND(Stock_par_lots[[#This Row],[jours restants]]&gt;0,Stock_par_lots[[#This Row],[jours restants]]&lt;=60),"Proche","")</f>
        <v/>
      </c>
      <c r="BA56" s="52"/>
      <c r="BB56" s="52"/>
      <c r="BC56" s="52"/>
      <c r="BD56" s="48">
        <f t="shared" si="19"/>
        <v>0</v>
      </c>
      <c r="BE56" s="48">
        <f t="shared" si="20"/>
        <v>0</v>
      </c>
      <c r="BF56" s="46" t="str">
        <f>IFERROR(VLOOKUP(BA56,ListeProduits[],6,FALSE),"")</f>
        <v/>
      </c>
      <c r="BG56" s="47" t="str">
        <f>IFERROR(IF(Stock_par_produits[[#This Row],[Stock nim]]="","",IF(Stock_par_produits[[#This Row],[Stock nim]]&gt;Stock_par_produits[[#This Row],[Quantités restants]],"Commander","Ok")),"")</f>
        <v/>
      </c>
    </row>
    <row r="57" spans="4:59" ht="15.75" customHeight="1" x14ac:dyDescent="0.25">
      <c r="U57" s="48"/>
      <c r="V57" s="48" t="str">
        <f t="shared" si="15"/>
        <v/>
      </c>
      <c r="W57" s="48" t="str">
        <f t="shared" si="16"/>
        <v/>
      </c>
      <c r="X57" s="48" t="str">
        <f t="shared" si="17"/>
        <v/>
      </c>
      <c r="Y57" s="54" t="str">
        <f t="shared" si="18"/>
        <v/>
      </c>
      <c r="Z57" s="53" t="str">
        <f ca="1">IFERROR(IF(Stock_par_lots[[#This Row],[Stock restant]]=0,"",Stock_par_lots[[#This Row],[Date de péremption]]-TODAY()),"")</f>
        <v/>
      </c>
      <c r="AA57" s="45" t="str">
        <f ca="1">IF(Stock_par_lots[[#This Row],[Stock restant]]=0,"",IF(Stock_par_lots[[#This Row],[jours restants]]&gt;=60,"Conforme",IF(AND(Stock_par_lots[[#This Row],[jours restants]]&lt;60,Stock_par_lots[[#This Row],[jours restants]]&gt;=30),"Surveillance",IF(AND(Stock_par_lots[[#This Row],[jours restants]]&lt;30,Stock_par_lots[[#This Row],[jours restants]]&gt;=0),"Urgente","Expiré"))))</f>
        <v>Conforme</v>
      </c>
      <c r="AB57" s="68" t="str">
        <f ca="1">IF(AND(Stock_par_lots[[#This Row],[jours restants]]&gt;0,Stock_par_lots[[#This Row],[jours restants]]&lt;=60),"Proche","")</f>
        <v/>
      </c>
      <c r="BA57" s="52"/>
      <c r="BB57" s="52"/>
      <c r="BC57" s="52"/>
      <c r="BD57" s="48">
        <f t="shared" si="19"/>
        <v>0</v>
      </c>
      <c r="BE57" s="48">
        <f t="shared" si="20"/>
        <v>0</v>
      </c>
      <c r="BF57" s="46" t="str">
        <f>IFERROR(VLOOKUP(BA57,ListeProduits[],6,FALSE),"")</f>
        <v/>
      </c>
      <c r="BG57" s="47" t="str">
        <f>IFERROR(IF(Stock_par_produits[[#This Row],[Stock nim]]="","",IF(Stock_par_produits[[#This Row],[Stock nim]]&gt;Stock_par_produits[[#This Row],[Quantités restants]],"Commander","Ok")),"")</f>
        <v/>
      </c>
    </row>
    <row r="58" spans="4:59" ht="15.75" x14ac:dyDescent="0.25">
      <c r="U58" s="48"/>
      <c r="V58" s="48" t="str">
        <f t="shared" si="15"/>
        <v/>
      </c>
      <c r="W58" s="48" t="str">
        <f t="shared" si="16"/>
        <v/>
      </c>
      <c r="X58" s="43" t="str">
        <f t="shared" si="17"/>
        <v/>
      </c>
      <c r="Y58" s="44" t="str">
        <f t="shared" si="18"/>
        <v/>
      </c>
      <c r="Z58" s="53" t="str">
        <f ca="1">IFERROR(IF(Stock_par_lots[[#This Row],[Stock restant]]=0,"",Stock_par_lots[[#This Row],[Date de péremption]]-TODAY()),"")</f>
        <v/>
      </c>
      <c r="AA58" s="45" t="str">
        <f ca="1">IF(Stock_par_lots[[#This Row],[Stock restant]]=0,"",IF(Stock_par_lots[[#This Row],[jours restants]]&gt;=60,"Conforme",IF(AND(Stock_par_lots[[#This Row],[jours restants]]&lt;60,Stock_par_lots[[#This Row],[jours restants]]&gt;=30),"Surveillance",IF(AND(Stock_par_lots[[#This Row],[jours restants]]&lt;30,Stock_par_lots[[#This Row],[jours restants]]&gt;=0),"Urgente","Expiré"))))</f>
        <v>Conforme</v>
      </c>
      <c r="AB58" s="68" t="str">
        <f ca="1">IF(AND(Stock_par_lots[[#This Row],[jours restants]]&gt;0,Stock_par_lots[[#This Row],[jours restants]]&lt;=60),"Proche","")</f>
        <v/>
      </c>
      <c r="BC58" s="52"/>
      <c r="BD58" s="48">
        <f t="shared" si="19"/>
        <v>0</v>
      </c>
      <c r="BE58" s="48">
        <f t="shared" si="20"/>
        <v>0</v>
      </c>
      <c r="BF58" s="46" t="str">
        <f>IFERROR(VLOOKUP(BA58,ListeProduits[],6,FALSE),"")</f>
        <v/>
      </c>
      <c r="BG58" s="47" t="str">
        <f>IFERROR(IF(Stock_par_produits[[#This Row],[Stock nim]]="","",IF(Stock_par_produits[[#This Row],[Stock nim]]&gt;Stock_par_produits[[#This Row],[Quantités restants]],"Commander","Ok")),"")</f>
        <v/>
      </c>
    </row>
    <row r="59" spans="4:59" ht="15.75" x14ac:dyDescent="0.25">
      <c r="U59" s="52"/>
      <c r="V59" s="48" t="str">
        <f t="shared" si="15"/>
        <v/>
      </c>
      <c r="W59" s="48" t="str">
        <f t="shared" si="16"/>
        <v/>
      </c>
      <c r="X59" s="43" t="str">
        <f t="shared" si="17"/>
        <v/>
      </c>
      <c r="Y59" s="44" t="str">
        <f t="shared" si="18"/>
        <v/>
      </c>
      <c r="Z59" s="53" t="str">
        <f ca="1">IFERROR(IF(Stock_par_lots[[#This Row],[Stock restant]]=0,"",Stock_par_lots[[#This Row],[Date de péremption]]-TODAY()),"")</f>
        <v/>
      </c>
      <c r="AA59" s="45" t="str">
        <f ca="1">IF(Stock_par_lots[[#This Row],[Stock restant]]=0,"",IF(Stock_par_lots[[#This Row],[jours restants]]&gt;=60,"Conforme",IF(AND(Stock_par_lots[[#This Row],[jours restants]]&lt;60,Stock_par_lots[[#This Row],[jours restants]]&gt;=30),"Surveillance",IF(AND(Stock_par_lots[[#This Row],[jours restants]]&lt;30,Stock_par_lots[[#This Row],[jours restants]]&gt;=0),"Urgente","Expiré"))))</f>
        <v>Conforme</v>
      </c>
      <c r="AB59" s="68" t="str">
        <f ca="1">IF(AND(Stock_par_lots[[#This Row],[jours restants]]&gt;0,Stock_par_lots[[#This Row],[jours restants]]&lt;=60),"Proche","")</f>
        <v/>
      </c>
      <c r="BC59" s="52"/>
      <c r="BD59" s="48">
        <f t="shared" si="19"/>
        <v>0</v>
      </c>
      <c r="BE59" s="48">
        <f t="shared" si="20"/>
        <v>0</v>
      </c>
      <c r="BF59" s="46" t="str">
        <f>IFERROR(VLOOKUP(BA59,ListeProduits[],6,FALSE),"")</f>
        <v/>
      </c>
      <c r="BG59" s="47" t="str">
        <f>IFERROR(IF(Stock_par_produits[[#This Row],[Stock nim]]="","",IF(Stock_par_produits[[#This Row],[Stock nim]]&gt;Stock_par_produits[[#This Row],[Quantités restants]],"Commander","Ok")),"")</f>
        <v/>
      </c>
    </row>
    <row r="60" spans="4:59" ht="15.75" customHeight="1" x14ac:dyDescent="0.25">
      <c r="U60" s="52"/>
      <c r="V60" s="48" t="str">
        <f t="shared" si="15"/>
        <v/>
      </c>
      <c r="W60" s="48" t="str">
        <f t="shared" si="16"/>
        <v/>
      </c>
      <c r="X60" s="43" t="str">
        <f t="shared" si="17"/>
        <v/>
      </c>
      <c r="Y60" s="44" t="str">
        <f t="shared" si="18"/>
        <v/>
      </c>
      <c r="Z60" s="53" t="str">
        <f ca="1">IFERROR(IF(Stock_par_lots[[#This Row],[Stock restant]]=0,"",Stock_par_lots[[#This Row],[Date de péremption]]-TODAY()),"")</f>
        <v/>
      </c>
      <c r="AA60" s="45" t="str">
        <f ca="1">IF(Stock_par_lots[[#This Row],[Stock restant]]=0,"",IF(Stock_par_lots[[#This Row],[jours restants]]&gt;=60,"Conforme",IF(AND(Stock_par_lots[[#This Row],[jours restants]]&lt;60,Stock_par_lots[[#This Row],[jours restants]]&gt;=30),"Surveillance",IF(AND(Stock_par_lots[[#This Row],[jours restants]]&lt;30,Stock_par_lots[[#This Row],[jours restants]]&gt;=0),"Urgente","Expiré"))))</f>
        <v>Conforme</v>
      </c>
      <c r="AB60" s="68" t="str">
        <f ca="1">IF(AND(Stock_par_lots[[#This Row],[jours restants]]&gt;0,Stock_par_lots[[#This Row],[jours restants]]&lt;=60),"Proche","")</f>
        <v/>
      </c>
      <c r="BC60" s="52"/>
      <c r="BD60" s="48">
        <f t="shared" si="19"/>
        <v>0</v>
      </c>
      <c r="BE60" s="48">
        <f t="shared" si="20"/>
        <v>0</v>
      </c>
      <c r="BF60" s="46" t="str">
        <f>IFERROR(VLOOKUP(BA60,ListeProduits[],6,FALSE),"")</f>
        <v/>
      </c>
      <c r="BG60" s="47" t="str">
        <f>IFERROR(IF(Stock_par_produits[[#This Row],[Stock nim]]="","",IF(Stock_par_produits[[#This Row],[Stock nim]]&gt;Stock_par_produits[[#This Row],[Quantités restants]],"Commander","Ok")),"")</f>
        <v/>
      </c>
    </row>
    <row r="61" spans="4:59" ht="15.75" customHeight="1" x14ac:dyDescent="0.25">
      <c r="U61" s="52"/>
      <c r="V61" s="48" t="str">
        <f t="shared" si="15"/>
        <v/>
      </c>
      <c r="W61" s="48" t="str">
        <f t="shared" si="16"/>
        <v/>
      </c>
      <c r="X61" s="43" t="str">
        <f t="shared" si="17"/>
        <v/>
      </c>
      <c r="Y61" s="44" t="str">
        <f t="shared" si="18"/>
        <v/>
      </c>
      <c r="Z61" s="53" t="str">
        <f ca="1">IFERROR(IF(Stock_par_lots[[#This Row],[Stock restant]]=0,"",Stock_par_lots[[#This Row],[Date de péremption]]-TODAY()),"")</f>
        <v/>
      </c>
      <c r="AA61" s="45" t="str">
        <f ca="1">IF(Stock_par_lots[[#This Row],[Stock restant]]=0,"",IF(Stock_par_lots[[#This Row],[jours restants]]&gt;=60,"Conforme",IF(AND(Stock_par_lots[[#This Row],[jours restants]]&lt;60,Stock_par_lots[[#This Row],[jours restants]]&gt;=30),"Surveillance",IF(AND(Stock_par_lots[[#This Row],[jours restants]]&lt;30,Stock_par_lots[[#This Row],[jours restants]]&gt;=0),"Urgente","Expiré"))))</f>
        <v>Conforme</v>
      </c>
      <c r="AB61" s="68" t="str">
        <f ca="1">IF(AND(Stock_par_lots[[#This Row],[jours restants]]&gt;0,Stock_par_lots[[#This Row],[jours restants]]&lt;=60),"Proche","")</f>
        <v/>
      </c>
      <c r="BC61" s="52"/>
      <c r="BD61" s="48">
        <f t="shared" si="19"/>
        <v>0</v>
      </c>
      <c r="BE61" s="48">
        <f t="shared" si="20"/>
        <v>0</v>
      </c>
      <c r="BF61" s="46" t="str">
        <f>IFERROR(VLOOKUP(BA61,ListeProduits[],6,FALSE),"")</f>
        <v/>
      </c>
      <c r="BG61" s="47" t="str">
        <f>IFERROR(IF(Stock_par_produits[[#This Row],[Stock nim]]="","",IF(Stock_par_produits[[#This Row],[Stock nim]]&gt;Stock_par_produits[[#This Row],[Quantités restants]],"Commander","Ok")),"")</f>
        <v/>
      </c>
    </row>
    <row r="62" spans="4:59" ht="15.75" customHeight="1" x14ac:dyDescent="0.25">
      <c r="U62" s="52"/>
      <c r="V62" s="48" t="str">
        <f t="shared" si="15"/>
        <v/>
      </c>
      <c r="W62" s="48" t="str">
        <f t="shared" si="16"/>
        <v/>
      </c>
      <c r="X62" s="43" t="str">
        <f t="shared" si="17"/>
        <v/>
      </c>
      <c r="Y62" s="44" t="str">
        <f t="shared" si="18"/>
        <v/>
      </c>
      <c r="Z62" s="53" t="str">
        <f ca="1">IFERROR(IF(Stock_par_lots[[#This Row],[Stock restant]]=0,"",Stock_par_lots[[#This Row],[Date de péremption]]-TODAY()),"")</f>
        <v/>
      </c>
      <c r="AA62" s="45" t="str">
        <f ca="1">IF(Stock_par_lots[[#This Row],[Stock restant]]=0,"",IF(Stock_par_lots[[#This Row],[jours restants]]&gt;=60,"Conforme",IF(AND(Stock_par_lots[[#This Row],[jours restants]]&lt;60,Stock_par_lots[[#This Row],[jours restants]]&gt;=30),"Surveillance",IF(AND(Stock_par_lots[[#This Row],[jours restants]]&lt;30,Stock_par_lots[[#This Row],[jours restants]]&gt;=0),"Urgente","Expiré"))))</f>
        <v>Conforme</v>
      </c>
      <c r="AB62" s="68" t="str">
        <f ca="1">IF(AND(Stock_par_lots[[#This Row],[jours restants]]&gt;0,Stock_par_lots[[#This Row],[jours restants]]&lt;=60),"Proche","")</f>
        <v/>
      </c>
      <c r="BC62" s="52"/>
      <c r="BD62" s="48">
        <f t="shared" si="19"/>
        <v>0</v>
      </c>
      <c r="BE62" s="48">
        <f t="shared" si="20"/>
        <v>0</v>
      </c>
      <c r="BF62" s="46" t="str">
        <f>IFERROR(VLOOKUP(BA62,ListeProduits[],6,FALSE),"")</f>
        <v/>
      </c>
      <c r="BG62" s="47" t="str">
        <f>IFERROR(IF(Stock_par_produits[[#This Row],[Stock nim]]="","",IF(Stock_par_produits[[#This Row],[Stock nim]]&gt;Stock_par_produits[[#This Row],[Quantités restants]],"Commander","Ok")),"")</f>
        <v/>
      </c>
    </row>
    <row r="63" spans="4:59" ht="15.75" customHeight="1" x14ac:dyDescent="0.25">
      <c r="Q63" s="52"/>
      <c r="R63" s="52"/>
      <c r="S63" s="52"/>
      <c r="T63" s="52"/>
      <c r="U63" s="52"/>
      <c r="V63" s="48" t="str">
        <f t="shared" si="15"/>
        <v/>
      </c>
      <c r="W63" s="48" t="str">
        <f t="shared" si="16"/>
        <v/>
      </c>
      <c r="X63" s="43" t="str">
        <f t="shared" si="17"/>
        <v/>
      </c>
      <c r="Y63" s="44" t="str">
        <f t="shared" si="18"/>
        <v/>
      </c>
      <c r="Z63" s="53" t="str">
        <f ca="1">IFERROR(IF(Stock_par_lots[[#This Row],[Stock restant]]=0,"",Stock_par_lots[[#This Row],[Date de péremption]]-TODAY()),"")</f>
        <v/>
      </c>
      <c r="AA63" s="45" t="str">
        <f ca="1">IF(Stock_par_lots[[#This Row],[Stock restant]]=0,"",IF(Stock_par_lots[[#This Row],[jours restants]]&gt;=60,"Conforme",IF(AND(Stock_par_lots[[#This Row],[jours restants]]&lt;60,Stock_par_lots[[#This Row],[jours restants]]&gt;=30),"Surveillance",IF(AND(Stock_par_lots[[#This Row],[jours restants]]&lt;30,Stock_par_lots[[#This Row],[jours restants]]&gt;=0),"Urgente","Expiré"))))</f>
        <v>Conforme</v>
      </c>
      <c r="AB63" s="68" t="str">
        <f ca="1">IF(AND(Stock_par_lots[[#This Row],[jours restants]]&gt;0,Stock_par_lots[[#This Row],[jours restants]]&lt;=60),"Proche","")</f>
        <v/>
      </c>
      <c r="BC63" s="52"/>
      <c r="BD63" s="48">
        <f t="shared" si="19"/>
        <v>0</v>
      </c>
      <c r="BE63" s="48">
        <f t="shared" si="20"/>
        <v>0</v>
      </c>
      <c r="BF63" s="46" t="str">
        <f>IFERROR(VLOOKUP(BA63,ListeProduits[],6,FALSE),"")</f>
        <v/>
      </c>
      <c r="BG63" s="47" t="str">
        <f>IFERROR(IF(Stock_par_produits[[#This Row],[Stock nim]]="","",IF(Stock_par_produits[[#This Row],[Stock nim]]&gt;Stock_par_produits[[#This Row],[Quantités restants]],"Commander","Ok")),"")</f>
        <v/>
      </c>
    </row>
    <row r="64" spans="4:59" ht="15.75" customHeight="1" x14ac:dyDescent="0.25">
      <c r="Q64" s="52"/>
      <c r="R64" s="52"/>
      <c r="S64" s="52"/>
      <c r="T64" s="52"/>
      <c r="U64" s="52"/>
      <c r="V64" s="48" t="str">
        <f t="shared" si="15"/>
        <v/>
      </c>
      <c r="W64" s="48" t="str">
        <f t="shared" si="16"/>
        <v/>
      </c>
      <c r="X64" s="43" t="str">
        <f t="shared" si="17"/>
        <v/>
      </c>
      <c r="Y64" s="44" t="str">
        <f t="shared" si="18"/>
        <v/>
      </c>
      <c r="Z64" s="53" t="str">
        <f ca="1">IFERROR(IF(Stock_par_lots[[#This Row],[Stock restant]]=0,"",Stock_par_lots[[#This Row],[Date de péremption]]-TODAY()),"")</f>
        <v/>
      </c>
      <c r="AA64" s="45" t="str">
        <f ca="1">IF(Stock_par_lots[[#This Row],[Stock restant]]=0,"",IF(Stock_par_lots[[#This Row],[jours restants]]&gt;=60,"Conforme",IF(AND(Stock_par_lots[[#This Row],[jours restants]]&lt;60,Stock_par_lots[[#This Row],[jours restants]]&gt;=30),"Surveillance",IF(AND(Stock_par_lots[[#This Row],[jours restants]]&lt;30,Stock_par_lots[[#This Row],[jours restants]]&gt;=0),"Urgente","Expiré"))))</f>
        <v>Conforme</v>
      </c>
      <c r="AB64" s="68" t="str">
        <f ca="1">IF(AND(Stock_par_lots[[#This Row],[jours restants]]&gt;0,Stock_par_lots[[#This Row],[jours restants]]&lt;=60),"Proche","")</f>
        <v/>
      </c>
      <c r="BC64" s="52"/>
      <c r="BD64" s="48">
        <f t="shared" si="19"/>
        <v>0</v>
      </c>
      <c r="BE64" s="48">
        <f t="shared" si="20"/>
        <v>0</v>
      </c>
      <c r="BF64" s="46" t="str">
        <f>IFERROR(VLOOKUP(BA64,ListeProduits[],6,FALSE),"")</f>
        <v/>
      </c>
      <c r="BG64" s="47" t="str">
        <f>IFERROR(IF(Stock_par_produits[[#This Row],[Stock nim]]="","",IF(Stock_par_produits[[#This Row],[Stock nim]]&gt;Stock_par_produits[[#This Row],[Quantités restants]],"Commander","Ok")),"")</f>
        <v/>
      </c>
    </row>
    <row r="65" spans="17:59" ht="15.75" customHeight="1" x14ac:dyDescent="0.25">
      <c r="Q65" s="52"/>
      <c r="R65" s="52"/>
      <c r="S65" s="52"/>
      <c r="T65" s="52"/>
      <c r="U65" s="52"/>
      <c r="V65" s="48" t="str">
        <f t="shared" si="15"/>
        <v/>
      </c>
      <c r="W65" s="48" t="str">
        <f t="shared" si="16"/>
        <v/>
      </c>
      <c r="X65" s="43" t="str">
        <f t="shared" si="17"/>
        <v/>
      </c>
      <c r="Y65" s="44" t="str">
        <f t="shared" si="18"/>
        <v/>
      </c>
      <c r="Z65" s="53" t="str">
        <f ca="1">IFERROR(IF(Stock_par_lots[[#This Row],[Stock restant]]=0,"",Stock_par_lots[[#This Row],[Date de péremption]]-TODAY()),"")</f>
        <v/>
      </c>
      <c r="AA65" s="45" t="str">
        <f ca="1">IF(Stock_par_lots[[#This Row],[Stock restant]]=0,"",IF(Stock_par_lots[[#This Row],[jours restants]]&gt;=60,"Conforme",IF(AND(Stock_par_lots[[#This Row],[jours restants]]&lt;60,Stock_par_lots[[#This Row],[jours restants]]&gt;=30),"Surveillance",IF(AND(Stock_par_lots[[#This Row],[jours restants]]&lt;30,Stock_par_lots[[#This Row],[jours restants]]&gt;=0),"Urgente","Expiré"))))</f>
        <v>Conforme</v>
      </c>
      <c r="AB65" s="68" t="str">
        <f ca="1">IF(AND(Stock_par_lots[[#This Row],[jours restants]]&gt;0,Stock_par_lots[[#This Row],[jours restants]]&lt;=60),"Proche","")</f>
        <v/>
      </c>
      <c r="BC65" s="52"/>
      <c r="BD65" s="48">
        <f t="shared" si="19"/>
        <v>0</v>
      </c>
      <c r="BE65" s="48">
        <f t="shared" si="20"/>
        <v>0</v>
      </c>
      <c r="BF65" s="46" t="str">
        <f>IFERROR(VLOOKUP(BA65,ListeProduits[],6,FALSE),"")</f>
        <v/>
      </c>
      <c r="BG65" s="47" t="str">
        <f>IFERROR(IF(Stock_par_produits[[#This Row],[Stock nim]]="","",IF(Stock_par_produits[[#This Row],[Stock nim]]&gt;Stock_par_produits[[#This Row],[Quantités restants]],"Commander","Ok")),"")</f>
        <v/>
      </c>
    </row>
    <row r="66" spans="17:59" ht="15.75" customHeight="1" x14ac:dyDescent="0.25">
      <c r="Q66" s="52"/>
      <c r="R66" s="52"/>
      <c r="S66" s="52"/>
      <c r="T66" s="52"/>
      <c r="U66" s="52"/>
      <c r="V66" s="48" t="str">
        <f t="shared" si="15"/>
        <v/>
      </c>
      <c r="W66" s="48" t="str">
        <f t="shared" si="16"/>
        <v/>
      </c>
      <c r="X66" s="43" t="str">
        <f t="shared" si="17"/>
        <v/>
      </c>
      <c r="Y66" s="44" t="str">
        <f t="shared" si="18"/>
        <v/>
      </c>
      <c r="Z66" s="53" t="str">
        <f ca="1">IFERROR(IF(Stock_par_lots[[#This Row],[Stock restant]]=0,"",Stock_par_lots[[#This Row],[Date de péremption]]-TODAY()),"")</f>
        <v/>
      </c>
      <c r="AA66" s="45" t="str">
        <f ca="1">IF(Stock_par_lots[[#This Row],[Stock restant]]=0,"",IF(Stock_par_lots[[#This Row],[jours restants]]&gt;=60,"Conforme",IF(AND(Stock_par_lots[[#This Row],[jours restants]]&lt;60,Stock_par_lots[[#This Row],[jours restants]]&gt;=30),"Surveillance",IF(AND(Stock_par_lots[[#This Row],[jours restants]]&lt;30,Stock_par_lots[[#This Row],[jours restants]]&gt;=0),"Urgente","Expiré"))))</f>
        <v>Conforme</v>
      </c>
      <c r="AB66" s="68" t="str">
        <f ca="1">IF(AND(Stock_par_lots[[#This Row],[jours restants]]&gt;0,Stock_par_lots[[#This Row],[jours restants]]&lt;=60),"Proche","")</f>
        <v/>
      </c>
      <c r="BC66" s="52"/>
      <c r="BD66" s="48">
        <f t="shared" si="19"/>
        <v>0</v>
      </c>
      <c r="BE66" s="48">
        <f t="shared" si="20"/>
        <v>0</v>
      </c>
      <c r="BF66" s="46" t="str">
        <f>IFERROR(VLOOKUP(BA66,ListeProduits[],6,FALSE),"")</f>
        <v/>
      </c>
      <c r="BG66" s="47" t="str">
        <f>IFERROR(IF(Stock_par_produits[[#This Row],[Stock nim]]="","",IF(Stock_par_produits[[#This Row],[Stock nim]]&gt;Stock_par_produits[[#This Row],[Quantités restants]],"Commander","Ok")),"")</f>
        <v/>
      </c>
    </row>
    <row r="67" spans="17:59" ht="15.75" customHeight="1" x14ac:dyDescent="0.25">
      <c r="Q67" s="52"/>
      <c r="R67" s="52"/>
      <c r="S67" s="52"/>
      <c r="T67" s="52"/>
      <c r="U67" s="52"/>
      <c r="V67" s="48" t="str">
        <f t="shared" si="15"/>
        <v/>
      </c>
      <c r="W67" s="48" t="str">
        <f t="shared" si="16"/>
        <v/>
      </c>
      <c r="X67" s="43" t="str">
        <f t="shared" si="17"/>
        <v/>
      </c>
      <c r="Y67" s="44" t="str">
        <f t="shared" si="18"/>
        <v/>
      </c>
      <c r="Z67" s="53" t="str">
        <f ca="1">IFERROR(IF(Stock_par_lots[[#This Row],[Stock restant]]=0,"",Stock_par_lots[[#This Row],[Date de péremption]]-TODAY()),"")</f>
        <v/>
      </c>
      <c r="AA67" s="45" t="str">
        <f ca="1">IF(Stock_par_lots[[#This Row],[Stock restant]]=0,"",IF(Stock_par_lots[[#This Row],[jours restants]]&gt;=60,"Conforme",IF(AND(Stock_par_lots[[#This Row],[jours restants]]&lt;60,Stock_par_lots[[#This Row],[jours restants]]&gt;=30),"Surveillance",IF(AND(Stock_par_lots[[#This Row],[jours restants]]&lt;30,Stock_par_lots[[#This Row],[jours restants]]&gt;=0),"Urgente","Expiré"))))</f>
        <v>Conforme</v>
      </c>
      <c r="AB67" s="68" t="str">
        <f ca="1">IF(AND(Stock_par_lots[[#This Row],[jours restants]]&gt;0,Stock_par_lots[[#This Row],[jours restants]]&lt;=60),"Proche","")</f>
        <v/>
      </c>
      <c r="BC67" s="52"/>
      <c r="BD67" s="48">
        <f t="shared" si="19"/>
        <v>0</v>
      </c>
      <c r="BE67" s="48">
        <f t="shared" si="20"/>
        <v>0</v>
      </c>
      <c r="BF67" s="46" t="str">
        <f>IFERROR(VLOOKUP(BA67,ListeProduits[],6,FALSE),"")</f>
        <v/>
      </c>
      <c r="BG67" s="47" t="str">
        <f>IFERROR(IF(Stock_par_produits[[#This Row],[Stock nim]]="","",IF(Stock_par_produits[[#This Row],[Stock nim]]&gt;Stock_par_produits[[#This Row],[Quantités restants]],"Commander","Ok")),"")</f>
        <v/>
      </c>
    </row>
    <row r="68" spans="17:59" ht="15.75" customHeight="1" x14ac:dyDescent="0.25">
      <c r="Q68" s="52"/>
      <c r="R68" s="52"/>
      <c r="S68" s="52"/>
      <c r="T68" s="52"/>
      <c r="U68" s="52"/>
      <c r="V68" s="48" t="str">
        <f t="shared" ref="V68:V99" si="21">IF(Q68="","",Q68)</f>
        <v/>
      </c>
      <c r="W68" s="48" t="str">
        <f t="shared" ref="W68:W99" si="22">IF(R68="","",R68)</f>
        <v/>
      </c>
      <c r="X68" s="43" t="str">
        <f t="shared" ref="X68:X99" si="23">IF(T68="","",T68)</f>
        <v/>
      </c>
      <c r="Y68" s="44" t="str">
        <f t="shared" ref="Y68:Y99" si="24">IF(S68="","",S68)</f>
        <v/>
      </c>
      <c r="Z68" s="53" t="str">
        <f ca="1">IFERROR(IF(Stock_par_lots[[#This Row],[Stock restant]]=0,"",Stock_par_lots[[#This Row],[Date de péremption]]-TODAY()),"")</f>
        <v/>
      </c>
      <c r="AA68" s="45" t="str">
        <f ca="1">IF(Stock_par_lots[[#This Row],[Stock restant]]=0,"",IF(Stock_par_lots[[#This Row],[jours restants]]&gt;=60,"Conforme",IF(AND(Stock_par_lots[[#This Row],[jours restants]]&lt;60,Stock_par_lots[[#This Row],[jours restants]]&gt;=30),"Surveillance",IF(AND(Stock_par_lots[[#This Row],[jours restants]]&lt;30,Stock_par_lots[[#This Row],[jours restants]]&gt;=0),"Urgente","Expiré"))))</f>
        <v>Conforme</v>
      </c>
      <c r="AB68" s="68" t="str">
        <f ca="1">IF(AND(Stock_par_lots[[#This Row],[jours restants]]&gt;0,Stock_par_lots[[#This Row],[jours restants]]&lt;=60),"Proche","")</f>
        <v/>
      </c>
      <c r="BC68" s="52"/>
      <c r="BD68" s="48">
        <f t="shared" ref="BD68:BD99" si="25">BA68</f>
        <v>0</v>
      </c>
      <c r="BE68" s="48">
        <f t="shared" ref="BE68:BE99" si="26">BB68</f>
        <v>0</v>
      </c>
      <c r="BF68" s="46" t="str">
        <f>IFERROR(VLOOKUP(BA68,ListeProduits[],6,FALSE),"")</f>
        <v/>
      </c>
      <c r="BG68" s="47" t="str">
        <f>IFERROR(IF(Stock_par_produits[[#This Row],[Stock nim]]="","",IF(Stock_par_produits[[#This Row],[Stock nim]]&gt;Stock_par_produits[[#This Row],[Quantités restants]],"Commander","Ok")),"")</f>
        <v/>
      </c>
    </row>
    <row r="69" spans="17:59" ht="15.75" customHeight="1" x14ac:dyDescent="0.25">
      <c r="Q69" s="52"/>
      <c r="R69" s="52"/>
      <c r="S69" s="52"/>
      <c r="T69" s="52"/>
      <c r="U69" s="52"/>
      <c r="V69" s="48" t="str">
        <f t="shared" si="21"/>
        <v/>
      </c>
      <c r="W69" s="48" t="str">
        <f t="shared" si="22"/>
        <v/>
      </c>
      <c r="X69" s="43" t="str">
        <f t="shared" si="23"/>
        <v/>
      </c>
      <c r="Y69" s="44" t="str">
        <f t="shared" si="24"/>
        <v/>
      </c>
      <c r="Z69" s="53" t="str">
        <f ca="1">IFERROR(IF(Stock_par_lots[[#This Row],[Stock restant]]=0,"",Stock_par_lots[[#This Row],[Date de péremption]]-TODAY()),"")</f>
        <v/>
      </c>
      <c r="AA69" s="45" t="str">
        <f ca="1">IF(Stock_par_lots[[#This Row],[Stock restant]]=0,"",IF(Stock_par_lots[[#This Row],[jours restants]]&gt;=60,"Conforme",IF(AND(Stock_par_lots[[#This Row],[jours restants]]&lt;60,Stock_par_lots[[#This Row],[jours restants]]&gt;=30),"Surveillance",IF(AND(Stock_par_lots[[#This Row],[jours restants]]&lt;30,Stock_par_lots[[#This Row],[jours restants]]&gt;=0),"Urgente","Expiré"))))</f>
        <v>Conforme</v>
      </c>
      <c r="AB69" s="68" t="str">
        <f ca="1">IF(AND(Stock_par_lots[[#This Row],[jours restants]]&gt;0,Stock_par_lots[[#This Row],[jours restants]]&lt;=60),"Proche","")</f>
        <v/>
      </c>
      <c r="BC69" s="52"/>
      <c r="BD69" s="48">
        <f t="shared" si="25"/>
        <v>0</v>
      </c>
      <c r="BE69" s="48">
        <f t="shared" si="26"/>
        <v>0</v>
      </c>
      <c r="BF69" s="46" t="str">
        <f>IFERROR(VLOOKUP(BA69,ListeProduits[],6,FALSE),"")</f>
        <v/>
      </c>
      <c r="BG69" s="47" t="str">
        <f>IFERROR(IF(Stock_par_produits[[#This Row],[Stock nim]]="","",IF(Stock_par_produits[[#This Row],[Stock nim]]&gt;Stock_par_produits[[#This Row],[Quantités restants]],"Commander","Ok")),"")</f>
        <v/>
      </c>
    </row>
    <row r="70" spans="17:59" ht="15.75" customHeight="1" x14ac:dyDescent="0.25">
      <c r="Q70" s="52"/>
      <c r="R70" s="52"/>
      <c r="S70" s="52"/>
      <c r="T70" s="52"/>
      <c r="U70" s="52"/>
      <c r="V70" s="48" t="str">
        <f t="shared" si="21"/>
        <v/>
      </c>
      <c r="W70" s="48" t="str">
        <f t="shared" si="22"/>
        <v/>
      </c>
      <c r="X70" s="43" t="str">
        <f t="shared" si="23"/>
        <v/>
      </c>
      <c r="Y70" s="44" t="str">
        <f t="shared" si="24"/>
        <v/>
      </c>
      <c r="Z70" s="53" t="str">
        <f ca="1">IFERROR(IF(Stock_par_lots[[#This Row],[Stock restant]]=0,"",Stock_par_lots[[#This Row],[Date de péremption]]-TODAY()),"")</f>
        <v/>
      </c>
      <c r="AA70" s="45" t="str">
        <f ca="1">IF(Stock_par_lots[[#This Row],[Stock restant]]=0,"",IF(Stock_par_lots[[#This Row],[jours restants]]&gt;=60,"Conforme",IF(AND(Stock_par_lots[[#This Row],[jours restants]]&lt;60,Stock_par_lots[[#This Row],[jours restants]]&gt;=30),"Surveillance",IF(AND(Stock_par_lots[[#This Row],[jours restants]]&lt;30,Stock_par_lots[[#This Row],[jours restants]]&gt;=0),"Urgente","Expiré"))))</f>
        <v>Conforme</v>
      </c>
      <c r="AB70" s="68" t="str">
        <f ca="1">IF(AND(Stock_par_lots[[#This Row],[jours restants]]&gt;0,Stock_par_lots[[#This Row],[jours restants]]&lt;=60),"Proche","")</f>
        <v/>
      </c>
      <c r="BC70" s="52"/>
      <c r="BD70" s="48">
        <f t="shared" si="25"/>
        <v>0</v>
      </c>
      <c r="BE70" s="48">
        <f t="shared" si="26"/>
        <v>0</v>
      </c>
      <c r="BF70" s="46" t="str">
        <f>IFERROR(VLOOKUP(BA70,ListeProduits[],6,FALSE),"")</f>
        <v/>
      </c>
      <c r="BG70" s="47" t="str">
        <f>IFERROR(IF(Stock_par_produits[[#This Row],[Stock nim]]="","",IF(Stock_par_produits[[#This Row],[Stock nim]]&gt;Stock_par_produits[[#This Row],[Quantités restants]],"Commander","Ok")),"")</f>
        <v/>
      </c>
    </row>
    <row r="71" spans="17:59" ht="15.75" customHeight="1" x14ac:dyDescent="0.25">
      <c r="Q71" s="52"/>
      <c r="R71" s="52"/>
      <c r="S71" s="52"/>
      <c r="T71" s="52"/>
      <c r="U71" s="52"/>
      <c r="V71" s="48" t="str">
        <f t="shared" si="21"/>
        <v/>
      </c>
      <c r="W71" s="48" t="str">
        <f t="shared" si="22"/>
        <v/>
      </c>
      <c r="X71" s="43" t="str">
        <f t="shared" si="23"/>
        <v/>
      </c>
      <c r="Y71" s="44" t="str">
        <f t="shared" si="24"/>
        <v/>
      </c>
      <c r="Z71" s="53" t="str">
        <f ca="1">IFERROR(IF(Stock_par_lots[[#This Row],[Stock restant]]=0,"",Stock_par_lots[[#This Row],[Date de péremption]]-TODAY()),"")</f>
        <v/>
      </c>
      <c r="AA71" s="45" t="str">
        <f ca="1">IF(Stock_par_lots[[#This Row],[Stock restant]]=0,"",IF(Stock_par_lots[[#This Row],[jours restants]]&gt;=60,"Conforme",IF(AND(Stock_par_lots[[#This Row],[jours restants]]&lt;60,Stock_par_lots[[#This Row],[jours restants]]&gt;=30),"Surveillance",IF(AND(Stock_par_lots[[#This Row],[jours restants]]&lt;30,Stock_par_lots[[#This Row],[jours restants]]&gt;=0),"Urgente","Expiré"))))</f>
        <v>Conforme</v>
      </c>
      <c r="AB71" s="68" t="str">
        <f ca="1">IF(AND(Stock_par_lots[[#This Row],[jours restants]]&gt;0,Stock_par_lots[[#This Row],[jours restants]]&lt;=60),"Proche","")</f>
        <v/>
      </c>
      <c r="BC71" s="52"/>
      <c r="BD71" s="48">
        <f t="shared" si="25"/>
        <v>0</v>
      </c>
      <c r="BE71" s="48">
        <f t="shared" si="26"/>
        <v>0</v>
      </c>
      <c r="BF71" s="46" t="str">
        <f>IFERROR(VLOOKUP(BA71,ListeProduits[],6,FALSE),"")</f>
        <v/>
      </c>
      <c r="BG71" s="47" t="str">
        <f>IFERROR(IF(Stock_par_produits[[#This Row],[Stock nim]]="","",IF(Stock_par_produits[[#This Row],[Stock nim]]&gt;Stock_par_produits[[#This Row],[Quantités restants]],"Commander","Ok")),"")</f>
        <v/>
      </c>
    </row>
    <row r="72" spans="17:59" ht="15.75" customHeight="1" x14ac:dyDescent="0.25">
      <c r="Q72" s="52"/>
      <c r="R72" s="52"/>
      <c r="S72" s="52"/>
      <c r="T72" s="52"/>
      <c r="U72" s="52"/>
      <c r="V72" s="48" t="str">
        <f t="shared" si="21"/>
        <v/>
      </c>
      <c r="W72" s="48" t="str">
        <f t="shared" si="22"/>
        <v/>
      </c>
      <c r="X72" s="43" t="str">
        <f t="shared" si="23"/>
        <v/>
      </c>
      <c r="Y72" s="44" t="str">
        <f t="shared" si="24"/>
        <v/>
      </c>
      <c r="Z72" s="53" t="str">
        <f ca="1">IFERROR(IF(Stock_par_lots[[#This Row],[Stock restant]]=0,"",Stock_par_lots[[#This Row],[Date de péremption]]-TODAY()),"")</f>
        <v/>
      </c>
      <c r="AA72" s="45" t="str">
        <f ca="1">IF(Stock_par_lots[[#This Row],[Stock restant]]=0,"",IF(Stock_par_lots[[#This Row],[jours restants]]&gt;=60,"Conforme",IF(AND(Stock_par_lots[[#This Row],[jours restants]]&lt;60,Stock_par_lots[[#This Row],[jours restants]]&gt;=30),"Surveillance",IF(AND(Stock_par_lots[[#This Row],[jours restants]]&lt;30,Stock_par_lots[[#This Row],[jours restants]]&gt;=0),"Urgente","Expiré"))))</f>
        <v>Conforme</v>
      </c>
      <c r="AB72" s="68" t="str">
        <f ca="1">IF(AND(Stock_par_lots[[#This Row],[jours restants]]&gt;0,Stock_par_lots[[#This Row],[jours restants]]&lt;=60),"Proche","")</f>
        <v/>
      </c>
      <c r="BC72" s="52"/>
      <c r="BD72" s="48">
        <f t="shared" si="25"/>
        <v>0</v>
      </c>
      <c r="BE72" s="48">
        <f t="shared" si="26"/>
        <v>0</v>
      </c>
      <c r="BF72" s="46" t="str">
        <f>IFERROR(VLOOKUP(BA72,ListeProduits[],6,FALSE),"")</f>
        <v/>
      </c>
      <c r="BG72" s="47" t="str">
        <f>IFERROR(IF(Stock_par_produits[[#This Row],[Stock nim]]="","",IF(Stock_par_produits[[#This Row],[Stock nim]]&gt;Stock_par_produits[[#This Row],[Quantités restants]],"Commander","Ok")),"")</f>
        <v/>
      </c>
    </row>
    <row r="73" spans="17:59" ht="15.75" customHeight="1" x14ac:dyDescent="0.25">
      <c r="Q73" s="52"/>
      <c r="R73" s="52"/>
      <c r="S73" s="52"/>
      <c r="T73" s="52"/>
      <c r="U73" s="52"/>
      <c r="V73" s="48" t="str">
        <f t="shared" si="21"/>
        <v/>
      </c>
      <c r="W73" s="48" t="str">
        <f t="shared" si="22"/>
        <v/>
      </c>
      <c r="X73" s="43" t="str">
        <f t="shared" si="23"/>
        <v/>
      </c>
      <c r="Y73" s="44" t="str">
        <f t="shared" si="24"/>
        <v/>
      </c>
      <c r="Z73" s="53" t="str">
        <f ca="1">IFERROR(IF(Stock_par_lots[[#This Row],[Stock restant]]=0,"",Stock_par_lots[[#This Row],[Date de péremption]]-TODAY()),"")</f>
        <v/>
      </c>
      <c r="AA73" s="45" t="str">
        <f ca="1">IF(Stock_par_lots[[#This Row],[Stock restant]]=0,"",IF(Stock_par_lots[[#This Row],[jours restants]]&gt;=60,"Conforme",IF(AND(Stock_par_lots[[#This Row],[jours restants]]&lt;60,Stock_par_lots[[#This Row],[jours restants]]&gt;=30),"Surveillance",IF(AND(Stock_par_lots[[#This Row],[jours restants]]&lt;30,Stock_par_lots[[#This Row],[jours restants]]&gt;=0),"Urgente","Expiré"))))</f>
        <v>Conforme</v>
      </c>
      <c r="AB73" s="68" t="str">
        <f ca="1">IF(AND(Stock_par_lots[[#This Row],[jours restants]]&gt;0,Stock_par_lots[[#This Row],[jours restants]]&lt;=60),"Proche","")</f>
        <v/>
      </c>
      <c r="BC73" s="52"/>
      <c r="BD73" s="48">
        <f t="shared" si="25"/>
        <v>0</v>
      </c>
      <c r="BE73" s="48">
        <f t="shared" si="26"/>
        <v>0</v>
      </c>
      <c r="BF73" s="46" t="str">
        <f>IFERROR(VLOOKUP(BA73,ListeProduits[],6,FALSE),"")</f>
        <v/>
      </c>
      <c r="BG73" s="47" t="str">
        <f>IFERROR(IF(Stock_par_produits[[#This Row],[Stock nim]]="","",IF(Stock_par_produits[[#This Row],[Stock nim]]&gt;Stock_par_produits[[#This Row],[Quantités restants]],"Commander","Ok")),"")</f>
        <v/>
      </c>
    </row>
    <row r="74" spans="17:59" ht="15.75" customHeight="1" x14ac:dyDescent="0.25">
      <c r="Q74" s="52"/>
      <c r="R74" s="52"/>
      <c r="S74" s="52"/>
      <c r="T74" s="52"/>
      <c r="U74" s="52"/>
      <c r="V74" s="48" t="str">
        <f t="shared" si="21"/>
        <v/>
      </c>
      <c r="W74" s="48" t="str">
        <f t="shared" si="22"/>
        <v/>
      </c>
      <c r="X74" s="43" t="str">
        <f t="shared" si="23"/>
        <v/>
      </c>
      <c r="Y74" s="44" t="str">
        <f t="shared" si="24"/>
        <v/>
      </c>
      <c r="Z74" s="53" t="str">
        <f ca="1">IFERROR(IF(Stock_par_lots[[#This Row],[Stock restant]]=0,"",Stock_par_lots[[#This Row],[Date de péremption]]-TODAY()),"")</f>
        <v/>
      </c>
      <c r="AA74" s="45" t="str">
        <f ca="1">IF(Stock_par_lots[[#This Row],[Stock restant]]=0,"",IF(Stock_par_lots[[#This Row],[jours restants]]&gt;=60,"Conforme",IF(AND(Stock_par_lots[[#This Row],[jours restants]]&lt;60,Stock_par_lots[[#This Row],[jours restants]]&gt;=30),"Surveillance",IF(AND(Stock_par_lots[[#This Row],[jours restants]]&lt;30,Stock_par_lots[[#This Row],[jours restants]]&gt;=0),"Urgente","Expiré"))))</f>
        <v>Conforme</v>
      </c>
      <c r="AB74" s="68" t="str">
        <f ca="1">IF(AND(Stock_par_lots[[#This Row],[jours restants]]&gt;0,Stock_par_lots[[#This Row],[jours restants]]&lt;=60),"Proche","")</f>
        <v/>
      </c>
      <c r="BC74" s="52"/>
      <c r="BD74" s="48">
        <f t="shared" si="25"/>
        <v>0</v>
      </c>
      <c r="BE74" s="48">
        <f t="shared" si="26"/>
        <v>0</v>
      </c>
      <c r="BF74" s="46" t="str">
        <f>IFERROR(VLOOKUP(BA74,ListeProduits[],6,FALSE),"")</f>
        <v/>
      </c>
      <c r="BG74" s="47" t="str">
        <f>IFERROR(IF(Stock_par_produits[[#This Row],[Stock nim]]="","",IF(Stock_par_produits[[#This Row],[Stock nim]]&gt;Stock_par_produits[[#This Row],[Quantités restants]],"Commander","Ok")),"")</f>
        <v/>
      </c>
    </row>
    <row r="75" spans="17:59" ht="15.75" customHeight="1" x14ac:dyDescent="0.25">
      <c r="Q75" s="52"/>
      <c r="R75" s="52"/>
      <c r="S75" s="52"/>
      <c r="T75" s="52"/>
      <c r="U75" s="52"/>
      <c r="V75" s="48" t="str">
        <f t="shared" si="21"/>
        <v/>
      </c>
      <c r="W75" s="48" t="str">
        <f t="shared" si="22"/>
        <v/>
      </c>
      <c r="X75" s="43" t="str">
        <f t="shared" si="23"/>
        <v/>
      </c>
      <c r="Y75" s="44" t="str">
        <f t="shared" si="24"/>
        <v/>
      </c>
      <c r="Z75" s="53" t="str">
        <f ca="1">IFERROR(IF(Stock_par_lots[[#This Row],[Stock restant]]=0,"",Stock_par_lots[[#This Row],[Date de péremption]]-TODAY()),"")</f>
        <v/>
      </c>
      <c r="AA75" s="45" t="str">
        <f ca="1">IF(Stock_par_lots[[#This Row],[Stock restant]]=0,"",IF(Stock_par_lots[[#This Row],[jours restants]]&gt;=60,"Conforme",IF(AND(Stock_par_lots[[#This Row],[jours restants]]&lt;60,Stock_par_lots[[#This Row],[jours restants]]&gt;=30),"Surveillance",IF(AND(Stock_par_lots[[#This Row],[jours restants]]&lt;30,Stock_par_lots[[#This Row],[jours restants]]&gt;=0),"Urgente","Expiré"))))</f>
        <v>Conforme</v>
      </c>
      <c r="AB75" s="68" t="str">
        <f ca="1">IF(AND(Stock_par_lots[[#This Row],[jours restants]]&gt;0,Stock_par_lots[[#This Row],[jours restants]]&lt;=60),"Proche","")</f>
        <v/>
      </c>
      <c r="BC75" s="52"/>
      <c r="BD75" s="48">
        <f t="shared" si="25"/>
        <v>0</v>
      </c>
      <c r="BE75" s="48">
        <f t="shared" si="26"/>
        <v>0</v>
      </c>
      <c r="BF75" s="46" t="str">
        <f>IFERROR(VLOOKUP(BA75,ListeProduits[],6,FALSE),"")</f>
        <v/>
      </c>
      <c r="BG75" s="47" t="str">
        <f>IFERROR(IF(Stock_par_produits[[#This Row],[Stock nim]]="","",IF(Stock_par_produits[[#This Row],[Stock nim]]&gt;Stock_par_produits[[#This Row],[Quantités restants]],"Commander","Ok")),"")</f>
        <v/>
      </c>
    </row>
    <row r="76" spans="17:59" ht="15.75" customHeight="1" x14ac:dyDescent="0.25">
      <c r="Q76" s="52"/>
      <c r="R76" s="52"/>
      <c r="S76" s="52"/>
      <c r="T76" s="52"/>
      <c r="U76" s="52"/>
      <c r="V76" s="48" t="str">
        <f t="shared" si="21"/>
        <v/>
      </c>
      <c r="W76" s="48" t="str">
        <f t="shared" si="22"/>
        <v/>
      </c>
      <c r="X76" s="43" t="str">
        <f t="shared" si="23"/>
        <v/>
      </c>
      <c r="Y76" s="44" t="str">
        <f t="shared" si="24"/>
        <v/>
      </c>
      <c r="Z76" s="53" t="str">
        <f ca="1">IFERROR(IF(Stock_par_lots[[#This Row],[Stock restant]]=0,"",Stock_par_lots[[#This Row],[Date de péremption]]-TODAY()),"")</f>
        <v/>
      </c>
      <c r="AA76" s="45" t="str">
        <f ca="1">IF(Stock_par_lots[[#This Row],[Stock restant]]=0,"",IF(Stock_par_lots[[#This Row],[jours restants]]&gt;=60,"Conforme",IF(AND(Stock_par_lots[[#This Row],[jours restants]]&lt;60,Stock_par_lots[[#This Row],[jours restants]]&gt;=30),"Surveillance",IF(AND(Stock_par_lots[[#This Row],[jours restants]]&lt;30,Stock_par_lots[[#This Row],[jours restants]]&gt;=0),"Urgente","Expiré"))))</f>
        <v>Conforme</v>
      </c>
      <c r="AB76" s="68" t="str">
        <f ca="1">IF(AND(Stock_par_lots[[#This Row],[jours restants]]&gt;0,Stock_par_lots[[#This Row],[jours restants]]&lt;=60),"Proche","")</f>
        <v/>
      </c>
      <c r="BC76" s="52"/>
      <c r="BD76" s="48">
        <f t="shared" si="25"/>
        <v>0</v>
      </c>
      <c r="BE76" s="48">
        <f t="shared" si="26"/>
        <v>0</v>
      </c>
      <c r="BF76" s="46" t="str">
        <f>IFERROR(VLOOKUP(BA76,ListeProduits[],6,FALSE),"")</f>
        <v/>
      </c>
      <c r="BG76" s="47" t="str">
        <f>IFERROR(IF(Stock_par_produits[[#This Row],[Stock nim]]="","",IF(Stock_par_produits[[#This Row],[Stock nim]]&gt;Stock_par_produits[[#This Row],[Quantités restants]],"Commander","Ok")),"")</f>
        <v/>
      </c>
    </row>
    <row r="77" spans="17:59" ht="15.75" customHeight="1" x14ac:dyDescent="0.25">
      <c r="Q77" s="52"/>
      <c r="R77" s="52"/>
      <c r="S77" s="52"/>
      <c r="T77" s="52"/>
      <c r="U77" s="52"/>
      <c r="V77" s="48" t="str">
        <f t="shared" si="21"/>
        <v/>
      </c>
      <c r="W77" s="48" t="str">
        <f t="shared" si="22"/>
        <v/>
      </c>
      <c r="X77" s="43" t="str">
        <f t="shared" si="23"/>
        <v/>
      </c>
      <c r="Y77" s="44" t="str">
        <f t="shared" si="24"/>
        <v/>
      </c>
      <c r="Z77" s="53" t="str">
        <f ca="1">IFERROR(IF(Stock_par_lots[[#This Row],[Stock restant]]=0,"",Stock_par_lots[[#This Row],[Date de péremption]]-TODAY()),"")</f>
        <v/>
      </c>
      <c r="AA77" s="45" t="str">
        <f ca="1">IF(Stock_par_lots[[#This Row],[Stock restant]]=0,"",IF(Stock_par_lots[[#This Row],[jours restants]]&gt;=60,"Conforme",IF(AND(Stock_par_lots[[#This Row],[jours restants]]&lt;60,Stock_par_lots[[#This Row],[jours restants]]&gt;=30),"Surveillance",IF(AND(Stock_par_lots[[#This Row],[jours restants]]&lt;30,Stock_par_lots[[#This Row],[jours restants]]&gt;=0),"Urgente","Expiré"))))</f>
        <v>Conforme</v>
      </c>
      <c r="AB77" s="68" t="str">
        <f ca="1">IF(AND(Stock_par_lots[[#This Row],[jours restants]]&gt;0,Stock_par_lots[[#This Row],[jours restants]]&lt;=60),"Proche","")</f>
        <v/>
      </c>
      <c r="BC77" s="52"/>
      <c r="BD77" s="48">
        <f t="shared" si="25"/>
        <v>0</v>
      </c>
      <c r="BE77" s="48">
        <f t="shared" si="26"/>
        <v>0</v>
      </c>
      <c r="BF77" s="46" t="str">
        <f>IFERROR(VLOOKUP(BA77,ListeProduits[],6,FALSE),"")</f>
        <v/>
      </c>
      <c r="BG77" s="47" t="str">
        <f>IFERROR(IF(Stock_par_produits[[#This Row],[Stock nim]]="","",IF(Stock_par_produits[[#This Row],[Stock nim]]&gt;Stock_par_produits[[#This Row],[Quantités restants]],"Commander","Ok")),"")</f>
        <v/>
      </c>
    </row>
    <row r="78" spans="17:59" ht="15.75" customHeight="1" x14ac:dyDescent="0.25">
      <c r="Q78" s="52"/>
      <c r="R78" s="52"/>
      <c r="S78" s="52"/>
      <c r="T78" s="52"/>
      <c r="U78" s="52"/>
      <c r="V78" s="48" t="str">
        <f t="shared" si="21"/>
        <v/>
      </c>
      <c r="W78" s="48" t="str">
        <f t="shared" si="22"/>
        <v/>
      </c>
      <c r="X78" s="43" t="str">
        <f t="shared" si="23"/>
        <v/>
      </c>
      <c r="Y78" s="44" t="str">
        <f t="shared" si="24"/>
        <v/>
      </c>
      <c r="Z78" s="53" t="str">
        <f ca="1">IFERROR(IF(Stock_par_lots[[#This Row],[Stock restant]]=0,"",Stock_par_lots[[#This Row],[Date de péremption]]-TODAY()),"")</f>
        <v/>
      </c>
      <c r="AA78" s="45" t="str">
        <f ca="1">IF(Stock_par_lots[[#This Row],[Stock restant]]=0,"",IF(Stock_par_lots[[#This Row],[jours restants]]&gt;=60,"Conforme",IF(AND(Stock_par_lots[[#This Row],[jours restants]]&lt;60,Stock_par_lots[[#This Row],[jours restants]]&gt;=30),"Surveillance",IF(AND(Stock_par_lots[[#This Row],[jours restants]]&lt;30,Stock_par_lots[[#This Row],[jours restants]]&gt;=0),"Urgente","Expiré"))))</f>
        <v>Conforme</v>
      </c>
      <c r="AB78" s="68" t="str">
        <f ca="1">IF(AND(Stock_par_lots[[#This Row],[jours restants]]&gt;0,Stock_par_lots[[#This Row],[jours restants]]&lt;=60),"Proche","")</f>
        <v/>
      </c>
      <c r="BC78" s="52"/>
      <c r="BD78" s="48">
        <f t="shared" si="25"/>
        <v>0</v>
      </c>
      <c r="BE78" s="48">
        <f t="shared" si="26"/>
        <v>0</v>
      </c>
      <c r="BF78" s="46" t="str">
        <f>IFERROR(VLOOKUP(BA78,ListeProduits[],6,FALSE),"")</f>
        <v/>
      </c>
      <c r="BG78" s="47" t="str">
        <f>IFERROR(IF(Stock_par_produits[[#This Row],[Stock nim]]="","",IF(Stock_par_produits[[#This Row],[Stock nim]]&gt;Stock_par_produits[[#This Row],[Quantités restants]],"Commander","Ok")),"")</f>
        <v/>
      </c>
    </row>
    <row r="79" spans="17:59" ht="15.75" customHeight="1" x14ac:dyDescent="0.25">
      <c r="Q79" s="52"/>
      <c r="R79" s="52"/>
      <c r="S79" s="52"/>
      <c r="T79" s="52"/>
      <c r="U79" s="52"/>
      <c r="V79" s="48" t="str">
        <f t="shared" si="21"/>
        <v/>
      </c>
      <c r="W79" s="48" t="str">
        <f t="shared" si="22"/>
        <v/>
      </c>
      <c r="X79" s="43" t="str">
        <f t="shared" si="23"/>
        <v/>
      </c>
      <c r="Y79" s="44" t="str">
        <f t="shared" si="24"/>
        <v/>
      </c>
      <c r="Z79" s="53" t="str">
        <f ca="1">IFERROR(IF(Stock_par_lots[[#This Row],[Stock restant]]=0,"",Stock_par_lots[[#This Row],[Date de péremption]]-TODAY()),"")</f>
        <v/>
      </c>
      <c r="AA79" s="45" t="str">
        <f ca="1">IF(Stock_par_lots[[#This Row],[Stock restant]]=0,"",IF(Stock_par_lots[[#This Row],[jours restants]]&gt;=60,"Conforme",IF(AND(Stock_par_lots[[#This Row],[jours restants]]&lt;60,Stock_par_lots[[#This Row],[jours restants]]&gt;=30),"Surveillance",IF(AND(Stock_par_lots[[#This Row],[jours restants]]&lt;30,Stock_par_lots[[#This Row],[jours restants]]&gt;=0),"Urgente","Expiré"))))</f>
        <v>Conforme</v>
      </c>
      <c r="AB79" s="68" t="str">
        <f ca="1">IF(AND(Stock_par_lots[[#This Row],[jours restants]]&gt;0,Stock_par_lots[[#This Row],[jours restants]]&lt;=60),"Proche","")</f>
        <v/>
      </c>
      <c r="BC79" s="52"/>
      <c r="BD79" s="48">
        <f t="shared" si="25"/>
        <v>0</v>
      </c>
      <c r="BE79" s="48">
        <f t="shared" si="26"/>
        <v>0</v>
      </c>
      <c r="BF79" s="46" t="str">
        <f>IFERROR(VLOOKUP(BA79,ListeProduits[],6,FALSE),"")</f>
        <v/>
      </c>
      <c r="BG79" s="47" t="str">
        <f>IFERROR(IF(Stock_par_produits[[#This Row],[Stock nim]]="","",IF(Stock_par_produits[[#This Row],[Stock nim]]&gt;Stock_par_produits[[#This Row],[Quantités restants]],"Commander","Ok")),"")</f>
        <v/>
      </c>
    </row>
    <row r="80" spans="17:59" ht="15.75" customHeight="1" x14ac:dyDescent="0.25">
      <c r="Q80" s="52"/>
      <c r="R80" s="52"/>
      <c r="S80" s="52"/>
      <c r="T80" s="52"/>
      <c r="U80" s="52"/>
      <c r="V80" s="48" t="str">
        <f t="shared" si="21"/>
        <v/>
      </c>
      <c r="W80" s="48" t="str">
        <f t="shared" si="22"/>
        <v/>
      </c>
      <c r="X80" s="43" t="str">
        <f t="shared" si="23"/>
        <v/>
      </c>
      <c r="Y80" s="44" t="str">
        <f t="shared" si="24"/>
        <v/>
      </c>
      <c r="Z80" s="53" t="str">
        <f ca="1">IFERROR(IF(Stock_par_lots[[#This Row],[Stock restant]]=0,"",Stock_par_lots[[#This Row],[Date de péremption]]-TODAY()),"")</f>
        <v/>
      </c>
      <c r="AA80" s="45" t="str">
        <f ca="1">IF(Stock_par_lots[[#This Row],[Stock restant]]=0,"",IF(Stock_par_lots[[#This Row],[jours restants]]&gt;=60,"Conforme",IF(AND(Stock_par_lots[[#This Row],[jours restants]]&lt;60,Stock_par_lots[[#This Row],[jours restants]]&gt;=30),"Surveillance",IF(AND(Stock_par_lots[[#This Row],[jours restants]]&lt;30,Stock_par_lots[[#This Row],[jours restants]]&gt;=0),"Urgente","Expiré"))))</f>
        <v>Conforme</v>
      </c>
      <c r="AB80" s="68" t="str">
        <f ca="1">IF(AND(Stock_par_lots[[#This Row],[jours restants]]&gt;0,Stock_par_lots[[#This Row],[jours restants]]&lt;=60),"Proche","")</f>
        <v/>
      </c>
      <c r="BC80" s="52"/>
      <c r="BD80" s="48">
        <f t="shared" si="25"/>
        <v>0</v>
      </c>
      <c r="BE80" s="48">
        <f t="shared" si="26"/>
        <v>0</v>
      </c>
      <c r="BF80" s="46" t="str">
        <f>IFERROR(VLOOKUP(BA80,ListeProduits[],6,FALSE),"")</f>
        <v/>
      </c>
      <c r="BG80" s="47" t="str">
        <f>IFERROR(IF(Stock_par_produits[[#This Row],[Stock nim]]="","",IF(Stock_par_produits[[#This Row],[Stock nim]]&gt;Stock_par_produits[[#This Row],[Quantités restants]],"Commander","Ok")),"")</f>
        <v/>
      </c>
    </row>
    <row r="81" spans="17:59" ht="15.75" customHeight="1" x14ac:dyDescent="0.25">
      <c r="Q81" s="52"/>
      <c r="R81" s="52"/>
      <c r="S81" s="52"/>
      <c r="T81" s="52"/>
      <c r="U81" s="52"/>
      <c r="V81" s="48" t="str">
        <f t="shared" si="21"/>
        <v/>
      </c>
      <c r="W81" s="48" t="str">
        <f t="shared" si="22"/>
        <v/>
      </c>
      <c r="X81" s="43" t="str">
        <f t="shared" si="23"/>
        <v/>
      </c>
      <c r="Y81" s="44" t="str">
        <f t="shared" si="24"/>
        <v/>
      </c>
      <c r="Z81" s="53" t="str">
        <f ca="1">IFERROR(IF(Stock_par_lots[[#This Row],[Stock restant]]=0,"",Stock_par_lots[[#This Row],[Date de péremption]]-TODAY()),"")</f>
        <v/>
      </c>
      <c r="AA81" s="45" t="str">
        <f ca="1">IF(Stock_par_lots[[#This Row],[Stock restant]]=0,"",IF(Stock_par_lots[[#This Row],[jours restants]]&gt;=60,"Conforme",IF(AND(Stock_par_lots[[#This Row],[jours restants]]&lt;60,Stock_par_lots[[#This Row],[jours restants]]&gt;=30),"Surveillance",IF(AND(Stock_par_lots[[#This Row],[jours restants]]&lt;30,Stock_par_lots[[#This Row],[jours restants]]&gt;=0),"Urgente","Expiré"))))</f>
        <v>Conforme</v>
      </c>
      <c r="AB81" s="68" t="str">
        <f ca="1">IF(AND(Stock_par_lots[[#This Row],[jours restants]]&gt;0,Stock_par_lots[[#This Row],[jours restants]]&lt;=60),"Proche","")</f>
        <v/>
      </c>
      <c r="BC81" s="52"/>
      <c r="BD81" s="48">
        <f t="shared" si="25"/>
        <v>0</v>
      </c>
      <c r="BE81" s="48">
        <f t="shared" si="26"/>
        <v>0</v>
      </c>
      <c r="BF81" s="46" t="str">
        <f>IFERROR(VLOOKUP(BA81,ListeProduits[],6,FALSE),"")</f>
        <v/>
      </c>
      <c r="BG81" s="47" t="str">
        <f>IFERROR(IF(Stock_par_produits[[#This Row],[Stock nim]]="","",IF(Stock_par_produits[[#This Row],[Stock nim]]&gt;Stock_par_produits[[#This Row],[Quantités restants]],"Commander","Ok")),"")</f>
        <v/>
      </c>
    </row>
    <row r="82" spans="17:59" ht="15.75" customHeight="1" x14ac:dyDescent="0.25">
      <c r="Q82" s="52"/>
      <c r="R82" s="52"/>
      <c r="S82" s="52"/>
      <c r="T82" s="52"/>
      <c r="U82" s="52"/>
      <c r="V82" s="48" t="str">
        <f t="shared" si="21"/>
        <v/>
      </c>
      <c r="W82" s="48" t="str">
        <f t="shared" si="22"/>
        <v/>
      </c>
      <c r="X82" s="43" t="str">
        <f t="shared" si="23"/>
        <v/>
      </c>
      <c r="Y82" s="44" t="str">
        <f t="shared" si="24"/>
        <v/>
      </c>
      <c r="Z82" s="53" t="str">
        <f ca="1">IFERROR(IF(Stock_par_lots[[#This Row],[Stock restant]]=0,"",Stock_par_lots[[#This Row],[Date de péremption]]-TODAY()),"")</f>
        <v/>
      </c>
      <c r="AA82" s="45" t="str">
        <f ca="1">IF(Stock_par_lots[[#This Row],[Stock restant]]=0,"",IF(Stock_par_lots[[#This Row],[jours restants]]&gt;=60,"Conforme",IF(AND(Stock_par_lots[[#This Row],[jours restants]]&lt;60,Stock_par_lots[[#This Row],[jours restants]]&gt;=30),"Surveillance",IF(AND(Stock_par_lots[[#This Row],[jours restants]]&lt;30,Stock_par_lots[[#This Row],[jours restants]]&gt;=0),"Urgente","Expiré"))))</f>
        <v>Conforme</v>
      </c>
      <c r="AB82" s="68" t="str">
        <f ca="1">IF(AND(Stock_par_lots[[#This Row],[jours restants]]&gt;0,Stock_par_lots[[#This Row],[jours restants]]&lt;=60),"Proche","")</f>
        <v/>
      </c>
      <c r="BC82" s="52"/>
      <c r="BD82" s="48">
        <f t="shared" si="25"/>
        <v>0</v>
      </c>
      <c r="BE82" s="48">
        <f t="shared" si="26"/>
        <v>0</v>
      </c>
      <c r="BF82" s="46" t="str">
        <f>IFERROR(VLOOKUP(BA82,ListeProduits[],6,FALSE),"")</f>
        <v/>
      </c>
      <c r="BG82" s="47" t="str">
        <f>IFERROR(IF(Stock_par_produits[[#This Row],[Stock nim]]="","",IF(Stock_par_produits[[#This Row],[Stock nim]]&gt;Stock_par_produits[[#This Row],[Quantités restants]],"Commander","Ok")),"")</f>
        <v/>
      </c>
    </row>
    <row r="83" spans="17:59" ht="15.75" customHeight="1" x14ac:dyDescent="0.25">
      <c r="Q83" s="52"/>
      <c r="R83" s="52"/>
      <c r="S83" s="52"/>
      <c r="T83" s="52"/>
      <c r="U83" s="52"/>
      <c r="V83" s="48" t="str">
        <f t="shared" si="21"/>
        <v/>
      </c>
      <c r="W83" s="48" t="str">
        <f t="shared" si="22"/>
        <v/>
      </c>
      <c r="X83" s="43" t="str">
        <f t="shared" si="23"/>
        <v/>
      </c>
      <c r="Y83" s="44" t="str">
        <f t="shared" si="24"/>
        <v/>
      </c>
      <c r="Z83" s="53" t="str">
        <f ca="1">IFERROR(IF(Stock_par_lots[[#This Row],[Stock restant]]=0,"",Stock_par_lots[[#This Row],[Date de péremption]]-TODAY()),"")</f>
        <v/>
      </c>
      <c r="AA83" s="45" t="str">
        <f ca="1">IF(Stock_par_lots[[#This Row],[Stock restant]]=0,"",IF(Stock_par_lots[[#This Row],[jours restants]]&gt;=60,"Conforme",IF(AND(Stock_par_lots[[#This Row],[jours restants]]&lt;60,Stock_par_lots[[#This Row],[jours restants]]&gt;=30),"Surveillance",IF(AND(Stock_par_lots[[#This Row],[jours restants]]&lt;30,Stock_par_lots[[#This Row],[jours restants]]&gt;=0),"Urgente","Expiré"))))</f>
        <v>Conforme</v>
      </c>
      <c r="AB83" s="68" t="str">
        <f ca="1">IF(AND(Stock_par_lots[[#This Row],[jours restants]]&gt;0,Stock_par_lots[[#This Row],[jours restants]]&lt;=60),"Proche","")</f>
        <v/>
      </c>
      <c r="BC83" s="52"/>
      <c r="BD83" s="48">
        <f t="shared" si="25"/>
        <v>0</v>
      </c>
      <c r="BE83" s="48">
        <f t="shared" si="26"/>
        <v>0</v>
      </c>
      <c r="BF83" s="46" t="str">
        <f>IFERROR(VLOOKUP(BA83,ListeProduits[],6,FALSE),"")</f>
        <v/>
      </c>
      <c r="BG83" s="47" t="str">
        <f>IFERROR(IF(Stock_par_produits[[#This Row],[Stock nim]]="","",IF(Stock_par_produits[[#This Row],[Stock nim]]&gt;Stock_par_produits[[#This Row],[Quantités restants]],"Commander","Ok")),"")</f>
        <v/>
      </c>
    </row>
    <row r="84" spans="17:59" ht="15.75" customHeight="1" x14ac:dyDescent="0.25">
      <c r="Q84" s="52"/>
      <c r="R84" s="52"/>
      <c r="S84" s="52"/>
      <c r="T84" s="52"/>
      <c r="U84" s="52"/>
      <c r="V84" s="48" t="str">
        <f t="shared" si="21"/>
        <v/>
      </c>
      <c r="W84" s="48" t="str">
        <f t="shared" si="22"/>
        <v/>
      </c>
      <c r="X84" s="43" t="str">
        <f t="shared" si="23"/>
        <v/>
      </c>
      <c r="Y84" s="44" t="str">
        <f t="shared" si="24"/>
        <v/>
      </c>
      <c r="Z84" s="53" t="str">
        <f ca="1">IFERROR(IF(Stock_par_lots[[#This Row],[Stock restant]]=0,"",Stock_par_lots[[#This Row],[Date de péremption]]-TODAY()),"")</f>
        <v/>
      </c>
      <c r="AA84" s="45" t="str">
        <f ca="1">IF(Stock_par_lots[[#This Row],[Stock restant]]=0,"",IF(Stock_par_lots[[#This Row],[jours restants]]&gt;=60,"Conforme",IF(AND(Stock_par_lots[[#This Row],[jours restants]]&lt;60,Stock_par_lots[[#This Row],[jours restants]]&gt;=30),"Surveillance",IF(AND(Stock_par_lots[[#This Row],[jours restants]]&lt;30,Stock_par_lots[[#This Row],[jours restants]]&gt;=0),"Urgente","Expiré"))))</f>
        <v>Conforme</v>
      </c>
      <c r="AB84" s="68" t="str">
        <f ca="1">IF(AND(Stock_par_lots[[#This Row],[jours restants]]&gt;0,Stock_par_lots[[#This Row],[jours restants]]&lt;=60),"Proche","")</f>
        <v/>
      </c>
      <c r="BC84" s="52"/>
      <c r="BD84" s="48">
        <f t="shared" si="25"/>
        <v>0</v>
      </c>
      <c r="BE84" s="48">
        <f t="shared" si="26"/>
        <v>0</v>
      </c>
      <c r="BF84" s="46" t="str">
        <f>IFERROR(VLOOKUP(BA84,ListeProduits[],6,FALSE),"")</f>
        <v/>
      </c>
      <c r="BG84" s="47" t="str">
        <f>IFERROR(IF(Stock_par_produits[[#This Row],[Stock nim]]="","",IF(Stock_par_produits[[#This Row],[Stock nim]]&gt;Stock_par_produits[[#This Row],[Quantités restants]],"Commander","Ok")),"")</f>
        <v/>
      </c>
    </row>
    <row r="85" spans="17:59" ht="15.75" customHeight="1" x14ac:dyDescent="0.25">
      <c r="Q85" s="52"/>
      <c r="R85" s="52"/>
      <c r="S85" s="52"/>
      <c r="T85" s="52"/>
      <c r="U85" s="52"/>
      <c r="V85" s="48" t="str">
        <f t="shared" si="21"/>
        <v/>
      </c>
      <c r="W85" s="48" t="str">
        <f t="shared" si="22"/>
        <v/>
      </c>
      <c r="X85" s="43" t="str">
        <f t="shared" si="23"/>
        <v/>
      </c>
      <c r="Y85" s="44" t="str">
        <f t="shared" si="24"/>
        <v/>
      </c>
      <c r="Z85" s="53" t="str">
        <f ca="1">IFERROR(IF(Stock_par_lots[[#This Row],[Stock restant]]=0,"",Stock_par_lots[[#This Row],[Date de péremption]]-TODAY()),"")</f>
        <v/>
      </c>
      <c r="AA85" s="45" t="str">
        <f ca="1">IF(Stock_par_lots[[#This Row],[Stock restant]]=0,"",IF(Stock_par_lots[[#This Row],[jours restants]]&gt;=60,"Conforme",IF(AND(Stock_par_lots[[#This Row],[jours restants]]&lt;60,Stock_par_lots[[#This Row],[jours restants]]&gt;=30),"Surveillance",IF(AND(Stock_par_lots[[#This Row],[jours restants]]&lt;30,Stock_par_lots[[#This Row],[jours restants]]&gt;=0),"Urgente","Expiré"))))</f>
        <v>Conforme</v>
      </c>
      <c r="AB85" s="68" t="str">
        <f ca="1">IF(AND(Stock_par_lots[[#This Row],[jours restants]]&gt;0,Stock_par_lots[[#This Row],[jours restants]]&lt;=60),"Proche","")</f>
        <v/>
      </c>
      <c r="BC85" s="52"/>
      <c r="BD85" s="48">
        <f t="shared" si="25"/>
        <v>0</v>
      </c>
      <c r="BE85" s="48">
        <f t="shared" si="26"/>
        <v>0</v>
      </c>
      <c r="BF85" s="46" t="str">
        <f>IFERROR(VLOOKUP(BA85,ListeProduits[],6,FALSE),"")</f>
        <v/>
      </c>
      <c r="BG85" s="47" t="str">
        <f>IFERROR(IF(Stock_par_produits[[#This Row],[Stock nim]]="","",IF(Stock_par_produits[[#This Row],[Stock nim]]&gt;Stock_par_produits[[#This Row],[Quantités restants]],"Commander","Ok")),"")</f>
        <v/>
      </c>
    </row>
    <row r="86" spans="17:59" ht="15.75" customHeight="1" x14ac:dyDescent="0.25">
      <c r="Q86" s="52"/>
      <c r="R86" s="52"/>
      <c r="S86" s="52"/>
      <c r="T86" s="52"/>
      <c r="U86" s="52"/>
      <c r="V86" s="48" t="str">
        <f t="shared" si="21"/>
        <v/>
      </c>
      <c r="W86" s="48" t="str">
        <f t="shared" si="22"/>
        <v/>
      </c>
      <c r="X86" s="43" t="str">
        <f t="shared" si="23"/>
        <v/>
      </c>
      <c r="Y86" s="44" t="str">
        <f t="shared" si="24"/>
        <v/>
      </c>
      <c r="Z86" s="53" t="str">
        <f ca="1">IFERROR(IF(Stock_par_lots[[#This Row],[Stock restant]]=0,"",Stock_par_lots[[#This Row],[Date de péremption]]-TODAY()),"")</f>
        <v/>
      </c>
      <c r="AA86" s="45" t="str">
        <f ca="1">IF(Stock_par_lots[[#This Row],[Stock restant]]=0,"",IF(Stock_par_lots[[#This Row],[jours restants]]&gt;=60,"Conforme",IF(AND(Stock_par_lots[[#This Row],[jours restants]]&lt;60,Stock_par_lots[[#This Row],[jours restants]]&gt;=30),"Surveillance",IF(AND(Stock_par_lots[[#This Row],[jours restants]]&lt;30,Stock_par_lots[[#This Row],[jours restants]]&gt;=0),"Urgente","Expiré"))))</f>
        <v>Conforme</v>
      </c>
      <c r="AB86" s="68" t="str">
        <f ca="1">IF(AND(Stock_par_lots[[#This Row],[jours restants]]&gt;0,Stock_par_lots[[#This Row],[jours restants]]&lt;=60),"Proche","")</f>
        <v/>
      </c>
      <c r="BC86" s="52"/>
      <c r="BD86" s="48">
        <f t="shared" si="25"/>
        <v>0</v>
      </c>
      <c r="BE86" s="48">
        <f t="shared" si="26"/>
        <v>0</v>
      </c>
      <c r="BF86" s="46" t="str">
        <f>IFERROR(VLOOKUP(BA86,ListeProduits[],6,FALSE),"")</f>
        <v/>
      </c>
      <c r="BG86" s="47" t="str">
        <f>IFERROR(IF(Stock_par_produits[[#This Row],[Stock nim]]="","",IF(Stock_par_produits[[#This Row],[Stock nim]]&gt;Stock_par_produits[[#This Row],[Quantités restants]],"Commander","Ok")),"")</f>
        <v/>
      </c>
    </row>
    <row r="87" spans="17:59" ht="15.75" customHeight="1" x14ac:dyDescent="0.25">
      <c r="Q87" s="52"/>
      <c r="R87" s="52"/>
      <c r="S87" s="52"/>
      <c r="T87" s="52"/>
      <c r="U87" s="52"/>
      <c r="V87" s="48" t="str">
        <f t="shared" si="21"/>
        <v/>
      </c>
      <c r="W87" s="48" t="str">
        <f t="shared" si="22"/>
        <v/>
      </c>
      <c r="X87" s="43" t="str">
        <f t="shared" si="23"/>
        <v/>
      </c>
      <c r="Y87" s="44" t="str">
        <f t="shared" si="24"/>
        <v/>
      </c>
      <c r="Z87" s="53" t="str">
        <f ca="1">IFERROR(IF(Stock_par_lots[[#This Row],[Stock restant]]=0,"",Stock_par_lots[[#This Row],[Date de péremption]]-TODAY()),"")</f>
        <v/>
      </c>
      <c r="AA87" s="45" t="str">
        <f ca="1">IF(Stock_par_lots[[#This Row],[Stock restant]]=0,"",IF(Stock_par_lots[[#This Row],[jours restants]]&gt;=60,"Conforme",IF(AND(Stock_par_lots[[#This Row],[jours restants]]&lt;60,Stock_par_lots[[#This Row],[jours restants]]&gt;=30),"Surveillance",IF(AND(Stock_par_lots[[#This Row],[jours restants]]&lt;30,Stock_par_lots[[#This Row],[jours restants]]&gt;=0),"Urgente","Expiré"))))</f>
        <v>Conforme</v>
      </c>
      <c r="AB87" s="68" t="str">
        <f ca="1">IF(AND(Stock_par_lots[[#This Row],[jours restants]]&gt;0,Stock_par_lots[[#This Row],[jours restants]]&lt;=60),"Proche","")</f>
        <v/>
      </c>
      <c r="BC87" s="52"/>
      <c r="BD87" s="48">
        <f t="shared" si="25"/>
        <v>0</v>
      </c>
      <c r="BE87" s="48">
        <f t="shared" si="26"/>
        <v>0</v>
      </c>
      <c r="BF87" s="46" t="str">
        <f>IFERROR(VLOOKUP(BA87,ListeProduits[],6,FALSE),"")</f>
        <v/>
      </c>
      <c r="BG87" s="47" t="str">
        <f>IFERROR(IF(Stock_par_produits[[#This Row],[Stock nim]]="","",IF(Stock_par_produits[[#This Row],[Stock nim]]&gt;Stock_par_produits[[#This Row],[Quantités restants]],"Commander","Ok")),"")</f>
        <v/>
      </c>
    </row>
    <row r="88" spans="17:59" ht="15.75" customHeight="1" x14ac:dyDescent="0.25">
      <c r="Q88" s="52"/>
      <c r="R88" s="52"/>
      <c r="S88" s="52"/>
      <c r="T88" s="52"/>
      <c r="U88" s="52"/>
      <c r="V88" s="48" t="str">
        <f t="shared" si="21"/>
        <v/>
      </c>
      <c r="W88" s="48" t="str">
        <f t="shared" si="22"/>
        <v/>
      </c>
      <c r="X88" s="43" t="str">
        <f t="shared" si="23"/>
        <v/>
      </c>
      <c r="Y88" s="44" t="str">
        <f t="shared" si="24"/>
        <v/>
      </c>
      <c r="Z88" s="53" t="str">
        <f ca="1">IFERROR(IF(Stock_par_lots[[#This Row],[Stock restant]]=0,"",Stock_par_lots[[#This Row],[Date de péremption]]-TODAY()),"")</f>
        <v/>
      </c>
      <c r="AA88" s="45" t="str">
        <f ca="1">IF(Stock_par_lots[[#This Row],[Stock restant]]=0,"",IF(Stock_par_lots[[#This Row],[jours restants]]&gt;=60,"Conforme",IF(AND(Stock_par_lots[[#This Row],[jours restants]]&lt;60,Stock_par_lots[[#This Row],[jours restants]]&gt;=30),"Surveillance",IF(AND(Stock_par_lots[[#This Row],[jours restants]]&lt;30,Stock_par_lots[[#This Row],[jours restants]]&gt;=0),"Urgente","Expiré"))))</f>
        <v>Conforme</v>
      </c>
      <c r="AB88" s="68" t="str">
        <f ca="1">IF(AND(Stock_par_lots[[#This Row],[jours restants]]&gt;0,Stock_par_lots[[#This Row],[jours restants]]&lt;=60),"Proche","")</f>
        <v/>
      </c>
      <c r="BC88" s="52"/>
      <c r="BD88" s="48">
        <f t="shared" si="25"/>
        <v>0</v>
      </c>
      <c r="BE88" s="48">
        <f t="shared" si="26"/>
        <v>0</v>
      </c>
      <c r="BF88" s="46" t="str">
        <f>IFERROR(VLOOKUP(BA88,ListeProduits[],6,FALSE),"")</f>
        <v/>
      </c>
      <c r="BG88" s="47" t="str">
        <f>IFERROR(IF(Stock_par_produits[[#This Row],[Stock nim]]="","",IF(Stock_par_produits[[#This Row],[Stock nim]]&gt;Stock_par_produits[[#This Row],[Quantités restants]],"Commander","Ok")),"")</f>
        <v/>
      </c>
    </row>
    <row r="89" spans="17:59" ht="15.75" customHeight="1" x14ac:dyDescent="0.25">
      <c r="Q89" s="52"/>
      <c r="R89" s="52"/>
      <c r="S89" s="52"/>
      <c r="T89" s="52"/>
      <c r="U89" s="52"/>
      <c r="V89" s="48" t="str">
        <f t="shared" si="21"/>
        <v/>
      </c>
      <c r="W89" s="48" t="str">
        <f t="shared" si="22"/>
        <v/>
      </c>
      <c r="X89" s="43" t="str">
        <f t="shared" si="23"/>
        <v/>
      </c>
      <c r="Y89" s="44" t="str">
        <f t="shared" si="24"/>
        <v/>
      </c>
      <c r="Z89" s="53" t="str">
        <f ca="1">IFERROR(IF(Stock_par_lots[[#This Row],[Stock restant]]=0,"",Stock_par_lots[[#This Row],[Date de péremption]]-TODAY()),"")</f>
        <v/>
      </c>
      <c r="AA89" s="45" t="str">
        <f ca="1">IF(Stock_par_lots[[#This Row],[Stock restant]]=0,"",IF(Stock_par_lots[[#This Row],[jours restants]]&gt;=60,"Conforme",IF(AND(Stock_par_lots[[#This Row],[jours restants]]&lt;60,Stock_par_lots[[#This Row],[jours restants]]&gt;=30),"Surveillance",IF(AND(Stock_par_lots[[#This Row],[jours restants]]&lt;30,Stock_par_lots[[#This Row],[jours restants]]&gt;=0),"Urgente","Expiré"))))</f>
        <v>Conforme</v>
      </c>
      <c r="AB89" s="68" t="str">
        <f ca="1">IF(AND(Stock_par_lots[[#This Row],[jours restants]]&gt;0,Stock_par_lots[[#This Row],[jours restants]]&lt;=60),"Proche","")</f>
        <v/>
      </c>
      <c r="BC89" s="52"/>
      <c r="BD89" s="48">
        <f t="shared" si="25"/>
        <v>0</v>
      </c>
      <c r="BE89" s="48">
        <f t="shared" si="26"/>
        <v>0</v>
      </c>
      <c r="BF89" s="46" t="str">
        <f>IFERROR(VLOOKUP(BA89,ListeProduits[],6,FALSE),"")</f>
        <v/>
      </c>
      <c r="BG89" s="47" t="str">
        <f>IFERROR(IF(Stock_par_produits[[#This Row],[Stock nim]]="","",IF(Stock_par_produits[[#This Row],[Stock nim]]&gt;Stock_par_produits[[#This Row],[Quantités restants]],"Commander","Ok")),"")</f>
        <v/>
      </c>
    </row>
    <row r="90" spans="17:59" ht="15.75" customHeight="1" x14ac:dyDescent="0.25">
      <c r="Q90" s="52"/>
      <c r="R90" s="52"/>
      <c r="S90" s="52"/>
      <c r="T90" s="52"/>
      <c r="U90" s="52"/>
      <c r="V90" s="48" t="str">
        <f t="shared" si="21"/>
        <v/>
      </c>
      <c r="W90" s="48" t="str">
        <f t="shared" si="22"/>
        <v/>
      </c>
      <c r="X90" s="43" t="str">
        <f t="shared" si="23"/>
        <v/>
      </c>
      <c r="Y90" s="44" t="str">
        <f t="shared" si="24"/>
        <v/>
      </c>
      <c r="Z90" s="53" t="str">
        <f ca="1">IFERROR(IF(Stock_par_lots[[#This Row],[Stock restant]]=0,"",Stock_par_lots[[#This Row],[Date de péremption]]-TODAY()),"")</f>
        <v/>
      </c>
      <c r="AA90" s="45" t="str">
        <f ca="1">IF(Stock_par_lots[[#This Row],[Stock restant]]=0,"",IF(Stock_par_lots[[#This Row],[jours restants]]&gt;=60,"Conforme",IF(AND(Stock_par_lots[[#This Row],[jours restants]]&lt;60,Stock_par_lots[[#This Row],[jours restants]]&gt;=30),"Surveillance",IF(AND(Stock_par_lots[[#This Row],[jours restants]]&lt;30,Stock_par_lots[[#This Row],[jours restants]]&gt;=0),"Urgente","Expiré"))))</f>
        <v>Conforme</v>
      </c>
      <c r="AB90" s="68" t="str">
        <f ca="1">IF(AND(Stock_par_lots[[#This Row],[jours restants]]&gt;0,Stock_par_lots[[#This Row],[jours restants]]&lt;=60),"Proche","")</f>
        <v/>
      </c>
      <c r="BC90" s="52"/>
      <c r="BD90" s="48">
        <f t="shared" si="25"/>
        <v>0</v>
      </c>
      <c r="BE90" s="48">
        <f t="shared" si="26"/>
        <v>0</v>
      </c>
      <c r="BF90" s="46" t="str">
        <f>IFERROR(VLOOKUP(BA90,ListeProduits[],6,FALSE),"")</f>
        <v/>
      </c>
      <c r="BG90" s="47" t="str">
        <f>IFERROR(IF(Stock_par_produits[[#This Row],[Stock nim]]="","",IF(Stock_par_produits[[#This Row],[Stock nim]]&gt;Stock_par_produits[[#This Row],[Quantités restants]],"Commander","Ok")),"")</f>
        <v/>
      </c>
    </row>
    <row r="91" spans="17:59" ht="15.75" customHeight="1" x14ac:dyDescent="0.25">
      <c r="Q91" s="52"/>
      <c r="R91" s="52"/>
      <c r="S91" s="52"/>
      <c r="T91" s="52"/>
      <c r="U91" s="52"/>
      <c r="V91" s="48" t="str">
        <f t="shared" si="21"/>
        <v/>
      </c>
      <c r="W91" s="48" t="str">
        <f t="shared" si="22"/>
        <v/>
      </c>
      <c r="X91" s="43" t="str">
        <f t="shared" si="23"/>
        <v/>
      </c>
      <c r="Y91" s="44" t="str">
        <f t="shared" si="24"/>
        <v/>
      </c>
      <c r="Z91" s="53" t="str">
        <f ca="1">IFERROR(IF(Stock_par_lots[[#This Row],[Stock restant]]=0,"",Stock_par_lots[[#This Row],[Date de péremption]]-TODAY()),"")</f>
        <v/>
      </c>
      <c r="AA91" s="45" t="str">
        <f ca="1">IF(Stock_par_lots[[#This Row],[Stock restant]]=0,"",IF(Stock_par_lots[[#This Row],[jours restants]]&gt;=60,"Conforme",IF(AND(Stock_par_lots[[#This Row],[jours restants]]&lt;60,Stock_par_lots[[#This Row],[jours restants]]&gt;=30),"Surveillance",IF(AND(Stock_par_lots[[#This Row],[jours restants]]&lt;30,Stock_par_lots[[#This Row],[jours restants]]&gt;=0),"Urgente","Expiré"))))</f>
        <v>Conforme</v>
      </c>
      <c r="AB91" s="68" t="str">
        <f ca="1">IF(AND(Stock_par_lots[[#This Row],[jours restants]]&gt;0,Stock_par_lots[[#This Row],[jours restants]]&lt;=60),"Proche","")</f>
        <v/>
      </c>
      <c r="BC91" s="52"/>
      <c r="BD91" s="48">
        <f t="shared" si="25"/>
        <v>0</v>
      </c>
      <c r="BE91" s="48">
        <f t="shared" si="26"/>
        <v>0</v>
      </c>
      <c r="BF91" s="46" t="str">
        <f>IFERROR(VLOOKUP(BA91,ListeProduits[],6,FALSE),"")</f>
        <v/>
      </c>
      <c r="BG91" s="47" t="str">
        <f>IFERROR(IF(Stock_par_produits[[#This Row],[Stock nim]]="","",IF(Stock_par_produits[[#This Row],[Stock nim]]&gt;Stock_par_produits[[#This Row],[Quantités restants]],"Commander","Ok")),"")</f>
        <v/>
      </c>
    </row>
    <row r="92" spans="17:59" ht="15.75" customHeight="1" x14ac:dyDescent="0.25">
      <c r="Q92" s="52"/>
      <c r="R92" s="52"/>
      <c r="S92" s="52"/>
      <c r="T92" s="52"/>
      <c r="U92" s="52"/>
      <c r="V92" s="48" t="str">
        <f t="shared" si="21"/>
        <v/>
      </c>
      <c r="W92" s="48" t="str">
        <f t="shared" si="22"/>
        <v/>
      </c>
      <c r="X92" s="43" t="str">
        <f t="shared" si="23"/>
        <v/>
      </c>
      <c r="Y92" s="44" t="str">
        <f t="shared" si="24"/>
        <v/>
      </c>
      <c r="Z92" s="53" t="str">
        <f ca="1">IFERROR(IF(Stock_par_lots[[#This Row],[Stock restant]]=0,"",Stock_par_lots[[#This Row],[Date de péremption]]-TODAY()),"")</f>
        <v/>
      </c>
      <c r="AA92" s="45" t="str">
        <f ca="1">IF(Stock_par_lots[[#This Row],[Stock restant]]=0,"",IF(Stock_par_lots[[#This Row],[jours restants]]&gt;=60,"Conforme",IF(AND(Stock_par_lots[[#This Row],[jours restants]]&lt;60,Stock_par_lots[[#This Row],[jours restants]]&gt;=30),"Surveillance",IF(AND(Stock_par_lots[[#This Row],[jours restants]]&lt;30,Stock_par_lots[[#This Row],[jours restants]]&gt;=0),"Urgente","Expiré"))))</f>
        <v>Conforme</v>
      </c>
      <c r="AB92" s="68" t="str">
        <f ca="1">IF(AND(Stock_par_lots[[#This Row],[jours restants]]&gt;0,Stock_par_lots[[#This Row],[jours restants]]&lt;=60),"Proche","")</f>
        <v/>
      </c>
      <c r="BC92" s="52"/>
      <c r="BD92" s="48">
        <f t="shared" si="25"/>
        <v>0</v>
      </c>
      <c r="BE92" s="48">
        <f t="shared" si="26"/>
        <v>0</v>
      </c>
      <c r="BF92" s="46" t="str">
        <f>IFERROR(VLOOKUP(BA92,ListeProduits[],6,FALSE),"")</f>
        <v/>
      </c>
      <c r="BG92" s="47" t="str">
        <f>IFERROR(IF(Stock_par_produits[[#This Row],[Stock nim]]="","",IF(Stock_par_produits[[#This Row],[Stock nim]]&gt;Stock_par_produits[[#This Row],[Quantités restants]],"Commander","Ok")),"")</f>
        <v/>
      </c>
    </row>
    <row r="93" spans="17:59" ht="15.75" customHeight="1" x14ac:dyDescent="0.25">
      <c r="Q93" s="52"/>
      <c r="R93" s="52"/>
      <c r="S93" s="52"/>
      <c r="T93" s="52"/>
      <c r="U93" s="52"/>
      <c r="V93" s="48" t="str">
        <f t="shared" si="21"/>
        <v/>
      </c>
      <c r="W93" s="48" t="str">
        <f t="shared" si="22"/>
        <v/>
      </c>
      <c r="X93" s="43" t="str">
        <f t="shared" si="23"/>
        <v/>
      </c>
      <c r="Y93" s="44" t="str">
        <f t="shared" si="24"/>
        <v/>
      </c>
      <c r="Z93" s="53" t="str">
        <f ca="1">IFERROR(IF(Stock_par_lots[[#This Row],[Stock restant]]=0,"",Stock_par_lots[[#This Row],[Date de péremption]]-TODAY()),"")</f>
        <v/>
      </c>
      <c r="AA93" s="45" t="str">
        <f ca="1">IF(Stock_par_lots[[#This Row],[Stock restant]]=0,"",IF(Stock_par_lots[[#This Row],[jours restants]]&gt;=60,"Conforme",IF(AND(Stock_par_lots[[#This Row],[jours restants]]&lt;60,Stock_par_lots[[#This Row],[jours restants]]&gt;=30),"Surveillance",IF(AND(Stock_par_lots[[#This Row],[jours restants]]&lt;30,Stock_par_lots[[#This Row],[jours restants]]&gt;=0),"Urgente","Expiré"))))</f>
        <v>Conforme</v>
      </c>
      <c r="AB93" s="68" t="str">
        <f ca="1">IF(AND(Stock_par_lots[[#This Row],[jours restants]]&gt;0,Stock_par_lots[[#This Row],[jours restants]]&lt;=60),"Proche","")</f>
        <v/>
      </c>
      <c r="BC93" s="52"/>
      <c r="BD93" s="48">
        <f t="shared" si="25"/>
        <v>0</v>
      </c>
      <c r="BE93" s="48">
        <f t="shared" si="26"/>
        <v>0</v>
      </c>
      <c r="BF93" s="46" t="str">
        <f>IFERROR(VLOOKUP(BA93,ListeProduits[],6,FALSE),"")</f>
        <v/>
      </c>
      <c r="BG93" s="47" t="str">
        <f>IFERROR(IF(Stock_par_produits[[#This Row],[Stock nim]]="","",IF(Stock_par_produits[[#This Row],[Stock nim]]&gt;Stock_par_produits[[#This Row],[Quantités restants]],"Commander","Ok")),"")</f>
        <v/>
      </c>
    </row>
    <row r="94" spans="17:59" ht="15.75" customHeight="1" x14ac:dyDescent="0.25">
      <c r="Q94" s="52"/>
      <c r="R94" s="52"/>
      <c r="S94" s="52"/>
      <c r="T94" s="52"/>
      <c r="U94" s="52"/>
      <c r="V94" s="48" t="str">
        <f t="shared" si="21"/>
        <v/>
      </c>
      <c r="W94" s="48" t="str">
        <f t="shared" si="22"/>
        <v/>
      </c>
      <c r="X94" s="43" t="str">
        <f t="shared" si="23"/>
        <v/>
      </c>
      <c r="Y94" s="44" t="str">
        <f t="shared" si="24"/>
        <v/>
      </c>
      <c r="Z94" s="53" t="str">
        <f ca="1">IFERROR(IF(Stock_par_lots[[#This Row],[Stock restant]]=0,"",Stock_par_lots[[#This Row],[Date de péremption]]-TODAY()),"")</f>
        <v/>
      </c>
      <c r="AA94" s="45" t="str">
        <f ca="1">IF(Stock_par_lots[[#This Row],[Stock restant]]=0,"",IF(Stock_par_lots[[#This Row],[jours restants]]&gt;=60,"Conforme",IF(AND(Stock_par_lots[[#This Row],[jours restants]]&lt;60,Stock_par_lots[[#This Row],[jours restants]]&gt;=30),"Surveillance",IF(AND(Stock_par_lots[[#This Row],[jours restants]]&lt;30,Stock_par_lots[[#This Row],[jours restants]]&gt;=0),"Urgente","Expiré"))))</f>
        <v>Conforme</v>
      </c>
      <c r="AB94" s="68" t="str">
        <f ca="1">IF(AND(Stock_par_lots[[#This Row],[jours restants]]&gt;0,Stock_par_lots[[#This Row],[jours restants]]&lt;=60),"Proche","")</f>
        <v/>
      </c>
      <c r="BC94" s="52"/>
      <c r="BD94" s="48">
        <f t="shared" si="25"/>
        <v>0</v>
      </c>
      <c r="BE94" s="48">
        <f t="shared" si="26"/>
        <v>0</v>
      </c>
      <c r="BF94" s="46" t="str">
        <f>IFERROR(VLOOKUP(BA94,ListeProduits[],6,FALSE),"")</f>
        <v/>
      </c>
      <c r="BG94" s="47" t="str">
        <f>IFERROR(IF(Stock_par_produits[[#This Row],[Stock nim]]="","",IF(Stock_par_produits[[#This Row],[Stock nim]]&gt;Stock_par_produits[[#This Row],[Quantités restants]],"Commander","Ok")),"")</f>
        <v/>
      </c>
    </row>
    <row r="95" spans="17:59" ht="15.75" customHeight="1" x14ac:dyDescent="0.25">
      <c r="Q95" s="52"/>
      <c r="R95" s="52"/>
      <c r="S95" s="52"/>
      <c r="T95" s="52"/>
      <c r="U95" s="52"/>
      <c r="V95" s="48" t="str">
        <f t="shared" si="21"/>
        <v/>
      </c>
      <c r="W95" s="48" t="str">
        <f t="shared" si="22"/>
        <v/>
      </c>
      <c r="X95" s="43" t="str">
        <f t="shared" si="23"/>
        <v/>
      </c>
      <c r="Y95" s="44" t="str">
        <f t="shared" si="24"/>
        <v/>
      </c>
      <c r="Z95" s="53" t="str">
        <f ca="1">IFERROR(IF(Stock_par_lots[[#This Row],[Stock restant]]=0,"",Stock_par_lots[[#This Row],[Date de péremption]]-TODAY()),"")</f>
        <v/>
      </c>
      <c r="AA95" s="45" t="str">
        <f ca="1">IF(Stock_par_lots[[#This Row],[Stock restant]]=0,"",IF(Stock_par_lots[[#This Row],[jours restants]]&gt;=60,"Conforme",IF(AND(Stock_par_lots[[#This Row],[jours restants]]&lt;60,Stock_par_lots[[#This Row],[jours restants]]&gt;=30),"Surveillance",IF(AND(Stock_par_lots[[#This Row],[jours restants]]&lt;30,Stock_par_lots[[#This Row],[jours restants]]&gt;=0),"Urgente","Expiré"))))</f>
        <v>Conforme</v>
      </c>
      <c r="AB95" s="68" t="str">
        <f ca="1">IF(AND(Stock_par_lots[[#This Row],[jours restants]]&gt;0,Stock_par_lots[[#This Row],[jours restants]]&lt;=60),"Proche","")</f>
        <v/>
      </c>
      <c r="BC95" s="52"/>
      <c r="BD95" s="48">
        <f t="shared" si="25"/>
        <v>0</v>
      </c>
      <c r="BE95" s="48">
        <f t="shared" si="26"/>
        <v>0</v>
      </c>
      <c r="BF95" s="46" t="str">
        <f>IFERROR(VLOOKUP(BA95,ListeProduits[],6,FALSE),"")</f>
        <v/>
      </c>
      <c r="BG95" s="47" t="str">
        <f>IFERROR(IF(Stock_par_produits[[#This Row],[Stock nim]]="","",IF(Stock_par_produits[[#This Row],[Stock nim]]&gt;Stock_par_produits[[#This Row],[Quantités restants]],"Commander","Ok")),"")</f>
        <v/>
      </c>
    </row>
    <row r="96" spans="17:59" ht="15.75" customHeight="1" x14ac:dyDescent="0.25">
      <c r="Q96" s="52"/>
      <c r="R96" s="52"/>
      <c r="S96" s="52"/>
      <c r="T96" s="52"/>
      <c r="U96" s="52"/>
      <c r="V96" s="48" t="str">
        <f t="shared" si="21"/>
        <v/>
      </c>
      <c r="W96" s="48" t="str">
        <f t="shared" si="22"/>
        <v/>
      </c>
      <c r="X96" s="43" t="str">
        <f t="shared" si="23"/>
        <v/>
      </c>
      <c r="Y96" s="44" t="str">
        <f t="shared" si="24"/>
        <v/>
      </c>
      <c r="Z96" s="53" t="str">
        <f ca="1">IFERROR(IF(Stock_par_lots[[#This Row],[Stock restant]]=0,"",Stock_par_lots[[#This Row],[Date de péremption]]-TODAY()),"")</f>
        <v/>
      </c>
      <c r="AA96" s="45" t="str">
        <f ca="1">IF(Stock_par_lots[[#This Row],[Stock restant]]=0,"",IF(Stock_par_lots[[#This Row],[jours restants]]&gt;=60,"Conforme",IF(AND(Stock_par_lots[[#This Row],[jours restants]]&lt;60,Stock_par_lots[[#This Row],[jours restants]]&gt;=30),"Surveillance",IF(AND(Stock_par_lots[[#This Row],[jours restants]]&lt;30,Stock_par_lots[[#This Row],[jours restants]]&gt;=0),"Urgente","Expiré"))))</f>
        <v>Conforme</v>
      </c>
      <c r="AB96" s="68" t="str">
        <f ca="1">IF(AND(Stock_par_lots[[#This Row],[jours restants]]&gt;0,Stock_par_lots[[#This Row],[jours restants]]&lt;=60),"Proche","")</f>
        <v/>
      </c>
      <c r="BC96" s="52"/>
      <c r="BD96" s="48">
        <f t="shared" si="25"/>
        <v>0</v>
      </c>
      <c r="BE96" s="48">
        <f t="shared" si="26"/>
        <v>0</v>
      </c>
      <c r="BF96" s="46" t="str">
        <f>IFERROR(VLOOKUP(BA96,ListeProduits[],6,FALSE),"")</f>
        <v/>
      </c>
      <c r="BG96" s="47" t="str">
        <f>IFERROR(IF(Stock_par_produits[[#This Row],[Stock nim]]="","",IF(Stock_par_produits[[#This Row],[Stock nim]]&gt;Stock_par_produits[[#This Row],[Quantités restants]],"Commander","Ok")),"")</f>
        <v/>
      </c>
    </row>
    <row r="97" spans="17:59" ht="15.75" customHeight="1" x14ac:dyDescent="0.25">
      <c r="Q97" s="52"/>
      <c r="R97" s="52"/>
      <c r="S97" s="52"/>
      <c r="T97" s="52"/>
      <c r="U97" s="52"/>
      <c r="V97" s="48" t="str">
        <f t="shared" si="21"/>
        <v/>
      </c>
      <c r="W97" s="48" t="str">
        <f t="shared" si="22"/>
        <v/>
      </c>
      <c r="X97" s="43" t="str">
        <f t="shared" si="23"/>
        <v/>
      </c>
      <c r="Y97" s="44" t="str">
        <f t="shared" si="24"/>
        <v/>
      </c>
      <c r="Z97" s="53" t="str">
        <f ca="1">IFERROR(IF(Stock_par_lots[[#This Row],[Stock restant]]=0,"",Stock_par_lots[[#This Row],[Date de péremption]]-TODAY()),"")</f>
        <v/>
      </c>
      <c r="AA97" s="45" t="str">
        <f ca="1">IF(Stock_par_lots[[#This Row],[Stock restant]]=0,"",IF(Stock_par_lots[[#This Row],[jours restants]]&gt;=60,"Conforme",IF(AND(Stock_par_lots[[#This Row],[jours restants]]&lt;60,Stock_par_lots[[#This Row],[jours restants]]&gt;=30),"Surveillance",IF(AND(Stock_par_lots[[#This Row],[jours restants]]&lt;30,Stock_par_lots[[#This Row],[jours restants]]&gt;=0),"Urgente","Expiré"))))</f>
        <v>Conforme</v>
      </c>
      <c r="AB97" s="68" t="str">
        <f ca="1">IF(AND(Stock_par_lots[[#This Row],[jours restants]]&gt;0,Stock_par_lots[[#This Row],[jours restants]]&lt;=60),"Proche","")</f>
        <v/>
      </c>
      <c r="BC97" s="52"/>
      <c r="BD97" s="48">
        <f t="shared" si="25"/>
        <v>0</v>
      </c>
      <c r="BE97" s="48">
        <f t="shared" si="26"/>
        <v>0</v>
      </c>
      <c r="BF97" s="46" t="str">
        <f>IFERROR(VLOOKUP(BA97,ListeProduits[],6,FALSE),"")</f>
        <v/>
      </c>
      <c r="BG97" s="47" t="str">
        <f>IFERROR(IF(Stock_par_produits[[#This Row],[Stock nim]]="","",IF(Stock_par_produits[[#This Row],[Stock nim]]&gt;Stock_par_produits[[#This Row],[Quantités restants]],"Commander","Ok")),"")</f>
        <v/>
      </c>
    </row>
    <row r="98" spans="17:59" ht="15.75" customHeight="1" x14ac:dyDescent="0.25">
      <c r="Q98" s="52"/>
      <c r="R98" s="52"/>
      <c r="S98" s="52"/>
      <c r="T98" s="52"/>
      <c r="U98" s="52"/>
      <c r="V98" s="48" t="str">
        <f t="shared" si="21"/>
        <v/>
      </c>
      <c r="W98" s="48" t="str">
        <f t="shared" si="22"/>
        <v/>
      </c>
      <c r="X98" s="43" t="str">
        <f t="shared" si="23"/>
        <v/>
      </c>
      <c r="Y98" s="44" t="str">
        <f t="shared" si="24"/>
        <v/>
      </c>
      <c r="Z98" s="53" t="str">
        <f ca="1">IFERROR(IF(Stock_par_lots[[#This Row],[Stock restant]]=0,"",Stock_par_lots[[#This Row],[Date de péremption]]-TODAY()),"")</f>
        <v/>
      </c>
      <c r="AA98" s="45" t="str">
        <f ca="1">IF(Stock_par_lots[[#This Row],[Stock restant]]=0,"",IF(Stock_par_lots[[#This Row],[jours restants]]&gt;=60,"Conforme",IF(AND(Stock_par_lots[[#This Row],[jours restants]]&lt;60,Stock_par_lots[[#This Row],[jours restants]]&gt;=30),"Surveillance",IF(AND(Stock_par_lots[[#This Row],[jours restants]]&lt;30,Stock_par_lots[[#This Row],[jours restants]]&gt;=0),"Urgente","Expiré"))))</f>
        <v>Conforme</v>
      </c>
      <c r="AB98" s="68" t="str">
        <f ca="1">IF(AND(Stock_par_lots[[#This Row],[jours restants]]&gt;0,Stock_par_lots[[#This Row],[jours restants]]&lt;=60),"Proche","")</f>
        <v/>
      </c>
      <c r="BC98" s="52"/>
      <c r="BD98" s="48">
        <f t="shared" si="25"/>
        <v>0</v>
      </c>
      <c r="BE98" s="48">
        <f t="shared" si="26"/>
        <v>0</v>
      </c>
      <c r="BF98" s="46" t="str">
        <f>IFERROR(VLOOKUP(BA98,ListeProduits[],6,FALSE),"")</f>
        <v/>
      </c>
      <c r="BG98" s="47" t="str">
        <f>IFERROR(IF(Stock_par_produits[[#This Row],[Stock nim]]="","",IF(Stock_par_produits[[#This Row],[Stock nim]]&gt;Stock_par_produits[[#This Row],[Quantités restants]],"Commander","Ok")),"")</f>
        <v/>
      </c>
    </row>
    <row r="99" spans="17:59" ht="15.75" customHeight="1" x14ac:dyDescent="0.25">
      <c r="Q99" s="52"/>
      <c r="R99" s="52"/>
      <c r="S99" s="52"/>
      <c r="T99" s="52"/>
      <c r="U99" s="52"/>
      <c r="V99" s="48" t="str">
        <f t="shared" si="21"/>
        <v/>
      </c>
      <c r="W99" s="48" t="str">
        <f t="shared" si="22"/>
        <v/>
      </c>
      <c r="X99" s="43" t="str">
        <f t="shared" si="23"/>
        <v/>
      </c>
      <c r="Y99" s="44" t="str">
        <f t="shared" si="24"/>
        <v/>
      </c>
      <c r="Z99" s="53" t="str">
        <f ca="1">IFERROR(IF(Stock_par_lots[[#This Row],[Stock restant]]=0,"",Stock_par_lots[[#This Row],[Date de péremption]]-TODAY()),"")</f>
        <v/>
      </c>
      <c r="AA99" s="45" t="str">
        <f ca="1">IF(Stock_par_lots[[#This Row],[Stock restant]]=0,"",IF(Stock_par_lots[[#This Row],[jours restants]]&gt;=60,"Conforme",IF(AND(Stock_par_lots[[#This Row],[jours restants]]&lt;60,Stock_par_lots[[#This Row],[jours restants]]&gt;=30),"Surveillance",IF(AND(Stock_par_lots[[#This Row],[jours restants]]&lt;30,Stock_par_lots[[#This Row],[jours restants]]&gt;=0),"Urgente","Expiré"))))</f>
        <v>Conforme</v>
      </c>
      <c r="AB99" s="68" t="str">
        <f ca="1">IF(AND(Stock_par_lots[[#This Row],[jours restants]]&gt;0,Stock_par_lots[[#This Row],[jours restants]]&lt;=60),"Proche","")</f>
        <v/>
      </c>
      <c r="BC99" s="52"/>
      <c r="BD99" s="48">
        <f t="shared" si="25"/>
        <v>0</v>
      </c>
      <c r="BE99" s="48">
        <f t="shared" si="26"/>
        <v>0</v>
      </c>
      <c r="BF99" s="46" t="str">
        <f>IFERROR(VLOOKUP(BA99,ListeProduits[],6,FALSE),"")</f>
        <v/>
      </c>
      <c r="BG99" s="47" t="str">
        <f>IFERROR(IF(Stock_par_produits[[#This Row],[Stock nim]]="","",IF(Stock_par_produits[[#This Row],[Stock nim]]&gt;Stock_par_produits[[#This Row],[Quantités restants]],"Commander","Ok")),"")</f>
        <v/>
      </c>
    </row>
    <row r="100" spans="17:59" ht="15.75" customHeight="1" x14ac:dyDescent="0.25">
      <c r="Q100" s="52"/>
      <c r="R100" s="52"/>
      <c r="S100" s="52"/>
      <c r="T100" s="52"/>
      <c r="U100" s="52"/>
      <c r="V100" s="48" t="str">
        <f t="shared" ref="V100:V131" si="27">IF(Q100="","",Q100)</f>
        <v/>
      </c>
      <c r="W100" s="48" t="str">
        <f t="shared" ref="W100:W131" si="28">IF(R100="","",R100)</f>
        <v/>
      </c>
      <c r="X100" s="43" t="str">
        <f t="shared" ref="X100:X131" si="29">IF(T100="","",T100)</f>
        <v/>
      </c>
      <c r="Y100" s="44" t="str">
        <f t="shared" ref="Y100:Y131" si="30">IF(S100="","",S100)</f>
        <v/>
      </c>
      <c r="Z100" s="53" t="str">
        <f ca="1">IFERROR(IF(Stock_par_lots[[#This Row],[Stock restant]]=0,"",Stock_par_lots[[#This Row],[Date de péremption]]-TODAY()),"")</f>
        <v/>
      </c>
      <c r="AA100" s="45" t="str">
        <f ca="1">IF(Stock_par_lots[[#This Row],[Stock restant]]=0,"",IF(Stock_par_lots[[#This Row],[jours restants]]&gt;=60,"Conforme",IF(AND(Stock_par_lots[[#This Row],[jours restants]]&lt;60,Stock_par_lots[[#This Row],[jours restants]]&gt;=30),"Surveillance",IF(AND(Stock_par_lots[[#This Row],[jours restants]]&lt;30,Stock_par_lots[[#This Row],[jours restants]]&gt;=0),"Urgente","Expiré"))))</f>
        <v>Conforme</v>
      </c>
      <c r="AB100" s="68" t="str">
        <f ca="1">IF(AND(Stock_par_lots[[#This Row],[jours restants]]&gt;0,Stock_par_lots[[#This Row],[jours restants]]&lt;=60),"Proche","")</f>
        <v/>
      </c>
      <c r="BC100" s="52"/>
      <c r="BD100" s="48">
        <f t="shared" ref="BD100:BD131" si="31">BA100</f>
        <v>0</v>
      </c>
      <c r="BE100" s="48">
        <f t="shared" ref="BE100:BE131" si="32">BB100</f>
        <v>0</v>
      </c>
      <c r="BF100" s="46" t="str">
        <f>IFERROR(VLOOKUP(BA100,ListeProduits[],6,FALSE),"")</f>
        <v/>
      </c>
      <c r="BG100" s="47" t="str">
        <f>IFERROR(IF(Stock_par_produits[[#This Row],[Stock nim]]="","",IF(Stock_par_produits[[#This Row],[Stock nim]]&gt;Stock_par_produits[[#This Row],[Quantités restants]],"Commander","Ok")),"")</f>
        <v/>
      </c>
    </row>
    <row r="101" spans="17:59" ht="15.75" customHeight="1" x14ac:dyDescent="0.25">
      <c r="Q101" s="52"/>
      <c r="R101" s="52"/>
      <c r="S101" s="52"/>
      <c r="T101" s="52"/>
      <c r="U101" s="52"/>
      <c r="V101" s="48" t="str">
        <f t="shared" si="27"/>
        <v/>
      </c>
      <c r="W101" s="48" t="str">
        <f t="shared" si="28"/>
        <v/>
      </c>
      <c r="X101" s="43" t="str">
        <f t="shared" si="29"/>
        <v/>
      </c>
      <c r="Y101" s="44" t="str">
        <f t="shared" si="30"/>
        <v/>
      </c>
      <c r="Z101" s="53" t="str">
        <f ca="1">IFERROR(IF(Stock_par_lots[[#This Row],[Stock restant]]=0,"",Stock_par_lots[[#This Row],[Date de péremption]]-TODAY()),"")</f>
        <v/>
      </c>
      <c r="AA101" s="45" t="str">
        <f ca="1">IF(Stock_par_lots[[#This Row],[Stock restant]]=0,"",IF(Stock_par_lots[[#This Row],[jours restants]]&gt;=60,"Conforme",IF(AND(Stock_par_lots[[#This Row],[jours restants]]&lt;60,Stock_par_lots[[#This Row],[jours restants]]&gt;=30),"Surveillance",IF(AND(Stock_par_lots[[#This Row],[jours restants]]&lt;30,Stock_par_lots[[#This Row],[jours restants]]&gt;=0),"Urgente","Expiré"))))</f>
        <v>Conforme</v>
      </c>
      <c r="AB101" s="68" t="str">
        <f ca="1">IF(AND(Stock_par_lots[[#This Row],[jours restants]]&gt;0,Stock_par_lots[[#This Row],[jours restants]]&lt;=60),"Proche","")</f>
        <v/>
      </c>
      <c r="BC101" s="52"/>
      <c r="BD101" s="48">
        <f t="shared" si="31"/>
        <v>0</v>
      </c>
      <c r="BE101" s="48">
        <f t="shared" si="32"/>
        <v>0</v>
      </c>
      <c r="BF101" s="46" t="str">
        <f>IFERROR(VLOOKUP(BA101,ListeProduits[],6,FALSE),"")</f>
        <v/>
      </c>
      <c r="BG101" s="47" t="str">
        <f>IFERROR(IF(Stock_par_produits[[#This Row],[Stock nim]]="","",IF(Stock_par_produits[[#This Row],[Stock nim]]&gt;Stock_par_produits[[#This Row],[Quantités restants]],"Commander","Ok")),"")</f>
        <v/>
      </c>
    </row>
    <row r="102" spans="17:59" ht="15.75" customHeight="1" x14ac:dyDescent="0.25">
      <c r="Q102" s="52"/>
      <c r="R102" s="52"/>
      <c r="S102" s="52"/>
      <c r="T102" s="52"/>
      <c r="U102" s="52"/>
      <c r="V102" s="48" t="str">
        <f t="shared" si="27"/>
        <v/>
      </c>
      <c r="W102" s="48" t="str">
        <f t="shared" si="28"/>
        <v/>
      </c>
      <c r="X102" s="43" t="str">
        <f t="shared" si="29"/>
        <v/>
      </c>
      <c r="Y102" s="44" t="str">
        <f t="shared" si="30"/>
        <v/>
      </c>
      <c r="Z102" s="53" t="str">
        <f ca="1">IFERROR(IF(Stock_par_lots[[#This Row],[Stock restant]]=0,"",Stock_par_lots[[#This Row],[Date de péremption]]-TODAY()),"")</f>
        <v/>
      </c>
      <c r="AA102" s="45" t="str">
        <f ca="1">IF(Stock_par_lots[[#This Row],[Stock restant]]=0,"",IF(Stock_par_lots[[#This Row],[jours restants]]&gt;=60,"Conforme",IF(AND(Stock_par_lots[[#This Row],[jours restants]]&lt;60,Stock_par_lots[[#This Row],[jours restants]]&gt;=30),"Surveillance",IF(AND(Stock_par_lots[[#This Row],[jours restants]]&lt;30,Stock_par_lots[[#This Row],[jours restants]]&gt;=0),"Urgente","Expiré"))))</f>
        <v>Conforme</v>
      </c>
      <c r="AB102" s="68" t="str">
        <f ca="1">IF(AND(Stock_par_lots[[#This Row],[jours restants]]&gt;0,Stock_par_lots[[#This Row],[jours restants]]&lt;=60),"Proche","")</f>
        <v/>
      </c>
      <c r="BC102" s="52"/>
      <c r="BD102" s="48">
        <f t="shared" si="31"/>
        <v>0</v>
      </c>
      <c r="BE102" s="48">
        <f t="shared" si="32"/>
        <v>0</v>
      </c>
      <c r="BF102" s="46" t="str">
        <f>IFERROR(VLOOKUP(BA102,ListeProduits[],6,FALSE),"")</f>
        <v/>
      </c>
      <c r="BG102" s="47" t="str">
        <f>IFERROR(IF(Stock_par_produits[[#This Row],[Stock nim]]="","",IF(Stock_par_produits[[#This Row],[Stock nim]]&gt;Stock_par_produits[[#This Row],[Quantités restants]],"Commander","Ok")),"")</f>
        <v/>
      </c>
    </row>
    <row r="103" spans="17:59" ht="15.75" customHeight="1" x14ac:dyDescent="0.25">
      <c r="Q103" s="52"/>
      <c r="R103" s="52"/>
      <c r="S103" s="52"/>
      <c r="T103" s="52"/>
      <c r="U103" s="52"/>
      <c r="V103" s="48" t="str">
        <f t="shared" si="27"/>
        <v/>
      </c>
      <c r="W103" s="48" t="str">
        <f t="shared" si="28"/>
        <v/>
      </c>
      <c r="X103" s="43" t="str">
        <f t="shared" si="29"/>
        <v/>
      </c>
      <c r="Y103" s="44" t="str">
        <f t="shared" si="30"/>
        <v/>
      </c>
      <c r="Z103" s="53" t="str">
        <f ca="1">IFERROR(IF(Stock_par_lots[[#This Row],[Stock restant]]=0,"",Stock_par_lots[[#This Row],[Date de péremption]]-TODAY()),"")</f>
        <v/>
      </c>
      <c r="AA103" s="45" t="str">
        <f ca="1">IF(Stock_par_lots[[#This Row],[Stock restant]]=0,"",IF(Stock_par_lots[[#This Row],[jours restants]]&gt;=60,"Conforme",IF(AND(Stock_par_lots[[#This Row],[jours restants]]&lt;60,Stock_par_lots[[#This Row],[jours restants]]&gt;=30),"Surveillance",IF(AND(Stock_par_lots[[#This Row],[jours restants]]&lt;30,Stock_par_lots[[#This Row],[jours restants]]&gt;=0),"Urgente","Expiré"))))</f>
        <v>Conforme</v>
      </c>
      <c r="AB103" s="68" t="str">
        <f ca="1">IF(AND(Stock_par_lots[[#This Row],[jours restants]]&gt;0,Stock_par_lots[[#This Row],[jours restants]]&lt;=60),"Proche","")</f>
        <v/>
      </c>
      <c r="BC103" s="52"/>
      <c r="BD103" s="48">
        <f t="shared" si="31"/>
        <v>0</v>
      </c>
      <c r="BE103" s="48">
        <f t="shared" si="32"/>
        <v>0</v>
      </c>
      <c r="BF103" s="46" t="str">
        <f>IFERROR(VLOOKUP(BA103,ListeProduits[],6,FALSE),"")</f>
        <v/>
      </c>
      <c r="BG103" s="47" t="str">
        <f>IFERROR(IF(Stock_par_produits[[#This Row],[Stock nim]]="","",IF(Stock_par_produits[[#This Row],[Stock nim]]&gt;Stock_par_produits[[#This Row],[Quantités restants]],"Commander","Ok")),"")</f>
        <v/>
      </c>
    </row>
    <row r="104" spans="17:59" ht="15.75" customHeight="1" x14ac:dyDescent="0.25">
      <c r="Q104" s="52"/>
      <c r="R104" s="52"/>
      <c r="S104" s="52"/>
      <c r="T104" s="52"/>
      <c r="U104" s="52"/>
      <c r="V104" s="48" t="str">
        <f t="shared" si="27"/>
        <v/>
      </c>
      <c r="W104" s="48" t="str">
        <f t="shared" si="28"/>
        <v/>
      </c>
      <c r="X104" s="43" t="str">
        <f t="shared" si="29"/>
        <v/>
      </c>
      <c r="Y104" s="44" t="str">
        <f t="shared" si="30"/>
        <v/>
      </c>
      <c r="Z104" s="53" t="str">
        <f ca="1">IFERROR(IF(Stock_par_lots[[#This Row],[Stock restant]]=0,"",Stock_par_lots[[#This Row],[Date de péremption]]-TODAY()),"")</f>
        <v/>
      </c>
      <c r="AA104" s="45" t="str">
        <f ca="1">IF(Stock_par_lots[[#This Row],[Stock restant]]=0,"",IF(Stock_par_lots[[#This Row],[jours restants]]&gt;=60,"Conforme",IF(AND(Stock_par_lots[[#This Row],[jours restants]]&lt;60,Stock_par_lots[[#This Row],[jours restants]]&gt;=30),"Surveillance",IF(AND(Stock_par_lots[[#This Row],[jours restants]]&lt;30,Stock_par_lots[[#This Row],[jours restants]]&gt;=0),"Urgente","Expiré"))))</f>
        <v>Conforme</v>
      </c>
      <c r="AB104" s="68" t="str">
        <f ca="1">IF(AND(Stock_par_lots[[#This Row],[jours restants]]&gt;0,Stock_par_lots[[#This Row],[jours restants]]&lt;=60),"Proche","")</f>
        <v/>
      </c>
      <c r="BC104" s="52"/>
      <c r="BD104" s="48">
        <f t="shared" si="31"/>
        <v>0</v>
      </c>
      <c r="BE104" s="48">
        <f t="shared" si="32"/>
        <v>0</v>
      </c>
      <c r="BF104" s="46" t="str">
        <f>IFERROR(VLOOKUP(BA104,ListeProduits[],6,FALSE),"")</f>
        <v/>
      </c>
      <c r="BG104" s="47" t="str">
        <f>IFERROR(IF(Stock_par_produits[[#This Row],[Stock nim]]="","",IF(Stock_par_produits[[#This Row],[Stock nim]]&gt;Stock_par_produits[[#This Row],[Quantités restants]],"Commander","Ok")),"")</f>
        <v/>
      </c>
    </row>
    <row r="105" spans="17:59" ht="15.75" customHeight="1" x14ac:dyDescent="0.25">
      <c r="Q105" s="52"/>
      <c r="R105" s="52"/>
      <c r="S105" s="52"/>
      <c r="T105" s="52"/>
      <c r="U105" s="52"/>
      <c r="V105" s="48" t="str">
        <f t="shared" si="27"/>
        <v/>
      </c>
      <c r="W105" s="48" t="str">
        <f t="shared" si="28"/>
        <v/>
      </c>
      <c r="X105" s="43" t="str">
        <f t="shared" si="29"/>
        <v/>
      </c>
      <c r="Y105" s="44" t="str">
        <f t="shared" si="30"/>
        <v/>
      </c>
      <c r="Z105" s="53" t="str">
        <f ca="1">IFERROR(IF(Stock_par_lots[[#This Row],[Stock restant]]=0,"",Stock_par_lots[[#This Row],[Date de péremption]]-TODAY()),"")</f>
        <v/>
      </c>
      <c r="AA105" s="45" t="str">
        <f ca="1">IF(Stock_par_lots[[#This Row],[Stock restant]]=0,"",IF(Stock_par_lots[[#This Row],[jours restants]]&gt;=60,"Conforme",IF(AND(Stock_par_lots[[#This Row],[jours restants]]&lt;60,Stock_par_lots[[#This Row],[jours restants]]&gt;=30),"Surveillance",IF(AND(Stock_par_lots[[#This Row],[jours restants]]&lt;30,Stock_par_lots[[#This Row],[jours restants]]&gt;=0),"Urgente","Expiré"))))</f>
        <v>Conforme</v>
      </c>
      <c r="AB105" s="68" t="str">
        <f ca="1">IF(AND(Stock_par_lots[[#This Row],[jours restants]]&gt;0,Stock_par_lots[[#This Row],[jours restants]]&lt;=60),"Proche","")</f>
        <v/>
      </c>
      <c r="BC105" s="52"/>
      <c r="BD105" s="48">
        <f t="shared" si="31"/>
        <v>0</v>
      </c>
      <c r="BE105" s="48">
        <f t="shared" si="32"/>
        <v>0</v>
      </c>
      <c r="BF105" s="46" t="str">
        <f>IFERROR(VLOOKUP(BA105,ListeProduits[],6,FALSE),"")</f>
        <v/>
      </c>
      <c r="BG105" s="47" t="str">
        <f>IFERROR(IF(Stock_par_produits[[#This Row],[Stock nim]]="","",IF(Stock_par_produits[[#This Row],[Stock nim]]&gt;Stock_par_produits[[#This Row],[Quantités restants]],"Commander","Ok")),"")</f>
        <v/>
      </c>
    </row>
    <row r="106" spans="17:59" ht="15.75" customHeight="1" x14ac:dyDescent="0.25">
      <c r="Q106" s="52"/>
      <c r="R106" s="52"/>
      <c r="S106" s="52"/>
      <c r="T106" s="52"/>
      <c r="U106" s="52"/>
      <c r="V106" s="48" t="str">
        <f t="shared" si="27"/>
        <v/>
      </c>
      <c r="W106" s="48" t="str">
        <f t="shared" si="28"/>
        <v/>
      </c>
      <c r="X106" s="43" t="str">
        <f t="shared" si="29"/>
        <v/>
      </c>
      <c r="Y106" s="44" t="str">
        <f t="shared" si="30"/>
        <v/>
      </c>
      <c r="Z106" s="53" t="str">
        <f ca="1">IFERROR(IF(Stock_par_lots[[#This Row],[Stock restant]]=0,"",Stock_par_lots[[#This Row],[Date de péremption]]-TODAY()),"")</f>
        <v/>
      </c>
      <c r="AA106" s="45" t="str">
        <f ca="1">IF(Stock_par_lots[[#This Row],[Stock restant]]=0,"",IF(Stock_par_lots[[#This Row],[jours restants]]&gt;=60,"Conforme",IF(AND(Stock_par_lots[[#This Row],[jours restants]]&lt;60,Stock_par_lots[[#This Row],[jours restants]]&gt;=30),"Surveillance",IF(AND(Stock_par_lots[[#This Row],[jours restants]]&lt;30,Stock_par_lots[[#This Row],[jours restants]]&gt;=0),"Urgente","Expiré"))))</f>
        <v>Conforme</v>
      </c>
      <c r="AB106" s="68" t="str">
        <f ca="1">IF(AND(Stock_par_lots[[#This Row],[jours restants]]&gt;0,Stock_par_lots[[#This Row],[jours restants]]&lt;=60),"Proche","")</f>
        <v/>
      </c>
      <c r="BC106" s="52"/>
      <c r="BD106" s="48">
        <f t="shared" si="31"/>
        <v>0</v>
      </c>
      <c r="BE106" s="48">
        <f t="shared" si="32"/>
        <v>0</v>
      </c>
      <c r="BF106" s="46" t="str">
        <f>IFERROR(VLOOKUP(BA106,ListeProduits[],6,FALSE),"")</f>
        <v/>
      </c>
      <c r="BG106" s="47" t="str">
        <f>IFERROR(IF(Stock_par_produits[[#This Row],[Stock nim]]="","",IF(Stock_par_produits[[#This Row],[Stock nim]]&gt;Stock_par_produits[[#This Row],[Quantités restants]],"Commander","Ok")),"")</f>
        <v/>
      </c>
    </row>
    <row r="107" spans="17:59" ht="15.75" customHeight="1" x14ac:dyDescent="0.25">
      <c r="Q107" s="52"/>
      <c r="R107" s="52"/>
      <c r="S107" s="52"/>
      <c r="T107" s="52"/>
      <c r="U107" s="52"/>
      <c r="V107" s="48" t="str">
        <f t="shared" si="27"/>
        <v/>
      </c>
      <c r="W107" s="48" t="str">
        <f t="shared" si="28"/>
        <v/>
      </c>
      <c r="X107" s="43" t="str">
        <f t="shared" si="29"/>
        <v/>
      </c>
      <c r="Y107" s="44" t="str">
        <f t="shared" si="30"/>
        <v/>
      </c>
      <c r="Z107" s="53" t="str">
        <f ca="1">IFERROR(IF(Stock_par_lots[[#This Row],[Stock restant]]=0,"",Stock_par_lots[[#This Row],[Date de péremption]]-TODAY()),"")</f>
        <v/>
      </c>
      <c r="AA107" s="45" t="str">
        <f ca="1">IF(Stock_par_lots[[#This Row],[Stock restant]]=0,"",IF(Stock_par_lots[[#This Row],[jours restants]]&gt;=60,"Conforme",IF(AND(Stock_par_lots[[#This Row],[jours restants]]&lt;60,Stock_par_lots[[#This Row],[jours restants]]&gt;=30),"Surveillance",IF(AND(Stock_par_lots[[#This Row],[jours restants]]&lt;30,Stock_par_lots[[#This Row],[jours restants]]&gt;=0),"Urgente","Expiré"))))</f>
        <v>Conforme</v>
      </c>
      <c r="AB107" s="68" t="str">
        <f ca="1">IF(AND(Stock_par_lots[[#This Row],[jours restants]]&gt;0,Stock_par_lots[[#This Row],[jours restants]]&lt;=60),"Proche","")</f>
        <v/>
      </c>
      <c r="BC107" s="52"/>
      <c r="BD107" s="48">
        <f t="shared" si="31"/>
        <v>0</v>
      </c>
      <c r="BE107" s="48">
        <f t="shared" si="32"/>
        <v>0</v>
      </c>
      <c r="BF107" s="46" t="str">
        <f>IFERROR(VLOOKUP(BA107,ListeProduits[],6,FALSE),"")</f>
        <v/>
      </c>
      <c r="BG107" s="47" t="str">
        <f>IFERROR(IF(Stock_par_produits[[#This Row],[Stock nim]]="","",IF(Stock_par_produits[[#This Row],[Stock nim]]&gt;Stock_par_produits[[#This Row],[Quantités restants]],"Commander","Ok")),"")</f>
        <v/>
      </c>
    </row>
    <row r="108" spans="17:59" ht="15.75" customHeight="1" x14ac:dyDescent="0.25">
      <c r="Q108" s="52"/>
      <c r="R108" s="52"/>
      <c r="S108" s="52"/>
      <c r="T108" s="52"/>
      <c r="U108" s="52"/>
      <c r="V108" s="48" t="str">
        <f t="shared" si="27"/>
        <v/>
      </c>
      <c r="W108" s="48" t="str">
        <f t="shared" si="28"/>
        <v/>
      </c>
      <c r="X108" s="43" t="str">
        <f t="shared" si="29"/>
        <v/>
      </c>
      <c r="Y108" s="44" t="str">
        <f t="shared" si="30"/>
        <v/>
      </c>
      <c r="Z108" s="53" t="str">
        <f ca="1">IFERROR(IF(Stock_par_lots[[#This Row],[Stock restant]]=0,"",Stock_par_lots[[#This Row],[Date de péremption]]-TODAY()),"")</f>
        <v/>
      </c>
      <c r="AA108" s="45" t="str">
        <f ca="1">IF(Stock_par_lots[[#This Row],[Stock restant]]=0,"",IF(Stock_par_lots[[#This Row],[jours restants]]&gt;=60,"Conforme",IF(AND(Stock_par_lots[[#This Row],[jours restants]]&lt;60,Stock_par_lots[[#This Row],[jours restants]]&gt;=30),"Surveillance",IF(AND(Stock_par_lots[[#This Row],[jours restants]]&lt;30,Stock_par_lots[[#This Row],[jours restants]]&gt;=0),"Urgente","Expiré"))))</f>
        <v>Conforme</v>
      </c>
      <c r="AB108" s="68" t="str">
        <f ca="1">IF(AND(Stock_par_lots[[#This Row],[jours restants]]&gt;0,Stock_par_lots[[#This Row],[jours restants]]&lt;=60),"Proche","")</f>
        <v/>
      </c>
      <c r="BC108" s="52"/>
      <c r="BD108" s="48">
        <f t="shared" si="31"/>
        <v>0</v>
      </c>
      <c r="BE108" s="48">
        <f t="shared" si="32"/>
        <v>0</v>
      </c>
      <c r="BF108" s="46" t="str">
        <f>IFERROR(VLOOKUP(BA108,ListeProduits[],6,FALSE),"")</f>
        <v/>
      </c>
      <c r="BG108" s="47" t="str">
        <f>IFERROR(IF(Stock_par_produits[[#This Row],[Stock nim]]="","",IF(Stock_par_produits[[#This Row],[Stock nim]]&gt;Stock_par_produits[[#This Row],[Quantités restants]],"Commander","Ok")),"")</f>
        <v/>
      </c>
    </row>
    <row r="109" spans="17:59" ht="15.75" customHeight="1" x14ac:dyDescent="0.25">
      <c r="Q109" s="52"/>
      <c r="R109" s="52"/>
      <c r="S109" s="52"/>
      <c r="T109" s="52"/>
      <c r="U109" s="52"/>
      <c r="V109" s="48" t="str">
        <f t="shared" si="27"/>
        <v/>
      </c>
      <c r="W109" s="48" t="str">
        <f t="shared" si="28"/>
        <v/>
      </c>
      <c r="X109" s="43" t="str">
        <f t="shared" si="29"/>
        <v/>
      </c>
      <c r="Y109" s="44" t="str">
        <f t="shared" si="30"/>
        <v/>
      </c>
      <c r="Z109" s="53" t="str">
        <f ca="1">IFERROR(IF(Stock_par_lots[[#This Row],[Stock restant]]=0,"",Stock_par_lots[[#This Row],[Date de péremption]]-TODAY()),"")</f>
        <v/>
      </c>
      <c r="AA109" s="45" t="str">
        <f ca="1">IF(Stock_par_lots[[#This Row],[Stock restant]]=0,"",IF(Stock_par_lots[[#This Row],[jours restants]]&gt;=60,"Conforme",IF(AND(Stock_par_lots[[#This Row],[jours restants]]&lt;60,Stock_par_lots[[#This Row],[jours restants]]&gt;=30),"Surveillance",IF(AND(Stock_par_lots[[#This Row],[jours restants]]&lt;30,Stock_par_lots[[#This Row],[jours restants]]&gt;=0),"Urgente","Expiré"))))</f>
        <v>Conforme</v>
      </c>
      <c r="AB109" s="68" t="str">
        <f ca="1">IF(AND(Stock_par_lots[[#This Row],[jours restants]]&gt;0,Stock_par_lots[[#This Row],[jours restants]]&lt;=60),"Proche","")</f>
        <v/>
      </c>
      <c r="BC109" s="52"/>
      <c r="BD109" s="48">
        <f t="shared" si="31"/>
        <v>0</v>
      </c>
      <c r="BE109" s="48">
        <f t="shared" si="32"/>
        <v>0</v>
      </c>
      <c r="BF109" s="46" t="str">
        <f>IFERROR(VLOOKUP(BA109,ListeProduits[],6,FALSE),"")</f>
        <v/>
      </c>
      <c r="BG109" s="47" t="str">
        <f>IFERROR(IF(Stock_par_produits[[#This Row],[Stock nim]]="","",IF(Stock_par_produits[[#This Row],[Stock nim]]&gt;Stock_par_produits[[#This Row],[Quantités restants]],"Commander","Ok")),"")</f>
        <v/>
      </c>
    </row>
    <row r="110" spans="17:59" ht="15.75" customHeight="1" x14ac:dyDescent="0.25">
      <c r="Q110" s="52"/>
      <c r="R110" s="52"/>
      <c r="S110" s="52"/>
      <c r="T110" s="52"/>
      <c r="U110" s="52"/>
      <c r="V110" s="48" t="str">
        <f t="shared" si="27"/>
        <v/>
      </c>
      <c r="W110" s="48" t="str">
        <f t="shared" si="28"/>
        <v/>
      </c>
      <c r="X110" s="43" t="str">
        <f t="shared" si="29"/>
        <v/>
      </c>
      <c r="Y110" s="44" t="str">
        <f t="shared" si="30"/>
        <v/>
      </c>
      <c r="Z110" s="53" t="str">
        <f ca="1">IFERROR(IF(Stock_par_lots[[#This Row],[Stock restant]]=0,"",Stock_par_lots[[#This Row],[Date de péremption]]-TODAY()),"")</f>
        <v/>
      </c>
      <c r="AA110" s="45" t="str">
        <f ca="1">IF(Stock_par_lots[[#This Row],[Stock restant]]=0,"",IF(Stock_par_lots[[#This Row],[jours restants]]&gt;=60,"Conforme",IF(AND(Stock_par_lots[[#This Row],[jours restants]]&lt;60,Stock_par_lots[[#This Row],[jours restants]]&gt;=30),"Surveillance",IF(AND(Stock_par_lots[[#This Row],[jours restants]]&lt;30,Stock_par_lots[[#This Row],[jours restants]]&gt;=0),"Urgente","Expiré"))))</f>
        <v>Conforme</v>
      </c>
      <c r="AB110" s="68" t="str">
        <f ca="1">IF(AND(Stock_par_lots[[#This Row],[jours restants]]&gt;0,Stock_par_lots[[#This Row],[jours restants]]&lt;=60),"Proche","")</f>
        <v/>
      </c>
      <c r="BC110" s="52"/>
      <c r="BD110" s="48">
        <f t="shared" si="31"/>
        <v>0</v>
      </c>
      <c r="BE110" s="48">
        <f t="shared" si="32"/>
        <v>0</v>
      </c>
      <c r="BF110" s="46" t="str">
        <f>IFERROR(VLOOKUP(BA110,ListeProduits[],6,FALSE),"")</f>
        <v/>
      </c>
      <c r="BG110" s="47" t="str">
        <f>IFERROR(IF(Stock_par_produits[[#This Row],[Stock nim]]="","",IF(Stock_par_produits[[#This Row],[Stock nim]]&gt;Stock_par_produits[[#This Row],[Quantités restants]],"Commander","Ok")),"")</f>
        <v/>
      </c>
    </row>
    <row r="111" spans="17:59" ht="15.75" customHeight="1" x14ac:dyDescent="0.25">
      <c r="Q111" s="52"/>
      <c r="R111" s="52"/>
      <c r="S111" s="52"/>
      <c r="T111" s="52"/>
      <c r="U111" s="52"/>
      <c r="V111" s="48" t="str">
        <f t="shared" si="27"/>
        <v/>
      </c>
      <c r="W111" s="48" t="str">
        <f t="shared" si="28"/>
        <v/>
      </c>
      <c r="X111" s="43" t="str">
        <f t="shared" si="29"/>
        <v/>
      </c>
      <c r="Y111" s="44" t="str">
        <f t="shared" si="30"/>
        <v/>
      </c>
      <c r="Z111" s="53" t="str">
        <f ca="1">IFERROR(IF(Stock_par_lots[[#This Row],[Stock restant]]=0,"",Stock_par_lots[[#This Row],[Date de péremption]]-TODAY()),"")</f>
        <v/>
      </c>
      <c r="AA111" s="45" t="str">
        <f ca="1">IF(Stock_par_lots[[#This Row],[Stock restant]]=0,"",IF(Stock_par_lots[[#This Row],[jours restants]]&gt;=60,"Conforme",IF(AND(Stock_par_lots[[#This Row],[jours restants]]&lt;60,Stock_par_lots[[#This Row],[jours restants]]&gt;=30),"Surveillance",IF(AND(Stock_par_lots[[#This Row],[jours restants]]&lt;30,Stock_par_lots[[#This Row],[jours restants]]&gt;=0),"Urgente","Expiré"))))</f>
        <v>Conforme</v>
      </c>
      <c r="AB111" s="68" t="str">
        <f ca="1">IF(AND(Stock_par_lots[[#This Row],[jours restants]]&gt;0,Stock_par_lots[[#This Row],[jours restants]]&lt;=60),"Proche","")</f>
        <v/>
      </c>
      <c r="BC111" s="52"/>
      <c r="BD111" s="48">
        <f t="shared" si="31"/>
        <v>0</v>
      </c>
      <c r="BE111" s="48">
        <f t="shared" si="32"/>
        <v>0</v>
      </c>
      <c r="BF111" s="46" t="str">
        <f>IFERROR(VLOOKUP(BA111,ListeProduits[],6,FALSE),"")</f>
        <v/>
      </c>
      <c r="BG111" s="47" t="str">
        <f>IFERROR(IF(Stock_par_produits[[#This Row],[Stock nim]]="","",IF(Stock_par_produits[[#This Row],[Stock nim]]&gt;Stock_par_produits[[#This Row],[Quantités restants]],"Commander","Ok")),"")</f>
        <v/>
      </c>
    </row>
    <row r="112" spans="17:59" ht="15.75" customHeight="1" x14ac:dyDescent="0.25">
      <c r="Q112" s="52"/>
      <c r="R112" s="52"/>
      <c r="S112" s="52"/>
      <c r="T112" s="52"/>
      <c r="U112" s="52"/>
      <c r="V112" s="48" t="str">
        <f t="shared" si="27"/>
        <v/>
      </c>
      <c r="W112" s="48" t="str">
        <f t="shared" si="28"/>
        <v/>
      </c>
      <c r="X112" s="43" t="str">
        <f t="shared" si="29"/>
        <v/>
      </c>
      <c r="Y112" s="44" t="str">
        <f t="shared" si="30"/>
        <v/>
      </c>
      <c r="Z112" s="53" t="str">
        <f ca="1">IFERROR(IF(Stock_par_lots[[#This Row],[Stock restant]]=0,"",Stock_par_lots[[#This Row],[Date de péremption]]-TODAY()),"")</f>
        <v/>
      </c>
      <c r="AA112" s="45" t="str">
        <f ca="1">IF(Stock_par_lots[[#This Row],[Stock restant]]=0,"",IF(Stock_par_lots[[#This Row],[jours restants]]&gt;=60,"Conforme",IF(AND(Stock_par_lots[[#This Row],[jours restants]]&lt;60,Stock_par_lots[[#This Row],[jours restants]]&gt;=30),"Surveillance",IF(AND(Stock_par_lots[[#This Row],[jours restants]]&lt;30,Stock_par_lots[[#This Row],[jours restants]]&gt;=0),"Urgente","Expiré"))))</f>
        <v>Conforme</v>
      </c>
      <c r="AB112" s="68" t="str">
        <f ca="1">IF(AND(Stock_par_lots[[#This Row],[jours restants]]&gt;0,Stock_par_lots[[#This Row],[jours restants]]&lt;=60),"Proche","")</f>
        <v/>
      </c>
      <c r="BA112" s="52"/>
      <c r="BB112" s="52"/>
      <c r="BC112" s="52"/>
      <c r="BD112" s="48">
        <f t="shared" si="31"/>
        <v>0</v>
      </c>
      <c r="BE112" s="48">
        <f t="shared" si="32"/>
        <v>0</v>
      </c>
      <c r="BF112" s="46" t="str">
        <f>IFERROR(VLOOKUP(BA112,ListeProduits[],6,FALSE),"")</f>
        <v/>
      </c>
      <c r="BG112" s="47" t="str">
        <f>IFERROR(IF(Stock_par_produits[[#This Row],[Stock nim]]="","",IF(Stock_par_produits[[#This Row],[Stock nim]]&gt;Stock_par_produits[[#This Row],[Quantités restants]],"Commander","Ok")),"")</f>
        <v/>
      </c>
    </row>
    <row r="113" spans="17:59" ht="15.75" customHeight="1" x14ac:dyDescent="0.25">
      <c r="Q113" s="52"/>
      <c r="R113" s="52"/>
      <c r="S113" s="52"/>
      <c r="T113" s="52"/>
      <c r="U113" s="52"/>
      <c r="V113" s="48" t="str">
        <f t="shared" si="27"/>
        <v/>
      </c>
      <c r="W113" s="48" t="str">
        <f t="shared" si="28"/>
        <v/>
      </c>
      <c r="X113" s="43" t="str">
        <f t="shared" si="29"/>
        <v/>
      </c>
      <c r="Y113" s="44" t="str">
        <f t="shared" si="30"/>
        <v/>
      </c>
      <c r="Z113" s="53" t="str">
        <f ca="1">IFERROR(IF(Stock_par_lots[[#This Row],[Stock restant]]=0,"",Stock_par_lots[[#This Row],[Date de péremption]]-TODAY()),"")</f>
        <v/>
      </c>
      <c r="AA113" s="45" t="str">
        <f ca="1">IF(Stock_par_lots[[#This Row],[Stock restant]]=0,"",IF(Stock_par_lots[[#This Row],[jours restants]]&gt;=60,"Conforme",IF(AND(Stock_par_lots[[#This Row],[jours restants]]&lt;60,Stock_par_lots[[#This Row],[jours restants]]&gt;=30),"Surveillance",IF(AND(Stock_par_lots[[#This Row],[jours restants]]&lt;30,Stock_par_lots[[#This Row],[jours restants]]&gt;=0),"Urgente","Expiré"))))</f>
        <v>Conforme</v>
      </c>
      <c r="AB113" s="68" t="str">
        <f ca="1">IF(AND(Stock_par_lots[[#This Row],[jours restants]]&gt;0,Stock_par_lots[[#This Row],[jours restants]]&lt;=60),"Proche","")</f>
        <v/>
      </c>
      <c r="BA113" s="52"/>
      <c r="BB113" s="52"/>
      <c r="BC113" s="52"/>
      <c r="BD113" s="48">
        <f t="shared" si="31"/>
        <v>0</v>
      </c>
      <c r="BE113" s="48">
        <f t="shared" si="32"/>
        <v>0</v>
      </c>
      <c r="BF113" s="46" t="str">
        <f>IFERROR(VLOOKUP(BA113,ListeProduits[],6,FALSE),"")</f>
        <v/>
      </c>
      <c r="BG113" s="47" t="str">
        <f>IFERROR(IF(Stock_par_produits[[#This Row],[Stock nim]]="","",IF(Stock_par_produits[[#This Row],[Stock nim]]&gt;Stock_par_produits[[#This Row],[Quantités restants]],"Commander","Ok")),"")</f>
        <v/>
      </c>
    </row>
    <row r="114" spans="17:59" ht="15.75" customHeight="1" x14ac:dyDescent="0.25">
      <c r="Q114" s="52"/>
      <c r="R114" s="52"/>
      <c r="S114" s="52"/>
      <c r="T114" s="52"/>
      <c r="U114" s="52"/>
      <c r="V114" s="48" t="str">
        <f t="shared" si="27"/>
        <v/>
      </c>
      <c r="W114" s="48" t="str">
        <f t="shared" si="28"/>
        <v/>
      </c>
      <c r="X114" s="43" t="str">
        <f t="shared" si="29"/>
        <v/>
      </c>
      <c r="Y114" s="44" t="str">
        <f t="shared" si="30"/>
        <v/>
      </c>
      <c r="Z114" s="53" t="str">
        <f ca="1">IFERROR(IF(Stock_par_lots[[#This Row],[Stock restant]]=0,"",Stock_par_lots[[#This Row],[Date de péremption]]-TODAY()),"")</f>
        <v/>
      </c>
      <c r="AA114" s="45" t="str">
        <f ca="1">IF(Stock_par_lots[[#This Row],[Stock restant]]=0,"",IF(Stock_par_lots[[#This Row],[jours restants]]&gt;=60,"Conforme",IF(AND(Stock_par_lots[[#This Row],[jours restants]]&lt;60,Stock_par_lots[[#This Row],[jours restants]]&gt;=30),"Surveillance",IF(AND(Stock_par_lots[[#This Row],[jours restants]]&lt;30,Stock_par_lots[[#This Row],[jours restants]]&gt;=0),"Urgente","Expiré"))))</f>
        <v>Conforme</v>
      </c>
      <c r="AB114" s="68" t="str">
        <f ca="1">IF(AND(Stock_par_lots[[#This Row],[jours restants]]&gt;0,Stock_par_lots[[#This Row],[jours restants]]&lt;=60),"Proche","")</f>
        <v/>
      </c>
      <c r="BA114" s="52"/>
      <c r="BB114" s="52"/>
      <c r="BC114" s="52"/>
      <c r="BD114" s="48">
        <f t="shared" si="31"/>
        <v>0</v>
      </c>
      <c r="BE114" s="48">
        <f t="shared" si="32"/>
        <v>0</v>
      </c>
      <c r="BF114" s="46" t="str">
        <f>IFERROR(VLOOKUP(BA114,ListeProduits[],6,FALSE),"")</f>
        <v/>
      </c>
      <c r="BG114" s="47" t="str">
        <f>IFERROR(IF(Stock_par_produits[[#This Row],[Stock nim]]="","",IF(Stock_par_produits[[#This Row],[Stock nim]]&gt;Stock_par_produits[[#This Row],[Quantités restants]],"Commander","Ok")),"")</f>
        <v/>
      </c>
    </row>
    <row r="115" spans="17:59" ht="15.75" customHeight="1" x14ac:dyDescent="0.25">
      <c r="Q115" s="52"/>
      <c r="R115" s="52"/>
      <c r="S115" s="52"/>
      <c r="T115" s="52"/>
      <c r="U115" s="52"/>
      <c r="V115" s="48" t="str">
        <f t="shared" si="27"/>
        <v/>
      </c>
      <c r="W115" s="48" t="str">
        <f t="shared" si="28"/>
        <v/>
      </c>
      <c r="X115" s="43" t="str">
        <f t="shared" si="29"/>
        <v/>
      </c>
      <c r="Y115" s="44" t="str">
        <f t="shared" si="30"/>
        <v/>
      </c>
      <c r="Z115" s="53" t="str">
        <f ca="1">IFERROR(IF(Stock_par_lots[[#This Row],[Stock restant]]=0,"",Stock_par_lots[[#This Row],[Date de péremption]]-TODAY()),"")</f>
        <v/>
      </c>
      <c r="AA115" s="45" t="str">
        <f ca="1">IF(Stock_par_lots[[#This Row],[Stock restant]]=0,"",IF(Stock_par_lots[[#This Row],[jours restants]]&gt;=60,"Conforme",IF(AND(Stock_par_lots[[#This Row],[jours restants]]&lt;60,Stock_par_lots[[#This Row],[jours restants]]&gt;=30),"Surveillance",IF(AND(Stock_par_lots[[#This Row],[jours restants]]&lt;30,Stock_par_lots[[#This Row],[jours restants]]&gt;=0),"Urgente","Expiré"))))</f>
        <v>Conforme</v>
      </c>
      <c r="AB115" s="68" t="str">
        <f ca="1">IF(AND(Stock_par_lots[[#This Row],[jours restants]]&gt;0,Stock_par_lots[[#This Row],[jours restants]]&lt;=60),"Proche","")</f>
        <v/>
      </c>
      <c r="BA115" s="52"/>
      <c r="BB115" s="52"/>
      <c r="BC115" s="52"/>
      <c r="BD115" s="48">
        <f t="shared" si="31"/>
        <v>0</v>
      </c>
      <c r="BE115" s="48">
        <f t="shared" si="32"/>
        <v>0</v>
      </c>
      <c r="BF115" s="46" t="str">
        <f>IFERROR(VLOOKUP(BA115,ListeProduits[],6,FALSE),"")</f>
        <v/>
      </c>
      <c r="BG115" s="47" t="str">
        <f>IFERROR(IF(Stock_par_produits[[#This Row],[Stock nim]]="","",IF(Stock_par_produits[[#This Row],[Stock nim]]&gt;Stock_par_produits[[#This Row],[Quantités restants]],"Commander","Ok")),"")</f>
        <v/>
      </c>
    </row>
    <row r="116" spans="17:59" ht="15.75" customHeight="1" x14ac:dyDescent="0.25">
      <c r="Q116" s="52"/>
      <c r="R116" s="52"/>
      <c r="S116" s="52"/>
      <c r="T116" s="52"/>
      <c r="U116" s="52"/>
      <c r="V116" s="48" t="str">
        <f t="shared" si="27"/>
        <v/>
      </c>
      <c r="W116" s="48" t="str">
        <f t="shared" si="28"/>
        <v/>
      </c>
      <c r="X116" s="43" t="str">
        <f t="shared" si="29"/>
        <v/>
      </c>
      <c r="Y116" s="44" t="str">
        <f t="shared" si="30"/>
        <v/>
      </c>
      <c r="Z116" s="53" t="str">
        <f ca="1">IFERROR(IF(Stock_par_lots[[#This Row],[Stock restant]]=0,"",Stock_par_lots[[#This Row],[Date de péremption]]-TODAY()),"")</f>
        <v/>
      </c>
      <c r="AA116" s="45" t="str">
        <f ca="1">IF(Stock_par_lots[[#This Row],[Stock restant]]=0,"",IF(Stock_par_lots[[#This Row],[jours restants]]&gt;=60,"Conforme",IF(AND(Stock_par_lots[[#This Row],[jours restants]]&lt;60,Stock_par_lots[[#This Row],[jours restants]]&gt;=30),"Surveillance",IF(AND(Stock_par_lots[[#This Row],[jours restants]]&lt;30,Stock_par_lots[[#This Row],[jours restants]]&gt;=0),"Urgente","Expiré"))))</f>
        <v>Conforme</v>
      </c>
      <c r="AB116" s="68" t="str">
        <f ca="1">IF(AND(Stock_par_lots[[#This Row],[jours restants]]&gt;0,Stock_par_lots[[#This Row],[jours restants]]&lt;=60),"Proche","")</f>
        <v/>
      </c>
      <c r="BA116" s="52"/>
      <c r="BB116" s="52"/>
      <c r="BC116" s="52"/>
      <c r="BD116" s="48">
        <f t="shared" si="31"/>
        <v>0</v>
      </c>
      <c r="BE116" s="48">
        <f t="shared" si="32"/>
        <v>0</v>
      </c>
      <c r="BF116" s="46" t="str">
        <f>IFERROR(VLOOKUP(BA116,ListeProduits[],6,FALSE),"")</f>
        <v/>
      </c>
      <c r="BG116" s="47" t="str">
        <f>IFERROR(IF(Stock_par_produits[[#This Row],[Stock nim]]="","",IF(Stock_par_produits[[#This Row],[Stock nim]]&gt;Stock_par_produits[[#This Row],[Quantités restants]],"Commander","Ok")),"")</f>
        <v/>
      </c>
    </row>
    <row r="117" spans="17:59" ht="15.75" customHeight="1" x14ac:dyDescent="0.25">
      <c r="Q117" s="52"/>
      <c r="R117" s="52"/>
      <c r="S117" s="52"/>
      <c r="T117" s="52"/>
      <c r="U117" s="52"/>
      <c r="V117" s="48" t="str">
        <f t="shared" si="27"/>
        <v/>
      </c>
      <c r="W117" s="48" t="str">
        <f t="shared" si="28"/>
        <v/>
      </c>
      <c r="X117" s="43" t="str">
        <f t="shared" si="29"/>
        <v/>
      </c>
      <c r="Y117" s="44" t="str">
        <f t="shared" si="30"/>
        <v/>
      </c>
      <c r="Z117" s="53" t="str">
        <f ca="1">IFERROR(IF(Stock_par_lots[[#This Row],[Stock restant]]=0,"",Stock_par_lots[[#This Row],[Date de péremption]]-TODAY()),"")</f>
        <v/>
      </c>
      <c r="AA117" s="45" t="str">
        <f ca="1">IF(Stock_par_lots[[#This Row],[Stock restant]]=0,"",IF(Stock_par_lots[[#This Row],[jours restants]]&gt;=60,"Conforme",IF(AND(Stock_par_lots[[#This Row],[jours restants]]&lt;60,Stock_par_lots[[#This Row],[jours restants]]&gt;=30),"Surveillance",IF(AND(Stock_par_lots[[#This Row],[jours restants]]&lt;30,Stock_par_lots[[#This Row],[jours restants]]&gt;=0),"Urgente","Expiré"))))</f>
        <v>Conforme</v>
      </c>
      <c r="AB117" s="68" t="str">
        <f ca="1">IF(AND(Stock_par_lots[[#This Row],[jours restants]]&gt;0,Stock_par_lots[[#This Row],[jours restants]]&lt;=60),"Proche","")</f>
        <v/>
      </c>
      <c r="BA117" s="52"/>
      <c r="BB117" s="52"/>
      <c r="BC117" s="52"/>
      <c r="BD117" s="48">
        <f t="shared" si="31"/>
        <v>0</v>
      </c>
      <c r="BE117" s="48">
        <f t="shared" si="32"/>
        <v>0</v>
      </c>
      <c r="BF117" s="46" t="str">
        <f>IFERROR(VLOOKUP(BA117,ListeProduits[],6,FALSE),"")</f>
        <v/>
      </c>
      <c r="BG117" s="47" t="str">
        <f>IFERROR(IF(Stock_par_produits[[#This Row],[Stock nim]]="","",IF(Stock_par_produits[[#This Row],[Stock nim]]&gt;Stock_par_produits[[#This Row],[Quantités restants]],"Commander","Ok")),"")</f>
        <v/>
      </c>
    </row>
    <row r="118" spans="17:59" ht="15.75" customHeight="1" x14ac:dyDescent="0.25">
      <c r="Q118" s="52"/>
      <c r="R118" s="52"/>
      <c r="S118" s="52"/>
      <c r="T118" s="52"/>
      <c r="U118" s="52"/>
      <c r="V118" s="48" t="str">
        <f t="shared" si="27"/>
        <v/>
      </c>
      <c r="W118" s="48" t="str">
        <f t="shared" si="28"/>
        <v/>
      </c>
      <c r="X118" s="43" t="str">
        <f t="shared" si="29"/>
        <v/>
      </c>
      <c r="Y118" s="44" t="str">
        <f t="shared" si="30"/>
        <v/>
      </c>
      <c r="Z118" s="53" t="str">
        <f ca="1">IFERROR(IF(Stock_par_lots[[#This Row],[Stock restant]]=0,"",Stock_par_lots[[#This Row],[Date de péremption]]-TODAY()),"")</f>
        <v/>
      </c>
      <c r="AA118" s="45" t="str">
        <f ca="1">IF(Stock_par_lots[[#This Row],[Stock restant]]=0,"",IF(Stock_par_lots[[#This Row],[jours restants]]&gt;=60,"Conforme",IF(AND(Stock_par_lots[[#This Row],[jours restants]]&lt;60,Stock_par_lots[[#This Row],[jours restants]]&gt;=30),"Surveillance",IF(AND(Stock_par_lots[[#This Row],[jours restants]]&lt;30,Stock_par_lots[[#This Row],[jours restants]]&gt;=0),"Urgente","Expiré"))))</f>
        <v>Conforme</v>
      </c>
      <c r="AB118" s="68" t="str">
        <f ca="1">IF(AND(Stock_par_lots[[#This Row],[jours restants]]&gt;0,Stock_par_lots[[#This Row],[jours restants]]&lt;=60),"Proche","")</f>
        <v/>
      </c>
      <c r="BA118" s="52"/>
      <c r="BB118" s="52"/>
      <c r="BC118" s="52"/>
      <c r="BD118" s="48">
        <f t="shared" si="31"/>
        <v>0</v>
      </c>
      <c r="BE118" s="48">
        <f t="shared" si="32"/>
        <v>0</v>
      </c>
      <c r="BF118" s="46" t="str">
        <f>IFERROR(VLOOKUP(BA118,ListeProduits[],6,FALSE),"")</f>
        <v/>
      </c>
      <c r="BG118" s="47" t="str">
        <f>IFERROR(IF(Stock_par_produits[[#This Row],[Stock nim]]="","",IF(Stock_par_produits[[#This Row],[Stock nim]]&gt;Stock_par_produits[[#This Row],[Quantités restants]],"Commander","Ok")),"")</f>
        <v/>
      </c>
    </row>
    <row r="119" spans="17:59" ht="15.75" customHeight="1" x14ac:dyDescent="0.25">
      <c r="Q119" s="52"/>
      <c r="R119" s="52"/>
      <c r="S119" s="52"/>
      <c r="T119" s="52"/>
      <c r="U119" s="52"/>
      <c r="V119" s="48" t="str">
        <f t="shared" si="27"/>
        <v/>
      </c>
      <c r="W119" s="48" t="str">
        <f t="shared" si="28"/>
        <v/>
      </c>
      <c r="X119" s="43" t="str">
        <f t="shared" si="29"/>
        <v/>
      </c>
      <c r="Y119" s="44" t="str">
        <f t="shared" si="30"/>
        <v/>
      </c>
      <c r="Z119" s="53" t="str">
        <f ca="1">IFERROR(IF(Stock_par_lots[[#This Row],[Stock restant]]=0,"",Stock_par_lots[[#This Row],[Date de péremption]]-TODAY()),"")</f>
        <v/>
      </c>
      <c r="AA119" s="45" t="str">
        <f ca="1">IF(Stock_par_lots[[#This Row],[Stock restant]]=0,"",IF(Stock_par_lots[[#This Row],[jours restants]]&gt;=60,"Conforme",IF(AND(Stock_par_lots[[#This Row],[jours restants]]&lt;60,Stock_par_lots[[#This Row],[jours restants]]&gt;=30),"Surveillance",IF(AND(Stock_par_lots[[#This Row],[jours restants]]&lt;30,Stock_par_lots[[#This Row],[jours restants]]&gt;=0),"Urgente","Expiré"))))</f>
        <v>Conforme</v>
      </c>
      <c r="AB119" s="68" t="str">
        <f ca="1">IF(AND(Stock_par_lots[[#This Row],[jours restants]]&gt;0,Stock_par_lots[[#This Row],[jours restants]]&lt;=60),"Proche","")</f>
        <v/>
      </c>
      <c r="BA119" s="52"/>
      <c r="BB119" s="52"/>
      <c r="BC119" s="52"/>
      <c r="BD119" s="48">
        <f t="shared" si="31"/>
        <v>0</v>
      </c>
      <c r="BE119" s="48">
        <f t="shared" si="32"/>
        <v>0</v>
      </c>
      <c r="BF119" s="46" t="str">
        <f>IFERROR(VLOOKUP(BA119,ListeProduits[],6,FALSE),"")</f>
        <v/>
      </c>
      <c r="BG119" s="47" t="str">
        <f>IFERROR(IF(Stock_par_produits[[#This Row],[Stock nim]]="","",IF(Stock_par_produits[[#This Row],[Stock nim]]&gt;Stock_par_produits[[#This Row],[Quantités restants]],"Commander","Ok")),"")</f>
        <v/>
      </c>
    </row>
    <row r="120" spans="17:59" ht="15.75" customHeight="1" x14ac:dyDescent="0.25">
      <c r="Q120" s="52"/>
      <c r="R120" s="52"/>
      <c r="S120" s="52"/>
      <c r="T120" s="52"/>
      <c r="U120" s="52"/>
      <c r="V120" s="48" t="str">
        <f t="shared" si="27"/>
        <v/>
      </c>
      <c r="W120" s="48" t="str">
        <f t="shared" si="28"/>
        <v/>
      </c>
      <c r="X120" s="43" t="str">
        <f t="shared" si="29"/>
        <v/>
      </c>
      <c r="Y120" s="44" t="str">
        <f t="shared" si="30"/>
        <v/>
      </c>
      <c r="Z120" s="53" t="str">
        <f ca="1">IFERROR(IF(Stock_par_lots[[#This Row],[Stock restant]]=0,"",Stock_par_lots[[#This Row],[Date de péremption]]-TODAY()),"")</f>
        <v/>
      </c>
      <c r="AA120" s="45" t="str">
        <f ca="1">IF(Stock_par_lots[[#This Row],[Stock restant]]=0,"",IF(Stock_par_lots[[#This Row],[jours restants]]&gt;=60,"Conforme",IF(AND(Stock_par_lots[[#This Row],[jours restants]]&lt;60,Stock_par_lots[[#This Row],[jours restants]]&gt;=30),"Surveillance",IF(AND(Stock_par_lots[[#This Row],[jours restants]]&lt;30,Stock_par_lots[[#This Row],[jours restants]]&gt;=0),"Urgente","Expiré"))))</f>
        <v>Conforme</v>
      </c>
      <c r="AB120" s="68" t="str">
        <f ca="1">IF(AND(Stock_par_lots[[#This Row],[jours restants]]&gt;0,Stock_par_lots[[#This Row],[jours restants]]&lt;=60),"Proche","")</f>
        <v/>
      </c>
      <c r="BA120" s="52"/>
      <c r="BB120" s="52"/>
      <c r="BC120" s="52"/>
      <c r="BD120" s="48">
        <f t="shared" si="31"/>
        <v>0</v>
      </c>
      <c r="BE120" s="48">
        <f t="shared" si="32"/>
        <v>0</v>
      </c>
      <c r="BF120" s="46" t="str">
        <f>IFERROR(VLOOKUP(BA120,ListeProduits[],6,FALSE),"")</f>
        <v/>
      </c>
      <c r="BG120" s="47" t="str">
        <f>IFERROR(IF(Stock_par_produits[[#This Row],[Stock nim]]="","",IF(Stock_par_produits[[#This Row],[Stock nim]]&gt;Stock_par_produits[[#This Row],[Quantités restants]],"Commander","Ok")),"")</f>
        <v/>
      </c>
    </row>
    <row r="121" spans="17:59" ht="15.75" customHeight="1" x14ac:dyDescent="0.25">
      <c r="Q121" s="52"/>
      <c r="R121" s="52"/>
      <c r="S121" s="52"/>
      <c r="T121" s="52"/>
      <c r="U121" s="52"/>
      <c r="V121" s="48" t="str">
        <f t="shared" si="27"/>
        <v/>
      </c>
      <c r="W121" s="48" t="str">
        <f t="shared" si="28"/>
        <v/>
      </c>
      <c r="X121" s="43" t="str">
        <f t="shared" si="29"/>
        <v/>
      </c>
      <c r="Y121" s="44" t="str">
        <f t="shared" si="30"/>
        <v/>
      </c>
      <c r="Z121" s="53" t="str">
        <f ca="1">IFERROR(IF(Stock_par_lots[[#This Row],[Stock restant]]=0,"",Stock_par_lots[[#This Row],[Date de péremption]]-TODAY()),"")</f>
        <v/>
      </c>
      <c r="AA121" s="45" t="str">
        <f ca="1">IF(Stock_par_lots[[#This Row],[Stock restant]]=0,"",IF(Stock_par_lots[[#This Row],[jours restants]]&gt;=60,"Conforme",IF(AND(Stock_par_lots[[#This Row],[jours restants]]&lt;60,Stock_par_lots[[#This Row],[jours restants]]&gt;=30),"Surveillance",IF(AND(Stock_par_lots[[#This Row],[jours restants]]&lt;30,Stock_par_lots[[#This Row],[jours restants]]&gt;=0),"Urgente","Expiré"))))</f>
        <v>Conforme</v>
      </c>
      <c r="AB121" s="68" t="str">
        <f ca="1">IF(AND(Stock_par_lots[[#This Row],[jours restants]]&gt;0,Stock_par_lots[[#This Row],[jours restants]]&lt;=60),"Proche","")</f>
        <v/>
      </c>
      <c r="BA121" s="52"/>
      <c r="BB121" s="52"/>
      <c r="BC121" s="52"/>
      <c r="BD121" s="48">
        <f t="shared" si="31"/>
        <v>0</v>
      </c>
      <c r="BE121" s="48">
        <f t="shared" si="32"/>
        <v>0</v>
      </c>
      <c r="BF121" s="46" t="str">
        <f>IFERROR(VLOOKUP(BA121,ListeProduits[],6,FALSE),"")</f>
        <v/>
      </c>
      <c r="BG121" s="47" t="str">
        <f>IFERROR(IF(Stock_par_produits[[#This Row],[Stock nim]]="","",IF(Stock_par_produits[[#This Row],[Stock nim]]&gt;Stock_par_produits[[#This Row],[Quantités restants]],"Commander","Ok")),"")</f>
        <v/>
      </c>
    </row>
    <row r="122" spans="17:59" ht="15.75" customHeight="1" x14ac:dyDescent="0.25">
      <c r="Q122" s="52"/>
      <c r="R122" s="52"/>
      <c r="S122" s="52"/>
      <c r="T122" s="52"/>
      <c r="U122" s="52"/>
      <c r="V122" s="48" t="str">
        <f t="shared" si="27"/>
        <v/>
      </c>
      <c r="W122" s="48" t="str">
        <f t="shared" si="28"/>
        <v/>
      </c>
      <c r="X122" s="43" t="str">
        <f t="shared" si="29"/>
        <v/>
      </c>
      <c r="Y122" s="44" t="str">
        <f t="shared" si="30"/>
        <v/>
      </c>
      <c r="Z122" s="53" t="str">
        <f ca="1">IFERROR(IF(Stock_par_lots[[#This Row],[Stock restant]]=0,"",Stock_par_lots[[#This Row],[Date de péremption]]-TODAY()),"")</f>
        <v/>
      </c>
      <c r="AA122" s="45" t="str">
        <f ca="1">IF(Stock_par_lots[[#This Row],[Stock restant]]=0,"",IF(Stock_par_lots[[#This Row],[jours restants]]&gt;=60,"Conforme",IF(AND(Stock_par_lots[[#This Row],[jours restants]]&lt;60,Stock_par_lots[[#This Row],[jours restants]]&gt;=30),"Surveillance",IF(AND(Stock_par_lots[[#This Row],[jours restants]]&lt;30,Stock_par_lots[[#This Row],[jours restants]]&gt;=0),"Urgente","Expiré"))))</f>
        <v>Conforme</v>
      </c>
      <c r="AB122" s="68" t="str">
        <f ca="1">IF(AND(Stock_par_lots[[#This Row],[jours restants]]&gt;0,Stock_par_lots[[#This Row],[jours restants]]&lt;=60),"Proche","")</f>
        <v/>
      </c>
      <c r="BA122" s="52"/>
      <c r="BB122" s="52"/>
      <c r="BC122" s="52"/>
      <c r="BD122" s="48">
        <f t="shared" si="31"/>
        <v>0</v>
      </c>
      <c r="BE122" s="48">
        <f t="shared" si="32"/>
        <v>0</v>
      </c>
      <c r="BF122" s="46" t="str">
        <f>IFERROR(VLOOKUP(BA122,ListeProduits[],6,FALSE),"")</f>
        <v/>
      </c>
      <c r="BG122" s="47" t="str">
        <f>IFERROR(IF(Stock_par_produits[[#This Row],[Stock nim]]="","",IF(Stock_par_produits[[#This Row],[Stock nim]]&gt;Stock_par_produits[[#This Row],[Quantités restants]],"Commander","Ok")),"")</f>
        <v/>
      </c>
    </row>
    <row r="123" spans="17:59" ht="15.75" customHeight="1" x14ac:dyDescent="0.25">
      <c r="Q123" s="52"/>
      <c r="R123" s="52"/>
      <c r="S123" s="52"/>
      <c r="T123" s="52"/>
      <c r="U123" s="52"/>
      <c r="V123" s="48" t="str">
        <f t="shared" si="27"/>
        <v/>
      </c>
      <c r="W123" s="48" t="str">
        <f t="shared" si="28"/>
        <v/>
      </c>
      <c r="X123" s="43" t="str">
        <f t="shared" si="29"/>
        <v/>
      </c>
      <c r="Y123" s="44" t="str">
        <f t="shared" si="30"/>
        <v/>
      </c>
      <c r="Z123" s="53" t="str">
        <f ca="1">IFERROR(IF(Stock_par_lots[[#This Row],[Stock restant]]=0,"",Stock_par_lots[[#This Row],[Date de péremption]]-TODAY()),"")</f>
        <v/>
      </c>
      <c r="AA123" s="45" t="str">
        <f ca="1">IF(Stock_par_lots[[#This Row],[Stock restant]]=0,"",IF(Stock_par_lots[[#This Row],[jours restants]]&gt;=60,"Conforme",IF(AND(Stock_par_lots[[#This Row],[jours restants]]&lt;60,Stock_par_lots[[#This Row],[jours restants]]&gt;=30),"Surveillance",IF(AND(Stock_par_lots[[#This Row],[jours restants]]&lt;30,Stock_par_lots[[#This Row],[jours restants]]&gt;=0),"Urgente","Expiré"))))</f>
        <v>Conforme</v>
      </c>
      <c r="AB123" s="68" t="str">
        <f ca="1">IF(AND(Stock_par_lots[[#This Row],[jours restants]]&gt;0,Stock_par_lots[[#This Row],[jours restants]]&lt;=60),"Proche","")</f>
        <v/>
      </c>
      <c r="BA123" s="52"/>
      <c r="BB123" s="52"/>
      <c r="BC123" s="52"/>
      <c r="BD123" s="48">
        <f t="shared" si="31"/>
        <v>0</v>
      </c>
      <c r="BE123" s="48">
        <f t="shared" si="32"/>
        <v>0</v>
      </c>
      <c r="BF123" s="46" t="str">
        <f>IFERROR(VLOOKUP(BA123,ListeProduits[],6,FALSE),"")</f>
        <v/>
      </c>
      <c r="BG123" s="47" t="str">
        <f>IFERROR(IF(Stock_par_produits[[#This Row],[Stock nim]]="","",IF(Stock_par_produits[[#This Row],[Stock nim]]&gt;Stock_par_produits[[#This Row],[Quantités restants]],"Commander","Ok")),"")</f>
        <v/>
      </c>
    </row>
    <row r="124" spans="17:59" ht="15.75" customHeight="1" x14ac:dyDescent="0.25">
      <c r="Q124" s="52"/>
      <c r="R124" s="52"/>
      <c r="S124" s="52"/>
      <c r="T124" s="52"/>
      <c r="U124" s="52"/>
      <c r="V124" s="48" t="str">
        <f t="shared" si="27"/>
        <v/>
      </c>
      <c r="W124" s="48" t="str">
        <f t="shared" si="28"/>
        <v/>
      </c>
      <c r="X124" s="43" t="str">
        <f t="shared" si="29"/>
        <v/>
      </c>
      <c r="Y124" s="44" t="str">
        <f t="shared" si="30"/>
        <v/>
      </c>
      <c r="Z124" s="53" t="str">
        <f ca="1">IFERROR(IF(Stock_par_lots[[#This Row],[Stock restant]]=0,"",Stock_par_lots[[#This Row],[Date de péremption]]-TODAY()),"")</f>
        <v/>
      </c>
      <c r="AA124" s="45" t="str">
        <f ca="1">IF(Stock_par_lots[[#This Row],[Stock restant]]=0,"",IF(Stock_par_lots[[#This Row],[jours restants]]&gt;=60,"Conforme",IF(AND(Stock_par_lots[[#This Row],[jours restants]]&lt;60,Stock_par_lots[[#This Row],[jours restants]]&gt;=30),"Surveillance",IF(AND(Stock_par_lots[[#This Row],[jours restants]]&lt;30,Stock_par_lots[[#This Row],[jours restants]]&gt;=0),"Urgente","Expiré"))))</f>
        <v>Conforme</v>
      </c>
      <c r="AB124" s="68" t="str">
        <f ca="1">IF(AND(Stock_par_lots[[#This Row],[jours restants]]&gt;0,Stock_par_lots[[#This Row],[jours restants]]&lt;=60),"Proche","")</f>
        <v/>
      </c>
      <c r="BA124" s="52"/>
      <c r="BB124" s="52"/>
      <c r="BC124" s="52"/>
      <c r="BD124" s="48">
        <f t="shared" si="31"/>
        <v>0</v>
      </c>
      <c r="BE124" s="48">
        <f t="shared" si="32"/>
        <v>0</v>
      </c>
      <c r="BF124" s="46" t="str">
        <f>IFERROR(VLOOKUP(BA124,ListeProduits[],6,FALSE),"")</f>
        <v/>
      </c>
      <c r="BG124" s="47" t="str">
        <f>IFERROR(IF(Stock_par_produits[[#This Row],[Stock nim]]="","",IF(Stock_par_produits[[#This Row],[Stock nim]]&gt;Stock_par_produits[[#This Row],[Quantités restants]],"Commander","Ok")),"")</f>
        <v/>
      </c>
    </row>
    <row r="125" spans="17:59" ht="15.75" customHeight="1" x14ac:dyDescent="0.25">
      <c r="Q125" s="52"/>
      <c r="R125" s="52"/>
      <c r="S125" s="52"/>
      <c r="T125" s="52"/>
      <c r="U125" s="52"/>
      <c r="V125" s="48" t="str">
        <f t="shared" si="27"/>
        <v/>
      </c>
      <c r="W125" s="48" t="str">
        <f t="shared" si="28"/>
        <v/>
      </c>
      <c r="X125" s="43" t="str">
        <f t="shared" si="29"/>
        <v/>
      </c>
      <c r="Y125" s="44" t="str">
        <f t="shared" si="30"/>
        <v/>
      </c>
      <c r="Z125" s="53" t="str">
        <f ca="1">IFERROR(IF(Stock_par_lots[[#This Row],[Stock restant]]=0,"",Stock_par_lots[[#This Row],[Date de péremption]]-TODAY()),"")</f>
        <v/>
      </c>
      <c r="AA125" s="45" t="str">
        <f ca="1">IF(Stock_par_lots[[#This Row],[Stock restant]]=0,"",IF(Stock_par_lots[[#This Row],[jours restants]]&gt;=60,"Conforme",IF(AND(Stock_par_lots[[#This Row],[jours restants]]&lt;60,Stock_par_lots[[#This Row],[jours restants]]&gt;=30),"Surveillance",IF(AND(Stock_par_lots[[#This Row],[jours restants]]&lt;30,Stock_par_lots[[#This Row],[jours restants]]&gt;=0),"Urgente","Expiré"))))</f>
        <v>Conforme</v>
      </c>
      <c r="AB125" s="68" t="str">
        <f ca="1">IF(AND(Stock_par_lots[[#This Row],[jours restants]]&gt;0,Stock_par_lots[[#This Row],[jours restants]]&lt;=60),"Proche","")</f>
        <v/>
      </c>
      <c r="BA125" s="52"/>
      <c r="BB125" s="52"/>
      <c r="BC125" s="52"/>
      <c r="BD125" s="48">
        <f t="shared" si="31"/>
        <v>0</v>
      </c>
      <c r="BE125" s="48">
        <f t="shared" si="32"/>
        <v>0</v>
      </c>
      <c r="BF125" s="46" t="str">
        <f>IFERROR(VLOOKUP(BA125,ListeProduits[],6,FALSE),"")</f>
        <v/>
      </c>
      <c r="BG125" s="47" t="str">
        <f>IFERROR(IF(Stock_par_produits[[#This Row],[Stock nim]]="","",IF(Stock_par_produits[[#This Row],[Stock nim]]&gt;Stock_par_produits[[#This Row],[Quantités restants]],"Commander","Ok")),"")</f>
        <v/>
      </c>
    </row>
    <row r="126" spans="17:59" ht="15.75" customHeight="1" x14ac:dyDescent="0.25">
      <c r="Q126" s="52"/>
      <c r="R126" s="52"/>
      <c r="S126" s="52"/>
      <c r="T126" s="52"/>
      <c r="U126" s="52"/>
      <c r="V126" s="48" t="str">
        <f t="shared" si="27"/>
        <v/>
      </c>
      <c r="W126" s="48" t="str">
        <f t="shared" si="28"/>
        <v/>
      </c>
      <c r="X126" s="43" t="str">
        <f t="shared" si="29"/>
        <v/>
      </c>
      <c r="Y126" s="44" t="str">
        <f t="shared" si="30"/>
        <v/>
      </c>
      <c r="Z126" s="53" t="str">
        <f ca="1">IFERROR(IF(Stock_par_lots[[#This Row],[Stock restant]]=0,"",Stock_par_lots[[#This Row],[Date de péremption]]-TODAY()),"")</f>
        <v/>
      </c>
      <c r="AA126" s="45" t="str">
        <f ca="1">IF(Stock_par_lots[[#This Row],[Stock restant]]=0,"",IF(Stock_par_lots[[#This Row],[jours restants]]&gt;=60,"Conforme",IF(AND(Stock_par_lots[[#This Row],[jours restants]]&lt;60,Stock_par_lots[[#This Row],[jours restants]]&gt;=30),"Surveillance",IF(AND(Stock_par_lots[[#This Row],[jours restants]]&lt;30,Stock_par_lots[[#This Row],[jours restants]]&gt;=0),"Urgente","Expiré"))))</f>
        <v>Conforme</v>
      </c>
      <c r="AB126" s="68" t="str">
        <f ca="1">IF(AND(Stock_par_lots[[#This Row],[jours restants]]&gt;0,Stock_par_lots[[#This Row],[jours restants]]&lt;=60),"Proche","")</f>
        <v/>
      </c>
      <c r="BA126" s="52"/>
      <c r="BB126" s="52"/>
      <c r="BC126" s="52"/>
      <c r="BD126" s="48">
        <f t="shared" si="31"/>
        <v>0</v>
      </c>
      <c r="BE126" s="48">
        <f t="shared" si="32"/>
        <v>0</v>
      </c>
      <c r="BF126" s="46" t="str">
        <f>IFERROR(VLOOKUP(BA126,ListeProduits[],6,FALSE),"")</f>
        <v/>
      </c>
      <c r="BG126" s="47" t="str">
        <f>IFERROR(IF(Stock_par_produits[[#This Row],[Stock nim]]="","",IF(Stock_par_produits[[#This Row],[Stock nim]]&gt;Stock_par_produits[[#This Row],[Quantités restants]],"Commander","Ok")),"")</f>
        <v/>
      </c>
    </row>
    <row r="127" spans="17:59" ht="15.75" customHeight="1" x14ac:dyDescent="0.25">
      <c r="Q127" s="52"/>
      <c r="R127" s="52"/>
      <c r="S127" s="52"/>
      <c r="T127" s="52"/>
      <c r="U127" s="52"/>
      <c r="V127" s="48" t="str">
        <f t="shared" si="27"/>
        <v/>
      </c>
      <c r="W127" s="48" t="str">
        <f t="shared" si="28"/>
        <v/>
      </c>
      <c r="X127" s="43" t="str">
        <f t="shared" si="29"/>
        <v/>
      </c>
      <c r="Y127" s="44" t="str">
        <f t="shared" si="30"/>
        <v/>
      </c>
      <c r="Z127" s="53" t="str">
        <f ca="1">IFERROR(IF(Stock_par_lots[[#This Row],[Stock restant]]=0,"",Stock_par_lots[[#This Row],[Date de péremption]]-TODAY()),"")</f>
        <v/>
      </c>
      <c r="AA127" s="45" t="str">
        <f ca="1">IF(Stock_par_lots[[#This Row],[Stock restant]]=0,"",IF(Stock_par_lots[[#This Row],[jours restants]]&gt;=60,"Conforme",IF(AND(Stock_par_lots[[#This Row],[jours restants]]&lt;60,Stock_par_lots[[#This Row],[jours restants]]&gt;=30),"Surveillance",IF(AND(Stock_par_lots[[#This Row],[jours restants]]&lt;30,Stock_par_lots[[#This Row],[jours restants]]&gt;=0),"Urgente","Expiré"))))</f>
        <v>Conforme</v>
      </c>
      <c r="AB127" s="68" t="str">
        <f ca="1">IF(AND(Stock_par_lots[[#This Row],[jours restants]]&gt;0,Stock_par_lots[[#This Row],[jours restants]]&lt;=60),"Proche","")</f>
        <v/>
      </c>
      <c r="BA127" s="52"/>
      <c r="BB127" s="52"/>
      <c r="BC127" s="52"/>
      <c r="BD127" s="48">
        <f t="shared" si="31"/>
        <v>0</v>
      </c>
      <c r="BE127" s="48">
        <f t="shared" si="32"/>
        <v>0</v>
      </c>
      <c r="BF127" s="46" t="str">
        <f>IFERROR(VLOOKUP(BA127,ListeProduits[],6,FALSE),"")</f>
        <v/>
      </c>
      <c r="BG127" s="47" t="str">
        <f>IFERROR(IF(Stock_par_produits[[#This Row],[Stock nim]]="","",IF(Stock_par_produits[[#This Row],[Stock nim]]&gt;Stock_par_produits[[#This Row],[Quantités restants]],"Commander","Ok")),"")</f>
        <v/>
      </c>
    </row>
    <row r="128" spans="17:59" ht="15.75" customHeight="1" x14ac:dyDescent="0.25">
      <c r="Q128" s="52"/>
      <c r="R128" s="52"/>
      <c r="S128" s="52"/>
      <c r="T128" s="52"/>
      <c r="U128" s="52"/>
      <c r="V128" s="48" t="str">
        <f t="shared" si="27"/>
        <v/>
      </c>
      <c r="W128" s="48" t="str">
        <f t="shared" si="28"/>
        <v/>
      </c>
      <c r="X128" s="43" t="str">
        <f t="shared" si="29"/>
        <v/>
      </c>
      <c r="Y128" s="44" t="str">
        <f t="shared" si="30"/>
        <v/>
      </c>
      <c r="Z128" s="53" t="str">
        <f ca="1">IFERROR(IF(Stock_par_lots[[#This Row],[Stock restant]]=0,"",Stock_par_lots[[#This Row],[Date de péremption]]-TODAY()),"")</f>
        <v/>
      </c>
      <c r="AA128" s="45" t="str">
        <f ca="1">IF(Stock_par_lots[[#This Row],[Stock restant]]=0,"",IF(Stock_par_lots[[#This Row],[jours restants]]&gt;=60,"Conforme",IF(AND(Stock_par_lots[[#This Row],[jours restants]]&lt;60,Stock_par_lots[[#This Row],[jours restants]]&gt;=30),"Surveillance",IF(AND(Stock_par_lots[[#This Row],[jours restants]]&lt;30,Stock_par_lots[[#This Row],[jours restants]]&gt;=0),"Urgente","Expiré"))))</f>
        <v>Conforme</v>
      </c>
      <c r="AB128" s="68" t="str">
        <f ca="1">IF(AND(Stock_par_lots[[#This Row],[jours restants]]&gt;0,Stock_par_lots[[#This Row],[jours restants]]&lt;=60),"Proche","")</f>
        <v/>
      </c>
      <c r="BA128" s="52"/>
      <c r="BB128" s="52"/>
      <c r="BC128" s="52"/>
      <c r="BD128" s="48">
        <f t="shared" si="31"/>
        <v>0</v>
      </c>
      <c r="BE128" s="48">
        <f t="shared" si="32"/>
        <v>0</v>
      </c>
      <c r="BF128" s="46" t="str">
        <f>IFERROR(VLOOKUP(BA128,ListeProduits[],6,FALSE),"")</f>
        <v/>
      </c>
      <c r="BG128" s="47" t="str">
        <f>IFERROR(IF(Stock_par_produits[[#This Row],[Stock nim]]="","",IF(Stock_par_produits[[#This Row],[Stock nim]]&gt;Stock_par_produits[[#This Row],[Quantités restants]],"Commander","Ok")),"")</f>
        <v/>
      </c>
    </row>
    <row r="129" spans="17:59" ht="15.75" customHeight="1" x14ac:dyDescent="0.25">
      <c r="Q129" s="52"/>
      <c r="R129" s="52"/>
      <c r="S129" s="52"/>
      <c r="T129" s="52"/>
      <c r="U129" s="52"/>
      <c r="V129" s="48" t="str">
        <f t="shared" si="27"/>
        <v/>
      </c>
      <c r="W129" s="48" t="str">
        <f t="shared" si="28"/>
        <v/>
      </c>
      <c r="X129" s="43" t="str">
        <f t="shared" si="29"/>
        <v/>
      </c>
      <c r="Y129" s="44" t="str">
        <f t="shared" si="30"/>
        <v/>
      </c>
      <c r="Z129" s="53" t="str">
        <f ca="1">IFERROR(IF(Stock_par_lots[[#This Row],[Stock restant]]=0,"",Stock_par_lots[[#This Row],[Date de péremption]]-TODAY()),"")</f>
        <v/>
      </c>
      <c r="AA129" s="45" t="str">
        <f ca="1">IF(Stock_par_lots[[#This Row],[Stock restant]]=0,"",IF(Stock_par_lots[[#This Row],[jours restants]]&gt;=60,"Conforme",IF(AND(Stock_par_lots[[#This Row],[jours restants]]&lt;60,Stock_par_lots[[#This Row],[jours restants]]&gt;=30),"Surveillance",IF(AND(Stock_par_lots[[#This Row],[jours restants]]&lt;30,Stock_par_lots[[#This Row],[jours restants]]&gt;=0),"Urgente","Expiré"))))</f>
        <v>Conforme</v>
      </c>
      <c r="AB129" s="68" t="str">
        <f ca="1">IF(AND(Stock_par_lots[[#This Row],[jours restants]]&gt;0,Stock_par_lots[[#This Row],[jours restants]]&lt;=60),"Proche","")</f>
        <v/>
      </c>
      <c r="BA129" s="52"/>
      <c r="BB129" s="52"/>
      <c r="BC129" s="52"/>
      <c r="BD129" s="48">
        <f t="shared" si="31"/>
        <v>0</v>
      </c>
      <c r="BE129" s="48">
        <f t="shared" si="32"/>
        <v>0</v>
      </c>
      <c r="BF129" s="46" t="str">
        <f>IFERROR(VLOOKUP(BA129,ListeProduits[],6,FALSE),"")</f>
        <v/>
      </c>
      <c r="BG129" s="47" t="str">
        <f>IFERROR(IF(Stock_par_produits[[#This Row],[Stock nim]]="","",IF(Stock_par_produits[[#This Row],[Stock nim]]&gt;Stock_par_produits[[#This Row],[Quantités restants]],"Commander","Ok")),"")</f>
        <v/>
      </c>
    </row>
    <row r="130" spans="17:59" ht="15.75" customHeight="1" x14ac:dyDescent="0.25">
      <c r="Q130" s="52"/>
      <c r="R130" s="52"/>
      <c r="S130" s="52"/>
      <c r="T130" s="52"/>
      <c r="U130" s="52"/>
      <c r="V130" s="48" t="str">
        <f t="shared" si="27"/>
        <v/>
      </c>
      <c r="W130" s="48" t="str">
        <f t="shared" si="28"/>
        <v/>
      </c>
      <c r="X130" s="43" t="str">
        <f t="shared" si="29"/>
        <v/>
      </c>
      <c r="Y130" s="44" t="str">
        <f t="shared" si="30"/>
        <v/>
      </c>
      <c r="Z130" s="53" t="str">
        <f ca="1">IFERROR(IF(Stock_par_lots[[#This Row],[Stock restant]]=0,"",Stock_par_lots[[#This Row],[Date de péremption]]-TODAY()),"")</f>
        <v/>
      </c>
      <c r="AA130" s="45" t="str">
        <f ca="1">IF(Stock_par_lots[[#This Row],[Stock restant]]=0,"",IF(Stock_par_lots[[#This Row],[jours restants]]&gt;=60,"Conforme",IF(AND(Stock_par_lots[[#This Row],[jours restants]]&lt;60,Stock_par_lots[[#This Row],[jours restants]]&gt;=30),"Surveillance",IF(AND(Stock_par_lots[[#This Row],[jours restants]]&lt;30,Stock_par_lots[[#This Row],[jours restants]]&gt;=0),"Urgente","Expiré"))))</f>
        <v>Conforme</v>
      </c>
      <c r="AB130" s="68" t="str">
        <f ca="1">IF(AND(Stock_par_lots[[#This Row],[jours restants]]&gt;0,Stock_par_lots[[#This Row],[jours restants]]&lt;=60),"Proche","")</f>
        <v/>
      </c>
      <c r="BA130" s="52"/>
      <c r="BB130" s="52"/>
      <c r="BC130" s="52"/>
      <c r="BD130" s="48">
        <f t="shared" si="31"/>
        <v>0</v>
      </c>
      <c r="BE130" s="48">
        <f t="shared" si="32"/>
        <v>0</v>
      </c>
      <c r="BF130" s="46" t="str">
        <f>IFERROR(VLOOKUP(BA130,ListeProduits[],6,FALSE),"")</f>
        <v/>
      </c>
      <c r="BG130" s="47" t="str">
        <f>IFERROR(IF(Stock_par_produits[[#This Row],[Stock nim]]="","",IF(Stock_par_produits[[#This Row],[Stock nim]]&gt;Stock_par_produits[[#This Row],[Quantités restants]],"Commander","Ok")),"")</f>
        <v/>
      </c>
    </row>
    <row r="131" spans="17:59" ht="15.75" customHeight="1" x14ac:dyDescent="0.25">
      <c r="Q131" s="52"/>
      <c r="R131" s="52"/>
      <c r="S131" s="52"/>
      <c r="T131" s="52"/>
      <c r="U131" s="52"/>
      <c r="V131" s="48" t="str">
        <f t="shared" si="27"/>
        <v/>
      </c>
      <c r="W131" s="48" t="str">
        <f t="shared" si="28"/>
        <v/>
      </c>
      <c r="X131" s="43" t="str">
        <f t="shared" si="29"/>
        <v/>
      </c>
      <c r="Y131" s="44" t="str">
        <f t="shared" si="30"/>
        <v/>
      </c>
      <c r="Z131" s="53" t="str">
        <f ca="1">IFERROR(IF(Stock_par_lots[[#This Row],[Stock restant]]=0,"",Stock_par_lots[[#This Row],[Date de péremption]]-TODAY()),"")</f>
        <v/>
      </c>
      <c r="AA131" s="45" t="str">
        <f ca="1">IF(Stock_par_lots[[#This Row],[Stock restant]]=0,"",IF(Stock_par_lots[[#This Row],[jours restants]]&gt;=60,"Conforme",IF(AND(Stock_par_lots[[#This Row],[jours restants]]&lt;60,Stock_par_lots[[#This Row],[jours restants]]&gt;=30),"Surveillance",IF(AND(Stock_par_lots[[#This Row],[jours restants]]&lt;30,Stock_par_lots[[#This Row],[jours restants]]&gt;=0),"Urgente","Expiré"))))</f>
        <v>Conforme</v>
      </c>
      <c r="AB131" s="68" t="str">
        <f ca="1">IF(AND(Stock_par_lots[[#This Row],[jours restants]]&gt;0,Stock_par_lots[[#This Row],[jours restants]]&lt;=60),"Proche","")</f>
        <v/>
      </c>
      <c r="BA131" s="52"/>
      <c r="BB131" s="52"/>
      <c r="BC131" s="52"/>
      <c r="BD131" s="48">
        <f t="shared" si="31"/>
        <v>0</v>
      </c>
      <c r="BE131" s="48">
        <f t="shared" si="32"/>
        <v>0</v>
      </c>
      <c r="BF131" s="46" t="str">
        <f>IFERROR(VLOOKUP(BA131,ListeProduits[],6,FALSE),"")</f>
        <v/>
      </c>
      <c r="BG131" s="47" t="str">
        <f>IFERROR(IF(Stock_par_produits[[#This Row],[Stock nim]]="","",IF(Stock_par_produits[[#This Row],[Stock nim]]&gt;Stock_par_produits[[#This Row],[Quantités restants]],"Commander","Ok")),"")</f>
        <v/>
      </c>
    </row>
    <row r="132" spans="17:59" ht="15.75" customHeight="1" x14ac:dyDescent="0.25">
      <c r="Q132" s="52"/>
      <c r="R132" s="52"/>
      <c r="S132" s="52"/>
      <c r="T132" s="52"/>
      <c r="U132" s="52"/>
      <c r="V132" s="48" t="str">
        <f t="shared" ref="V132:V163" si="33">IF(Q132="","",Q132)</f>
        <v/>
      </c>
      <c r="W132" s="48" t="str">
        <f t="shared" ref="W132:W163" si="34">IF(R132="","",R132)</f>
        <v/>
      </c>
      <c r="X132" s="43" t="str">
        <f t="shared" ref="X132:X163" si="35">IF(T132="","",T132)</f>
        <v/>
      </c>
      <c r="Y132" s="44" t="str">
        <f t="shared" ref="Y132:Y163" si="36">IF(S132="","",S132)</f>
        <v/>
      </c>
      <c r="Z132" s="53" t="str">
        <f ca="1">IFERROR(IF(Stock_par_lots[[#This Row],[Stock restant]]=0,"",Stock_par_lots[[#This Row],[Date de péremption]]-TODAY()),"")</f>
        <v/>
      </c>
      <c r="AA132" s="45" t="str">
        <f ca="1">IF(Stock_par_lots[[#This Row],[Stock restant]]=0,"",IF(Stock_par_lots[[#This Row],[jours restants]]&gt;=60,"Conforme",IF(AND(Stock_par_lots[[#This Row],[jours restants]]&lt;60,Stock_par_lots[[#This Row],[jours restants]]&gt;=30),"Surveillance",IF(AND(Stock_par_lots[[#This Row],[jours restants]]&lt;30,Stock_par_lots[[#This Row],[jours restants]]&gt;=0),"Urgente","Expiré"))))</f>
        <v>Conforme</v>
      </c>
      <c r="AB132" s="68" t="str">
        <f ca="1">IF(AND(Stock_par_lots[[#This Row],[jours restants]]&gt;0,Stock_par_lots[[#This Row],[jours restants]]&lt;=60),"Proche","")</f>
        <v/>
      </c>
      <c r="BA132" s="52"/>
      <c r="BB132" s="52"/>
      <c r="BC132" s="52"/>
      <c r="BD132" s="48">
        <f t="shared" ref="BD132:BD163" si="37">BA132</f>
        <v>0</v>
      </c>
      <c r="BE132" s="48">
        <f t="shared" ref="BE132:BE163" si="38">BB132</f>
        <v>0</v>
      </c>
      <c r="BF132" s="46" t="str">
        <f>IFERROR(VLOOKUP(BA132,ListeProduits[],6,FALSE),"")</f>
        <v/>
      </c>
      <c r="BG132" s="47" t="str">
        <f>IFERROR(IF(Stock_par_produits[[#This Row],[Stock nim]]="","",IF(Stock_par_produits[[#This Row],[Stock nim]]&gt;Stock_par_produits[[#This Row],[Quantités restants]],"Commander","Ok")),"")</f>
        <v/>
      </c>
    </row>
    <row r="133" spans="17:59" ht="15.75" customHeight="1" x14ac:dyDescent="0.25">
      <c r="Q133" s="52"/>
      <c r="R133" s="52"/>
      <c r="S133" s="52"/>
      <c r="T133" s="52"/>
      <c r="U133" s="52"/>
      <c r="V133" s="48" t="str">
        <f t="shared" si="33"/>
        <v/>
      </c>
      <c r="W133" s="48" t="str">
        <f t="shared" si="34"/>
        <v/>
      </c>
      <c r="X133" s="43" t="str">
        <f t="shared" si="35"/>
        <v/>
      </c>
      <c r="Y133" s="44" t="str">
        <f t="shared" si="36"/>
        <v/>
      </c>
      <c r="Z133" s="53" t="str">
        <f ca="1">IFERROR(IF(Stock_par_lots[[#This Row],[Stock restant]]=0,"",Stock_par_lots[[#This Row],[Date de péremption]]-TODAY()),"")</f>
        <v/>
      </c>
      <c r="AA133" s="45" t="str">
        <f ca="1">IF(Stock_par_lots[[#This Row],[Stock restant]]=0,"",IF(Stock_par_lots[[#This Row],[jours restants]]&gt;=60,"Conforme",IF(AND(Stock_par_lots[[#This Row],[jours restants]]&lt;60,Stock_par_lots[[#This Row],[jours restants]]&gt;=30),"Surveillance",IF(AND(Stock_par_lots[[#This Row],[jours restants]]&lt;30,Stock_par_lots[[#This Row],[jours restants]]&gt;=0),"Urgente","Expiré"))))</f>
        <v>Conforme</v>
      </c>
      <c r="AB133" s="68" t="str">
        <f ca="1">IF(AND(Stock_par_lots[[#This Row],[jours restants]]&gt;0,Stock_par_lots[[#This Row],[jours restants]]&lt;=60),"Proche","")</f>
        <v/>
      </c>
      <c r="BA133" s="52"/>
      <c r="BB133" s="52"/>
      <c r="BC133" s="52"/>
      <c r="BD133" s="48">
        <f t="shared" si="37"/>
        <v>0</v>
      </c>
      <c r="BE133" s="48">
        <f t="shared" si="38"/>
        <v>0</v>
      </c>
      <c r="BF133" s="46" t="str">
        <f>IFERROR(VLOOKUP(BA133,ListeProduits[],6,FALSE),"")</f>
        <v/>
      </c>
      <c r="BG133" s="47" t="str">
        <f>IFERROR(IF(Stock_par_produits[[#This Row],[Stock nim]]="","",IF(Stock_par_produits[[#This Row],[Stock nim]]&gt;Stock_par_produits[[#This Row],[Quantités restants]],"Commander","Ok")),"")</f>
        <v/>
      </c>
    </row>
    <row r="134" spans="17:59" ht="15.75" customHeight="1" x14ac:dyDescent="0.25">
      <c r="Q134" s="52"/>
      <c r="R134" s="52"/>
      <c r="S134" s="52"/>
      <c r="T134" s="52"/>
      <c r="U134" s="52"/>
      <c r="V134" s="48" t="str">
        <f t="shared" si="33"/>
        <v/>
      </c>
      <c r="W134" s="48" t="str">
        <f t="shared" si="34"/>
        <v/>
      </c>
      <c r="X134" s="43" t="str">
        <f t="shared" si="35"/>
        <v/>
      </c>
      <c r="Y134" s="44" t="str">
        <f t="shared" si="36"/>
        <v/>
      </c>
      <c r="Z134" s="53" t="str">
        <f ca="1">IFERROR(IF(Stock_par_lots[[#This Row],[Stock restant]]=0,"",Stock_par_lots[[#This Row],[Date de péremption]]-TODAY()),"")</f>
        <v/>
      </c>
      <c r="AA134" s="45" t="str">
        <f ca="1">IF(Stock_par_lots[[#This Row],[Stock restant]]=0,"",IF(Stock_par_lots[[#This Row],[jours restants]]&gt;=60,"Conforme",IF(AND(Stock_par_lots[[#This Row],[jours restants]]&lt;60,Stock_par_lots[[#This Row],[jours restants]]&gt;=30),"Surveillance",IF(AND(Stock_par_lots[[#This Row],[jours restants]]&lt;30,Stock_par_lots[[#This Row],[jours restants]]&gt;=0),"Urgente","Expiré"))))</f>
        <v>Conforme</v>
      </c>
      <c r="AB134" s="68" t="str">
        <f ca="1">IF(AND(Stock_par_lots[[#This Row],[jours restants]]&gt;0,Stock_par_lots[[#This Row],[jours restants]]&lt;=60),"Proche","")</f>
        <v/>
      </c>
      <c r="BA134" s="52"/>
      <c r="BB134" s="52"/>
      <c r="BC134" s="52"/>
      <c r="BD134" s="48">
        <f t="shared" si="37"/>
        <v>0</v>
      </c>
      <c r="BE134" s="48">
        <f t="shared" si="38"/>
        <v>0</v>
      </c>
      <c r="BF134" s="46" t="str">
        <f>IFERROR(VLOOKUP(BA134,ListeProduits[],6,FALSE),"")</f>
        <v/>
      </c>
      <c r="BG134" s="47" t="str">
        <f>IFERROR(IF(Stock_par_produits[[#This Row],[Stock nim]]="","",IF(Stock_par_produits[[#This Row],[Stock nim]]&gt;Stock_par_produits[[#This Row],[Quantités restants]],"Commander","Ok")),"")</f>
        <v/>
      </c>
    </row>
    <row r="135" spans="17:59" ht="15.75" customHeight="1" x14ac:dyDescent="0.25">
      <c r="Q135" s="52"/>
      <c r="R135" s="52"/>
      <c r="S135" s="52"/>
      <c r="T135" s="52"/>
      <c r="U135" s="52"/>
      <c r="V135" s="48" t="str">
        <f t="shared" si="33"/>
        <v/>
      </c>
      <c r="W135" s="48" t="str">
        <f t="shared" si="34"/>
        <v/>
      </c>
      <c r="X135" s="43" t="str">
        <f t="shared" si="35"/>
        <v/>
      </c>
      <c r="Y135" s="44" t="str">
        <f t="shared" si="36"/>
        <v/>
      </c>
      <c r="Z135" s="53" t="str">
        <f ca="1">IFERROR(IF(Stock_par_lots[[#This Row],[Stock restant]]=0,"",Stock_par_lots[[#This Row],[Date de péremption]]-TODAY()),"")</f>
        <v/>
      </c>
      <c r="AA135" s="45" t="str">
        <f ca="1">IF(Stock_par_lots[[#This Row],[Stock restant]]=0,"",IF(Stock_par_lots[[#This Row],[jours restants]]&gt;=60,"Conforme",IF(AND(Stock_par_lots[[#This Row],[jours restants]]&lt;60,Stock_par_lots[[#This Row],[jours restants]]&gt;=30),"Surveillance",IF(AND(Stock_par_lots[[#This Row],[jours restants]]&lt;30,Stock_par_lots[[#This Row],[jours restants]]&gt;=0),"Urgente","Expiré"))))</f>
        <v>Conforme</v>
      </c>
      <c r="AB135" s="68" t="str">
        <f ca="1">IF(AND(Stock_par_lots[[#This Row],[jours restants]]&gt;0,Stock_par_lots[[#This Row],[jours restants]]&lt;=60),"Proche","")</f>
        <v/>
      </c>
      <c r="BA135" s="52"/>
      <c r="BB135" s="52"/>
      <c r="BC135" s="52"/>
      <c r="BD135" s="48">
        <f t="shared" si="37"/>
        <v>0</v>
      </c>
      <c r="BE135" s="48">
        <f t="shared" si="38"/>
        <v>0</v>
      </c>
      <c r="BF135" s="46" t="str">
        <f>IFERROR(VLOOKUP(BA135,ListeProduits[],6,FALSE),"")</f>
        <v/>
      </c>
      <c r="BG135" s="47" t="str">
        <f>IFERROR(IF(Stock_par_produits[[#This Row],[Stock nim]]="","",IF(Stock_par_produits[[#This Row],[Stock nim]]&gt;Stock_par_produits[[#This Row],[Quantités restants]],"Commander","Ok")),"")</f>
        <v/>
      </c>
    </row>
    <row r="136" spans="17:59" ht="15.75" customHeight="1" x14ac:dyDescent="0.25">
      <c r="Q136" s="52"/>
      <c r="R136" s="52"/>
      <c r="S136" s="52"/>
      <c r="T136" s="52"/>
      <c r="U136" s="52"/>
      <c r="V136" s="48" t="str">
        <f t="shared" si="33"/>
        <v/>
      </c>
      <c r="W136" s="48" t="str">
        <f t="shared" si="34"/>
        <v/>
      </c>
      <c r="X136" s="43" t="str">
        <f t="shared" si="35"/>
        <v/>
      </c>
      <c r="Y136" s="44" t="str">
        <f t="shared" si="36"/>
        <v/>
      </c>
      <c r="Z136" s="53" t="str">
        <f ca="1">IFERROR(IF(Stock_par_lots[[#This Row],[Stock restant]]=0,"",Stock_par_lots[[#This Row],[Date de péremption]]-TODAY()),"")</f>
        <v/>
      </c>
      <c r="AA136" s="45" t="str">
        <f ca="1">IF(Stock_par_lots[[#This Row],[Stock restant]]=0,"",IF(Stock_par_lots[[#This Row],[jours restants]]&gt;=60,"Conforme",IF(AND(Stock_par_lots[[#This Row],[jours restants]]&lt;60,Stock_par_lots[[#This Row],[jours restants]]&gt;=30),"Surveillance",IF(AND(Stock_par_lots[[#This Row],[jours restants]]&lt;30,Stock_par_lots[[#This Row],[jours restants]]&gt;=0),"Urgente","Expiré"))))</f>
        <v>Conforme</v>
      </c>
      <c r="AB136" s="68" t="str">
        <f ca="1">IF(AND(Stock_par_lots[[#This Row],[jours restants]]&gt;0,Stock_par_lots[[#This Row],[jours restants]]&lt;=60),"Proche","")</f>
        <v/>
      </c>
      <c r="BA136" s="52"/>
      <c r="BB136" s="52"/>
      <c r="BC136" s="52"/>
      <c r="BD136" s="48">
        <f t="shared" si="37"/>
        <v>0</v>
      </c>
      <c r="BE136" s="48">
        <f t="shared" si="38"/>
        <v>0</v>
      </c>
      <c r="BF136" s="46" t="str">
        <f>IFERROR(VLOOKUP(BA136,ListeProduits[],6,FALSE),"")</f>
        <v/>
      </c>
      <c r="BG136" s="47" t="str">
        <f>IFERROR(IF(Stock_par_produits[[#This Row],[Stock nim]]="","",IF(Stock_par_produits[[#This Row],[Stock nim]]&gt;Stock_par_produits[[#This Row],[Quantités restants]],"Commander","Ok")),"")</f>
        <v/>
      </c>
    </row>
    <row r="137" spans="17:59" ht="15.75" customHeight="1" x14ac:dyDescent="0.25">
      <c r="Q137" s="52"/>
      <c r="R137" s="52"/>
      <c r="S137" s="52"/>
      <c r="T137" s="52"/>
      <c r="U137" s="52"/>
      <c r="V137" s="48" t="str">
        <f t="shared" si="33"/>
        <v/>
      </c>
      <c r="W137" s="48" t="str">
        <f t="shared" si="34"/>
        <v/>
      </c>
      <c r="X137" s="43" t="str">
        <f t="shared" si="35"/>
        <v/>
      </c>
      <c r="Y137" s="44" t="str">
        <f t="shared" si="36"/>
        <v/>
      </c>
      <c r="Z137" s="53" t="str">
        <f ca="1">IFERROR(IF(Stock_par_lots[[#This Row],[Stock restant]]=0,"",Stock_par_lots[[#This Row],[Date de péremption]]-TODAY()),"")</f>
        <v/>
      </c>
      <c r="AA137" s="45" t="str">
        <f ca="1">IF(Stock_par_lots[[#This Row],[Stock restant]]=0,"",IF(Stock_par_lots[[#This Row],[jours restants]]&gt;=60,"Conforme",IF(AND(Stock_par_lots[[#This Row],[jours restants]]&lt;60,Stock_par_lots[[#This Row],[jours restants]]&gt;=30),"Surveillance",IF(AND(Stock_par_lots[[#This Row],[jours restants]]&lt;30,Stock_par_lots[[#This Row],[jours restants]]&gt;=0),"Urgente","Expiré"))))</f>
        <v>Conforme</v>
      </c>
      <c r="AB137" s="68" t="str">
        <f ca="1">IF(AND(Stock_par_lots[[#This Row],[jours restants]]&gt;0,Stock_par_lots[[#This Row],[jours restants]]&lt;=60),"Proche","")</f>
        <v/>
      </c>
      <c r="BA137" s="52"/>
      <c r="BB137" s="52"/>
      <c r="BC137" s="52"/>
      <c r="BD137" s="48">
        <f t="shared" si="37"/>
        <v>0</v>
      </c>
      <c r="BE137" s="48">
        <f t="shared" si="38"/>
        <v>0</v>
      </c>
      <c r="BF137" s="46" t="str">
        <f>IFERROR(VLOOKUP(BA137,ListeProduits[],6,FALSE),"")</f>
        <v/>
      </c>
      <c r="BG137" s="47" t="str">
        <f>IFERROR(IF(Stock_par_produits[[#This Row],[Stock nim]]="","",IF(Stock_par_produits[[#This Row],[Stock nim]]&gt;Stock_par_produits[[#This Row],[Quantités restants]],"Commander","Ok")),"")</f>
        <v/>
      </c>
    </row>
    <row r="138" spans="17:59" ht="15.75" customHeight="1" x14ac:dyDescent="0.25">
      <c r="Q138" s="52"/>
      <c r="R138" s="52"/>
      <c r="S138" s="52"/>
      <c r="T138" s="52"/>
      <c r="U138" s="52"/>
      <c r="V138" s="48" t="str">
        <f t="shared" si="33"/>
        <v/>
      </c>
      <c r="W138" s="48" t="str">
        <f t="shared" si="34"/>
        <v/>
      </c>
      <c r="X138" s="43" t="str">
        <f t="shared" si="35"/>
        <v/>
      </c>
      <c r="Y138" s="44" t="str">
        <f t="shared" si="36"/>
        <v/>
      </c>
      <c r="Z138" s="53" t="str">
        <f ca="1">IFERROR(IF(Stock_par_lots[[#This Row],[Stock restant]]=0,"",Stock_par_lots[[#This Row],[Date de péremption]]-TODAY()),"")</f>
        <v/>
      </c>
      <c r="AA138" s="45" t="str">
        <f ca="1">IF(Stock_par_lots[[#This Row],[Stock restant]]=0,"",IF(Stock_par_lots[[#This Row],[jours restants]]&gt;=60,"Conforme",IF(AND(Stock_par_lots[[#This Row],[jours restants]]&lt;60,Stock_par_lots[[#This Row],[jours restants]]&gt;=30),"Surveillance",IF(AND(Stock_par_lots[[#This Row],[jours restants]]&lt;30,Stock_par_lots[[#This Row],[jours restants]]&gt;=0),"Urgente","Expiré"))))</f>
        <v>Conforme</v>
      </c>
      <c r="AB138" s="68" t="str">
        <f ca="1">IF(AND(Stock_par_lots[[#This Row],[jours restants]]&gt;0,Stock_par_lots[[#This Row],[jours restants]]&lt;=60),"Proche","")</f>
        <v/>
      </c>
      <c r="BA138" s="52"/>
      <c r="BB138" s="52"/>
      <c r="BC138" s="52"/>
      <c r="BD138" s="48">
        <f t="shared" si="37"/>
        <v>0</v>
      </c>
      <c r="BE138" s="48">
        <f t="shared" si="38"/>
        <v>0</v>
      </c>
      <c r="BF138" s="46" t="str">
        <f>IFERROR(VLOOKUP(BA138,ListeProduits[],6,FALSE),"")</f>
        <v/>
      </c>
      <c r="BG138" s="47" t="str">
        <f>IFERROR(IF(Stock_par_produits[[#This Row],[Stock nim]]="","",IF(Stock_par_produits[[#This Row],[Stock nim]]&gt;Stock_par_produits[[#This Row],[Quantités restants]],"Commander","Ok")),"")</f>
        <v/>
      </c>
    </row>
    <row r="139" spans="17:59" ht="15.75" customHeight="1" x14ac:dyDescent="0.25">
      <c r="Q139" s="52"/>
      <c r="R139" s="52"/>
      <c r="S139" s="52"/>
      <c r="T139" s="52"/>
      <c r="U139" s="52"/>
      <c r="V139" s="48" t="str">
        <f t="shared" si="33"/>
        <v/>
      </c>
      <c r="W139" s="48" t="str">
        <f t="shared" si="34"/>
        <v/>
      </c>
      <c r="X139" s="43" t="str">
        <f t="shared" si="35"/>
        <v/>
      </c>
      <c r="Y139" s="44" t="str">
        <f t="shared" si="36"/>
        <v/>
      </c>
      <c r="Z139" s="53" t="str">
        <f ca="1">IFERROR(IF(Stock_par_lots[[#This Row],[Stock restant]]=0,"",Stock_par_lots[[#This Row],[Date de péremption]]-TODAY()),"")</f>
        <v/>
      </c>
      <c r="AA139" s="45" t="str">
        <f ca="1">IF(Stock_par_lots[[#This Row],[Stock restant]]=0,"",IF(Stock_par_lots[[#This Row],[jours restants]]&gt;=60,"Conforme",IF(AND(Stock_par_lots[[#This Row],[jours restants]]&lt;60,Stock_par_lots[[#This Row],[jours restants]]&gt;=30),"Surveillance",IF(AND(Stock_par_lots[[#This Row],[jours restants]]&lt;30,Stock_par_lots[[#This Row],[jours restants]]&gt;=0),"Urgente","Expiré"))))</f>
        <v>Conforme</v>
      </c>
      <c r="AB139" s="68" t="str">
        <f ca="1">IF(AND(Stock_par_lots[[#This Row],[jours restants]]&gt;0,Stock_par_lots[[#This Row],[jours restants]]&lt;=60),"Proche","")</f>
        <v/>
      </c>
      <c r="BA139" s="52"/>
      <c r="BB139" s="52"/>
      <c r="BC139" s="52"/>
      <c r="BD139" s="48">
        <f t="shared" si="37"/>
        <v>0</v>
      </c>
      <c r="BE139" s="48">
        <f t="shared" si="38"/>
        <v>0</v>
      </c>
      <c r="BF139" s="46" t="str">
        <f>IFERROR(VLOOKUP(BA139,ListeProduits[],6,FALSE),"")</f>
        <v/>
      </c>
      <c r="BG139" s="47" t="str">
        <f>IFERROR(IF(Stock_par_produits[[#This Row],[Stock nim]]="","",IF(Stock_par_produits[[#This Row],[Stock nim]]&gt;Stock_par_produits[[#This Row],[Quantités restants]],"Commander","Ok")),"")</f>
        <v/>
      </c>
    </row>
    <row r="140" spans="17:59" ht="15.75" customHeight="1" x14ac:dyDescent="0.25">
      <c r="Q140" s="52"/>
      <c r="R140" s="52"/>
      <c r="S140" s="52"/>
      <c r="T140" s="52"/>
      <c r="U140" s="52"/>
      <c r="V140" s="48" t="str">
        <f t="shared" si="33"/>
        <v/>
      </c>
      <c r="W140" s="48" t="str">
        <f t="shared" si="34"/>
        <v/>
      </c>
      <c r="X140" s="43" t="str">
        <f t="shared" si="35"/>
        <v/>
      </c>
      <c r="Y140" s="44" t="str">
        <f t="shared" si="36"/>
        <v/>
      </c>
      <c r="Z140" s="53" t="str">
        <f ca="1">IFERROR(IF(Stock_par_lots[[#This Row],[Stock restant]]=0,"",Stock_par_lots[[#This Row],[Date de péremption]]-TODAY()),"")</f>
        <v/>
      </c>
      <c r="AA140" s="45" t="str">
        <f ca="1">IF(Stock_par_lots[[#This Row],[Stock restant]]=0,"",IF(Stock_par_lots[[#This Row],[jours restants]]&gt;=60,"Conforme",IF(AND(Stock_par_lots[[#This Row],[jours restants]]&lt;60,Stock_par_lots[[#This Row],[jours restants]]&gt;=30),"Surveillance",IF(AND(Stock_par_lots[[#This Row],[jours restants]]&lt;30,Stock_par_lots[[#This Row],[jours restants]]&gt;=0),"Urgente","Expiré"))))</f>
        <v>Conforme</v>
      </c>
      <c r="AB140" s="68" t="str">
        <f ca="1">IF(AND(Stock_par_lots[[#This Row],[jours restants]]&gt;0,Stock_par_lots[[#This Row],[jours restants]]&lt;=60),"Proche","")</f>
        <v/>
      </c>
      <c r="BA140" s="52"/>
      <c r="BB140" s="52"/>
      <c r="BC140" s="52"/>
      <c r="BD140" s="48">
        <f t="shared" si="37"/>
        <v>0</v>
      </c>
      <c r="BE140" s="48">
        <f t="shared" si="38"/>
        <v>0</v>
      </c>
      <c r="BF140" s="46" t="str">
        <f>IFERROR(VLOOKUP(BA140,ListeProduits[],6,FALSE),"")</f>
        <v/>
      </c>
      <c r="BG140" s="47" t="str">
        <f>IFERROR(IF(Stock_par_produits[[#This Row],[Stock nim]]="","",IF(Stock_par_produits[[#This Row],[Stock nim]]&gt;Stock_par_produits[[#This Row],[Quantités restants]],"Commander","Ok")),"")</f>
        <v/>
      </c>
    </row>
    <row r="141" spans="17:59" ht="15.75" customHeight="1" x14ac:dyDescent="0.25">
      <c r="Q141" s="52"/>
      <c r="R141" s="52"/>
      <c r="S141" s="52"/>
      <c r="T141" s="52"/>
      <c r="U141" s="52"/>
      <c r="V141" s="48" t="str">
        <f t="shared" si="33"/>
        <v/>
      </c>
      <c r="W141" s="48" t="str">
        <f t="shared" si="34"/>
        <v/>
      </c>
      <c r="X141" s="43" t="str">
        <f t="shared" si="35"/>
        <v/>
      </c>
      <c r="Y141" s="44" t="str">
        <f t="shared" si="36"/>
        <v/>
      </c>
      <c r="Z141" s="53" t="str">
        <f ca="1">IFERROR(IF(Stock_par_lots[[#This Row],[Stock restant]]=0,"",Stock_par_lots[[#This Row],[Date de péremption]]-TODAY()),"")</f>
        <v/>
      </c>
      <c r="AA141" s="45" t="str">
        <f ca="1">IF(Stock_par_lots[[#This Row],[Stock restant]]=0,"",IF(Stock_par_lots[[#This Row],[jours restants]]&gt;=60,"Conforme",IF(AND(Stock_par_lots[[#This Row],[jours restants]]&lt;60,Stock_par_lots[[#This Row],[jours restants]]&gt;=30),"Surveillance",IF(AND(Stock_par_lots[[#This Row],[jours restants]]&lt;30,Stock_par_lots[[#This Row],[jours restants]]&gt;=0),"Urgente","Expiré"))))</f>
        <v>Conforme</v>
      </c>
      <c r="AB141" s="68" t="str">
        <f ca="1">IF(AND(Stock_par_lots[[#This Row],[jours restants]]&gt;0,Stock_par_lots[[#This Row],[jours restants]]&lt;=60),"Proche","")</f>
        <v/>
      </c>
      <c r="BA141" s="52"/>
      <c r="BB141" s="52"/>
      <c r="BC141" s="52"/>
      <c r="BD141" s="48">
        <f t="shared" si="37"/>
        <v>0</v>
      </c>
      <c r="BE141" s="48">
        <f t="shared" si="38"/>
        <v>0</v>
      </c>
      <c r="BF141" s="46" t="str">
        <f>IFERROR(VLOOKUP(BA141,ListeProduits[],6,FALSE),"")</f>
        <v/>
      </c>
      <c r="BG141" s="47" t="str">
        <f>IFERROR(IF(Stock_par_produits[[#This Row],[Stock nim]]="","",IF(Stock_par_produits[[#This Row],[Stock nim]]&gt;Stock_par_produits[[#This Row],[Quantités restants]],"Commander","Ok")),"")</f>
        <v/>
      </c>
    </row>
    <row r="142" spans="17:59" ht="15.75" customHeight="1" x14ac:dyDescent="0.25">
      <c r="Q142" s="52"/>
      <c r="R142" s="52"/>
      <c r="S142" s="52"/>
      <c r="T142" s="52"/>
      <c r="U142" s="52"/>
      <c r="V142" s="48" t="str">
        <f t="shared" si="33"/>
        <v/>
      </c>
      <c r="W142" s="48" t="str">
        <f t="shared" si="34"/>
        <v/>
      </c>
      <c r="X142" s="43" t="str">
        <f t="shared" si="35"/>
        <v/>
      </c>
      <c r="Y142" s="44" t="str">
        <f t="shared" si="36"/>
        <v/>
      </c>
      <c r="Z142" s="53" t="str">
        <f ca="1">IFERROR(IF(Stock_par_lots[[#This Row],[Stock restant]]=0,"",Stock_par_lots[[#This Row],[Date de péremption]]-TODAY()),"")</f>
        <v/>
      </c>
      <c r="AA142" s="45" t="str">
        <f ca="1">IF(Stock_par_lots[[#This Row],[Stock restant]]=0,"",IF(Stock_par_lots[[#This Row],[jours restants]]&gt;=60,"Conforme",IF(AND(Stock_par_lots[[#This Row],[jours restants]]&lt;60,Stock_par_lots[[#This Row],[jours restants]]&gt;=30),"Surveillance",IF(AND(Stock_par_lots[[#This Row],[jours restants]]&lt;30,Stock_par_lots[[#This Row],[jours restants]]&gt;=0),"Urgente","Expiré"))))</f>
        <v>Conforme</v>
      </c>
      <c r="AB142" s="68" t="str">
        <f ca="1">IF(AND(Stock_par_lots[[#This Row],[jours restants]]&gt;0,Stock_par_lots[[#This Row],[jours restants]]&lt;=60),"Proche","")</f>
        <v/>
      </c>
      <c r="BA142" s="52"/>
      <c r="BB142" s="52"/>
      <c r="BC142" s="52"/>
      <c r="BD142" s="48">
        <f t="shared" si="37"/>
        <v>0</v>
      </c>
      <c r="BE142" s="48">
        <f t="shared" si="38"/>
        <v>0</v>
      </c>
      <c r="BF142" s="46" t="str">
        <f>IFERROR(VLOOKUP(BA142,ListeProduits[],6,FALSE),"")</f>
        <v/>
      </c>
      <c r="BG142" s="47" t="str">
        <f>IFERROR(IF(Stock_par_produits[[#This Row],[Stock nim]]="","",IF(Stock_par_produits[[#This Row],[Stock nim]]&gt;Stock_par_produits[[#This Row],[Quantités restants]],"Commander","Ok")),"")</f>
        <v/>
      </c>
    </row>
    <row r="143" spans="17:59" ht="15.75" customHeight="1" x14ac:dyDescent="0.25">
      <c r="Q143" s="52"/>
      <c r="R143" s="52"/>
      <c r="S143" s="52"/>
      <c r="T143" s="52"/>
      <c r="U143" s="52"/>
      <c r="V143" s="48" t="str">
        <f t="shared" si="33"/>
        <v/>
      </c>
      <c r="W143" s="48" t="str">
        <f t="shared" si="34"/>
        <v/>
      </c>
      <c r="X143" s="43" t="str">
        <f t="shared" si="35"/>
        <v/>
      </c>
      <c r="Y143" s="44" t="str">
        <f t="shared" si="36"/>
        <v/>
      </c>
      <c r="Z143" s="53" t="str">
        <f ca="1">IFERROR(IF(Stock_par_lots[[#This Row],[Stock restant]]=0,"",Stock_par_lots[[#This Row],[Date de péremption]]-TODAY()),"")</f>
        <v/>
      </c>
      <c r="AA143" s="45" t="str">
        <f ca="1">IF(Stock_par_lots[[#This Row],[Stock restant]]=0,"",IF(Stock_par_lots[[#This Row],[jours restants]]&gt;=60,"Conforme",IF(AND(Stock_par_lots[[#This Row],[jours restants]]&lt;60,Stock_par_lots[[#This Row],[jours restants]]&gt;=30),"Surveillance",IF(AND(Stock_par_lots[[#This Row],[jours restants]]&lt;30,Stock_par_lots[[#This Row],[jours restants]]&gt;=0),"Urgente","Expiré"))))</f>
        <v>Conforme</v>
      </c>
      <c r="AB143" s="68" t="str">
        <f ca="1">IF(AND(Stock_par_lots[[#This Row],[jours restants]]&gt;0,Stock_par_lots[[#This Row],[jours restants]]&lt;=60),"Proche","")</f>
        <v/>
      </c>
      <c r="BA143" s="52"/>
      <c r="BB143" s="52"/>
      <c r="BC143" s="52"/>
      <c r="BD143" s="48">
        <f t="shared" si="37"/>
        <v>0</v>
      </c>
      <c r="BE143" s="48">
        <f t="shared" si="38"/>
        <v>0</v>
      </c>
      <c r="BF143" s="46" t="str">
        <f>IFERROR(VLOOKUP(BA143,ListeProduits[],6,FALSE),"")</f>
        <v/>
      </c>
      <c r="BG143" s="47" t="str">
        <f>IFERROR(IF(Stock_par_produits[[#This Row],[Stock nim]]="","",IF(Stock_par_produits[[#This Row],[Stock nim]]&gt;Stock_par_produits[[#This Row],[Quantités restants]],"Commander","Ok")),"")</f>
        <v/>
      </c>
    </row>
    <row r="144" spans="17:59" ht="15.75" customHeight="1" x14ac:dyDescent="0.25">
      <c r="Q144" s="52"/>
      <c r="R144" s="52"/>
      <c r="S144" s="52"/>
      <c r="T144" s="52"/>
      <c r="U144" s="52"/>
      <c r="V144" s="48" t="str">
        <f t="shared" si="33"/>
        <v/>
      </c>
      <c r="W144" s="48" t="str">
        <f t="shared" si="34"/>
        <v/>
      </c>
      <c r="X144" s="43" t="str">
        <f t="shared" si="35"/>
        <v/>
      </c>
      <c r="Y144" s="44" t="str">
        <f t="shared" si="36"/>
        <v/>
      </c>
      <c r="Z144" s="53" t="str">
        <f ca="1">IFERROR(IF(Stock_par_lots[[#This Row],[Stock restant]]=0,"",Stock_par_lots[[#This Row],[Date de péremption]]-TODAY()),"")</f>
        <v/>
      </c>
      <c r="AA144" s="45" t="str">
        <f ca="1">IF(Stock_par_lots[[#This Row],[Stock restant]]=0,"",IF(Stock_par_lots[[#This Row],[jours restants]]&gt;=60,"Conforme",IF(AND(Stock_par_lots[[#This Row],[jours restants]]&lt;60,Stock_par_lots[[#This Row],[jours restants]]&gt;=30),"Surveillance",IF(AND(Stock_par_lots[[#This Row],[jours restants]]&lt;30,Stock_par_lots[[#This Row],[jours restants]]&gt;=0),"Urgente","Expiré"))))</f>
        <v>Conforme</v>
      </c>
      <c r="AB144" s="68" t="str">
        <f ca="1">IF(AND(Stock_par_lots[[#This Row],[jours restants]]&gt;0,Stock_par_lots[[#This Row],[jours restants]]&lt;=60),"Proche","")</f>
        <v/>
      </c>
      <c r="BA144" s="52"/>
      <c r="BB144" s="52"/>
      <c r="BC144" s="52"/>
      <c r="BD144" s="48">
        <f t="shared" si="37"/>
        <v>0</v>
      </c>
      <c r="BE144" s="48">
        <f t="shared" si="38"/>
        <v>0</v>
      </c>
      <c r="BF144" s="46" t="str">
        <f>IFERROR(VLOOKUP(BA144,ListeProduits[],6,FALSE),"")</f>
        <v/>
      </c>
      <c r="BG144" s="47" t="str">
        <f>IFERROR(IF(Stock_par_produits[[#This Row],[Stock nim]]="","",IF(Stock_par_produits[[#This Row],[Stock nim]]&gt;Stock_par_produits[[#This Row],[Quantités restants]],"Commander","Ok")),"")</f>
        <v/>
      </c>
    </row>
    <row r="145" spans="17:59" ht="15.75" customHeight="1" x14ac:dyDescent="0.25">
      <c r="Q145" s="52"/>
      <c r="R145" s="52"/>
      <c r="S145" s="52"/>
      <c r="T145" s="52"/>
      <c r="U145" s="52"/>
      <c r="V145" s="48" t="str">
        <f t="shared" si="33"/>
        <v/>
      </c>
      <c r="W145" s="48" t="str">
        <f t="shared" si="34"/>
        <v/>
      </c>
      <c r="X145" s="43" t="str">
        <f t="shared" si="35"/>
        <v/>
      </c>
      <c r="Y145" s="44" t="str">
        <f t="shared" si="36"/>
        <v/>
      </c>
      <c r="Z145" s="53" t="str">
        <f ca="1">IFERROR(IF(Stock_par_lots[[#This Row],[Stock restant]]=0,"",Stock_par_lots[[#This Row],[Date de péremption]]-TODAY()),"")</f>
        <v/>
      </c>
      <c r="AA145" s="45" t="str">
        <f ca="1">IF(Stock_par_lots[[#This Row],[Stock restant]]=0,"",IF(Stock_par_lots[[#This Row],[jours restants]]&gt;=60,"Conforme",IF(AND(Stock_par_lots[[#This Row],[jours restants]]&lt;60,Stock_par_lots[[#This Row],[jours restants]]&gt;=30),"Surveillance",IF(AND(Stock_par_lots[[#This Row],[jours restants]]&lt;30,Stock_par_lots[[#This Row],[jours restants]]&gt;=0),"Urgente","Expiré"))))</f>
        <v>Conforme</v>
      </c>
      <c r="AB145" s="68" t="str">
        <f ca="1">IF(AND(Stock_par_lots[[#This Row],[jours restants]]&gt;0,Stock_par_lots[[#This Row],[jours restants]]&lt;=60),"Proche","")</f>
        <v/>
      </c>
      <c r="BA145" s="52"/>
      <c r="BB145" s="52"/>
      <c r="BC145" s="52"/>
      <c r="BD145" s="48">
        <f t="shared" si="37"/>
        <v>0</v>
      </c>
      <c r="BE145" s="48">
        <f t="shared" si="38"/>
        <v>0</v>
      </c>
      <c r="BF145" s="46" t="str">
        <f>IFERROR(VLOOKUP(BA145,ListeProduits[],6,FALSE),"")</f>
        <v/>
      </c>
      <c r="BG145" s="47" t="str">
        <f>IFERROR(IF(Stock_par_produits[[#This Row],[Stock nim]]="","",IF(Stock_par_produits[[#This Row],[Stock nim]]&gt;Stock_par_produits[[#This Row],[Quantités restants]],"Commander","Ok")),"")</f>
        <v/>
      </c>
    </row>
    <row r="146" spans="17:59" ht="15.75" customHeight="1" x14ac:dyDescent="0.25">
      <c r="Q146" s="52"/>
      <c r="R146" s="52"/>
      <c r="S146" s="52"/>
      <c r="T146" s="52"/>
      <c r="U146" s="52"/>
      <c r="V146" s="48" t="str">
        <f t="shared" si="33"/>
        <v/>
      </c>
      <c r="W146" s="48" t="str">
        <f t="shared" si="34"/>
        <v/>
      </c>
      <c r="X146" s="43" t="str">
        <f t="shared" si="35"/>
        <v/>
      </c>
      <c r="Y146" s="44" t="str">
        <f t="shared" si="36"/>
        <v/>
      </c>
      <c r="Z146" s="53" t="str">
        <f ca="1">IFERROR(IF(Stock_par_lots[[#This Row],[Stock restant]]=0,"",Stock_par_lots[[#This Row],[Date de péremption]]-TODAY()),"")</f>
        <v/>
      </c>
      <c r="AA146" s="45" t="str">
        <f ca="1">IF(Stock_par_lots[[#This Row],[Stock restant]]=0,"",IF(Stock_par_lots[[#This Row],[jours restants]]&gt;=60,"Conforme",IF(AND(Stock_par_lots[[#This Row],[jours restants]]&lt;60,Stock_par_lots[[#This Row],[jours restants]]&gt;=30),"Surveillance",IF(AND(Stock_par_lots[[#This Row],[jours restants]]&lt;30,Stock_par_lots[[#This Row],[jours restants]]&gt;=0),"Urgente","Expiré"))))</f>
        <v>Conforme</v>
      </c>
      <c r="AB146" s="68" t="str">
        <f ca="1">IF(AND(Stock_par_lots[[#This Row],[jours restants]]&gt;0,Stock_par_lots[[#This Row],[jours restants]]&lt;=60),"Proche","")</f>
        <v/>
      </c>
      <c r="BA146" s="52"/>
      <c r="BB146" s="52"/>
      <c r="BC146" s="52"/>
      <c r="BD146" s="48">
        <f t="shared" si="37"/>
        <v>0</v>
      </c>
      <c r="BE146" s="48">
        <f t="shared" si="38"/>
        <v>0</v>
      </c>
      <c r="BF146" s="46" t="str">
        <f>IFERROR(VLOOKUP(BA146,ListeProduits[],6,FALSE),"")</f>
        <v/>
      </c>
      <c r="BG146" s="47" t="str">
        <f>IFERROR(IF(Stock_par_produits[[#This Row],[Stock nim]]="","",IF(Stock_par_produits[[#This Row],[Stock nim]]&gt;Stock_par_produits[[#This Row],[Quantités restants]],"Commander","Ok")),"")</f>
        <v/>
      </c>
    </row>
    <row r="147" spans="17:59" ht="15.75" customHeight="1" x14ac:dyDescent="0.25">
      <c r="Q147" s="52"/>
      <c r="R147" s="52"/>
      <c r="S147" s="52"/>
      <c r="T147" s="52"/>
      <c r="U147" s="52"/>
      <c r="V147" s="48" t="str">
        <f t="shared" si="33"/>
        <v/>
      </c>
      <c r="W147" s="48" t="str">
        <f t="shared" si="34"/>
        <v/>
      </c>
      <c r="X147" s="43" t="str">
        <f t="shared" si="35"/>
        <v/>
      </c>
      <c r="Y147" s="44" t="str">
        <f t="shared" si="36"/>
        <v/>
      </c>
      <c r="Z147" s="53" t="str">
        <f ca="1">IFERROR(IF(Stock_par_lots[[#This Row],[Stock restant]]=0,"",Stock_par_lots[[#This Row],[Date de péremption]]-TODAY()),"")</f>
        <v/>
      </c>
      <c r="AA147" s="45" t="str">
        <f ca="1">IF(Stock_par_lots[[#This Row],[Stock restant]]=0,"",IF(Stock_par_lots[[#This Row],[jours restants]]&gt;=60,"Conforme",IF(AND(Stock_par_lots[[#This Row],[jours restants]]&lt;60,Stock_par_lots[[#This Row],[jours restants]]&gt;=30),"Surveillance",IF(AND(Stock_par_lots[[#This Row],[jours restants]]&lt;30,Stock_par_lots[[#This Row],[jours restants]]&gt;=0),"Urgente","Expiré"))))</f>
        <v>Conforme</v>
      </c>
      <c r="AB147" s="68" t="str">
        <f ca="1">IF(AND(Stock_par_lots[[#This Row],[jours restants]]&gt;0,Stock_par_lots[[#This Row],[jours restants]]&lt;=60),"Proche","")</f>
        <v/>
      </c>
      <c r="BA147" s="52"/>
      <c r="BB147" s="52"/>
      <c r="BC147" s="52"/>
      <c r="BD147" s="48">
        <f t="shared" si="37"/>
        <v>0</v>
      </c>
      <c r="BE147" s="48">
        <f t="shared" si="38"/>
        <v>0</v>
      </c>
      <c r="BF147" s="46" t="str">
        <f>IFERROR(VLOOKUP(BA147,ListeProduits[],6,FALSE),"")</f>
        <v/>
      </c>
      <c r="BG147" s="47" t="str">
        <f>IFERROR(IF(Stock_par_produits[[#This Row],[Stock nim]]="","",IF(Stock_par_produits[[#This Row],[Stock nim]]&gt;Stock_par_produits[[#This Row],[Quantités restants]],"Commander","Ok")),"")</f>
        <v/>
      </c>
    </row>
    <row r="148" spans="17:59" ht="15.75" customHeight="1" x14ac:dyDescent="0.25">
      <c r="Q148" s="52"/>
      <c r="R148" s="52"/>
      <c r="S148" s="52"/>
      <c r="T148" s="52"/>
      <c r="U148" s="52"/>
      <c r="V148" s="48" t="str">
        <f t="shared" si="33"/>
        <v/>
      </c>
      <c r="W148" s="48" t="str">
        <f t="shared" si="34"/>
        <v/>
      </c>
      <c r="X148" s="43" t="str">
        <f t="shared" si="35"/>
        <v/>
      </c>
      <c r="Y148" s="44" t="str">
        <f t="shared" si="36"/>
        <v/>
      </c>
      <c r="Z148" s="53" t="str">
        <f ca="1">IFERROR(IF(Stock_par_lots[[#This Row],[Stock restant]]=0,"",Stock_par_lots[[#This Row],[Date de péremption]]-TODAY()),"")</f>
        <v/>
      </c>
      <c r="AA148" s="45" t="str">
        <f ca="1">IF(Stock_par_lots[[#This Row],[Stock restant]]=0,"",IF(Stock_par_lots[[#This Row],[jours restants]]&gt;=60,"Conforme",IF(AND(Stock_par_lots[[#This Row],[jours restants]]&lt;60,Stock_par_lots[[#This Row],[jours restants]]&gt;=30),"Surveillance",IF(AND(Stock_par_lots[[#This Row],[jours restants]]&lt;30,Stock_par_lots[[#This Row],[jours restants]]&gt;=0),"Urgente","Expiré"))))</f>
        <v>Conforme</v>
      </c>
      <c r="AB148" s="68" t="str">
        <f ca="1">IF(AND(Stock_par_lots[[#This Row],[jours restants]]&gt;0,Stock_par_lots[[#This Row],[jours restants]]&lt;=60),"Proche","")</f>
        <v/>
      </c>
      <c r="BA148" s="52"/>
      <c r="BB148" s="52"/>
      <c r="BC148" s="52"/>
      <c r="BD148" s="48">
        <f t="shared" si="37"/>
        <v>0</v>
      </c>
      <c r="BE148" s="48">
        <f t="shared" si="38"/>
        <v>0</v>
      </c>
      <c r="BF148" s="46" t="str">
        <f>IFERROR(VLOOKUP(BA148,ListeProduits[],6,FALSE),"")</f>
        <v/>
      </c>
      <c r="BG148" s="47" t="str">
        <f>IFERROR(IF(Stock_par_produits[[#This Row],[Stock nim]]="","",IF(Stock_par_produits[[#This Row],[Stock nim]]&gt;Stock_par_produits[[#This Row],[Quantités restants]],"Commander","Ok")),"")</f>
        <v/>
      </c>
    </row>
    <row r="149" spans="17:59" ht="15.75" customHeight="1" x14ac:dyDescent="0.25">
      <c r="Q149" s="52"/>
      <c r="R149" s="52"/>
      <c r="S149" s="52"/>
      <c r="T149" s="52"/>
      <c r="U149" s="52"/>
      <c r="V149" s="48" t="str">
        <f t="shared" si="33"/>
        <v/>
      </c>
      <c r="W149" s="48" t="str">
        <f t="shared" si="34"/>
        <v/>
      </c>
      <c r="X149" s="43" t="str">
        <f t="shared" si="35"/>
        <v/>
      </c>
      <c r="Y149" s="44" t="str">
        <f t="shared" si="36"/>
        <v/>
      </c>
      <c r="Z149" s="53" t="str">
        <f ca="1">IFERROR(IF(Stock_par_lots[[#This Row],[Stock restant]]=0,"",Stock_par_lots[[#This Row],[Date de péremption]]-TODAY()),"")</f>
        <v/>
      </c>
      <c r="AA149" s="45" t="str">
        <f ca="1">IF(Stock_par_lots[[#This Row],[Stock restant]]=0,"",IF(Stock_par_lots[[#This Row],[jours restants]]&gt;=60,"Conforme",IF(AND(Stock_par_lots[[#This Row],[jours restants]]&lt;60,Stock_par_lots[[#This Row],[jours restants]]&gt;=30),"Surveillance",IF(AND(Stock_par_lots[[#This Row],[jours restants]]&lt;30,Stock_par_lots[[#This Row],[jours restants]]&gt;=0),"Urgente","Expiré"))))</f>
        <v>Conforme</v>
      </c>
      <c r="AB149" s="68" t="str">
        <f ca="1">IF(AND(Stock_par_lots[[#This Row],[jours restants]]&gt;0,Stock_par_lots[[#This Row],[jours restants]]&lt;=60),"Proche","")</f>
        <v/>
      </c>
      <c r="BA149" s="52"/>
      <c r="BB149" s="52"/>
      <c r="BC149" s="52"/>
      <c r="BD149" s="48">
        <f t="shared" si="37"/>
        <v>0</v>
      </c>
      <c r="BE149" s="48">
        <f t="shared" si="38"/>
        <v>0</v>
      </c>
      <c r="BF149" s="46" t="str">
        <f>IFERROR(VLOOKUP(BA149,ListeProduits[],6,FALSE),"")</f>
        <v/>
      </c>
      <c r="BG149" s="47" t="str">
        <f>IFERROR(IF(Stock_par_produits[[#This Row],[Stock nim]]="","",IF(Stock_par_produits[[#This Row],[Stock nim]]&gt;Stock_par_produits[[#This Row],[Quantités restants]],"Commander","Ok")),"")</f>
        <v/>
      </c>
    </row>
    <row r="150" spans="17:59" ht="15.75" customHeight="1" x14ac:dyDescent="0.25">
      <c r="Q150" s="52"/>
      <c r="R150" s="52"/>
      <c r="S150" s="52"/>
      <c r="T150" s="52"/>
      <c r="U150" s="52"/>
      <c r="V150" s="48" t="str">
        <f t="shared" si="33"/>
        <v/>
      </c>
      <c r="W150" s="48" t="str">
        <f t="shared" si="34"/>
        <v/>
      </c>
      <c r="X150" s="43" t="str">
        <f t="shared" si="35"/>
        <v/>
      </c>
      <c r="Y150" s="44" t="str">
        <f t="shared" si="36"/>
        <v/>
      </c>
      <c r="Z150" s="53" t="str">
        <f ca="1">IFERROR(IF(Stock_par_lots[[#This Row],[Stock restant]]=0,"",Stock_par_lots[[#This Row],[Date de péremption]]-TODAY()),"")</f>
        <v/>
      </c>
      <c r="AA150" s="45" t="str">
        <f ca="1">IF(Stock_par_lots[[#This Row],[Stock restant]]=0,"",IF(Stock_par_lots[[#This Row],[jours restants]]&gt;=60,"Conforme",IF(AND(Stock_par_lots[[#This Row],[jours restants]]&lt;60,Stock_par_lots[[#This Row],[jours restants]]&gt;=30),"Surveillance",IF(AND(Stock_par_lots[[#This Row],[jours restants]]&lt;30,Stock_par_lots[[#This Row],[jours restants]]&gt;=0),"Urgente","Expiré"))))</f>
        <v>Conforme</v>
      </c>
      <c r="AB150" s="68" t="str">
        <f ca="1">IF(AND(Stock_par_lots[[#This Row],[jours restants]]&gt;0,Stock_par_lots[[#This Row],[jours restants]]&lt;=60),"Proche","")</f>
        <v/>
      </c>
      <c r="BA150" s="52"/>
      <c r="BB150" s="52"/>
      <c r="BC150" s="52"/>
      <c r="BD150" s="48">
        <f t="shared" si="37"/>
        <v>0</v>
      </c>
      <c r="BE150" s="48">
        <f t="shared" si="38"/>
        <v>0</v>
      </c>
      <c r="BF150" s="46" t="str">
        <f>IFERROR(VLOOKUP(BA150,ListeProduits[],6,FALSE),"")</f>
        <v/>
      </c>
      <c r="BG150" s="47" t="str">
        <f>IFERROR(IF(Stock_par_produits[[#This Row],[Stock nim]]="","",IF(Stock_par_produits[[#This Row],[Stock nim]]&gt;Stock_par_produits[[#This Row],[Quantités restants]],"Commander","Ok")),"")</f>
        <v/>
      </c>
    </row>
    <row r="151" spans="17:59" ht="15.75" customHeight="1" x14ac:dyDescent="0.25">
      <c r="Q151" s="52"/>
      <c r="R151" s="52"/>
      <c r="S151" s="52"/>
      <c r="T151" s="52"/>
      <c r="U151" s="52"/>
      <c r="V151" s="48" t="str">
        <f t="shared" si="33"/>
        <v/>
      </c>
      <c r="W151" s="48" t="str">
        <f t="shared" si="34"/>
        <v/>
      </c>
      <c r="X151" s="43" t="str">
        <f t="shared" si="35"/>
        <v/>
      </c>
      <c r="Y151" s="44" t="str">
        <f t="shared" si="36"/>
        <v/>
      </c>
      <c r="Z151" s="53" t="str">
        <f ca="1">IFERROR(IF(Stock_par_lots[[#This Row],[Stock restant]]=0,"",Stock_par_lots[[#This Row],[Date de péremption]]-TODAY()),"")</f>
        <v/>
      </c>
      <c r="AA151" s="45" t="str">
        <f ca="1">IF(Stock_par_lots[[#This Row],[Stock restant]]=0,"",IF(Stock_par_lots[[#This Row],[jours restants]]&gt;=60,"Conforme",IF(AND(Stock_par_lots[[#This Row],[jours restants]]&lt;60,Stock_par_lots[[#This Row],[jours restants]]&gt;=30),"Surveillance",IF(AND(Stock_par_lots[[#This Row],[jours restants]]&lt;30,Stock_par_lots[[#This Row],[jours restants]]&gt;=0),"Urgente","Expiré"))))</f>
        <v>Conforme</v>
      </c>
      <c r="AB151" s="68" t="str">
        <f ca="1">IF(AND(Stock_par_lots[[#This Row],[jours restants]]&gt;0,Stock_par_lots[[#This Row],[jours restants]]&lt;=60),"Proche","")</f>
        <v/>
      </c>
      <c r="BA151" s="52"/>
      <c r="BB151" s="52"/>
      <c r="BC151" s="52"/>
      <c r="BD151" s="48">
        <f t="shared" si="37"/>
        <v>0</v>
      </c>
      <c r="BE151" s="48">
        <f t="shared" si="38"/>
        <v>0</v>
      </c>
      <c r="BF151" s="46" t="str">
        <f>IFERROR(VLOOKUP(BA151,ListeProduits[],6,FALSE),"")</f>
        <v/>
      </c>
      <c r="BG151" s="47" t="str">
        <f>IFERROR(IF(Stock_par_produits[[#This Row],[Stock nim]]="","",IF(Stock_par_produits[[#This Row],[Stock nim]]&gt;Stock_par_produits[[#This Row],[Quantités restants]],"Commander","Ok")),"")</f>
        <v/>
      </c>
    </row>
    <row r="152" spans="17:59" ht="15.75" customHeight="1" x14ac:dyDescent="0.25">
      <c r="Q152" s="52"/>
      <c r="R152" s="52"/>
      <c r="S152" s="52"/>
      <c r="T152" s="52"/>
      <c r="U152" s="52"/>
      <c r="V152" s="48" t="str">
        <f t="shared" si="33"/>
        <v/>
      </c>
      <c r="W152" s="48" t="str">
        <f t="shared" si="34"/>
        <v/>
      </c>
      <c r="X152" s="43" t="str">
        <f t="shared" si="35"/>
        <v/>
      </c>
      <c r="Y152" s="44" t="str">
        <f t="shared" si="36"/>
        <v/>
      </c>
      <c r="Z152" s="53" t="str">
        <f ca="1">IFERROR(IF(Stock_par_lots[[#This Row],[Stock restant]]=0,"",Stock_par_lots[[#This Row],[Date de péremption]]-TODAY()),"")</f>
        <v/>
      </c>
      <c r="AA152" s="45" t="str">
        <f ca="1">IF(Stock_par_lots[[#This Row],[Stock restant]]=0,"",IF(Stock_par_lots[[#This Row],[jours restants]]&gt;=60,"Conforme",IF(AND(Stock_par_lots[[#This Row],[jours restants]]&lt;60,Stock_par_lots[[#This Row],[jours restants]]&gt;=30),"Surveillance",IF(AND(Stock_par_lots[[#This Row],[jours restants]]&lt;30,Stock_par_lots[[#This Row],[jours restants]]&gt;=0),"Urgente","Expiré"))))</f>
        <v>Conforme</v>
      </c>
      <c r="AB152" s="68" t="str">
        <f ca="1">IF(AND(Stock_par_lots[[#This Row],[jours restants]]&gt;0,Stock_par_lots[[#This Row],[jours restants]]&lt;=60),"Proche","")</f>
        <v/>
      </c>
      <c r="BA152" s="52"/>
      <c r="BB152" s="52"/>
      <c r="BC152" s="52"/>
      <c r="BD152" s="48">
        <f t="shared" si="37"/>
        <v>0</v>
      </c>
      <c r="BE152" s="48">
        <f t="shared" si="38"/>
        <v>0</v>
      </c>
      <c r="BF152" s="46" t="str">
        <f>IFERROR(VLOOKUP(BA152,ListeProduits[],6,FALSE),"")</f>
        <v/>
      </c>
      <c r="BG152" s="47" t="str">
        <f>IFERROR(IF(Stock_par_produits[[#This Row],[Stock nim]]="","",IF(Stock_par_produits[[#This Row],[Stock nim]]&gt;Stock_par_produits[[#This Row],[Quantités restants]],"Commander","Ok")),"")</f>
        <v/>
      </c>
    </row>
    <row r="153" spans="17:59" ht="15.75" customHeight="1" x14ac:dyDescent="0.25">
      <c r="Q153" s="52"/>
      <c r="R153" s="52"/>
      <c r="S153" s="52"/>
      <c r="T153" s="52"/>
      <c r="U153" s="52"/>
      <c r="V153" s="48" t="str">
        <f t="shared" si="33"/>
        <v/>
      </c>
      <c r="W153" s="48" t="str">
        <f t="shared" si="34"/>
        <v/>
      </c>
      <c r="X153" s="43" t="str">
        <f t="shared" si="35"/>
        <v/>
      </c>
      <c r="Y153" s="44" t="str">
        <f t="shared" si="36"/>
        <v/>
      </c>
      <c r="Z153" s="53" t="str">
        <f ca="1">IFERROR(IF(Stock_par_lots[[#This Row],[Stock restant]]=0,"",Stock_par_lots[[#This Row],[Date de péremption]]-TODAY()),"")</f>
        <v/>
      </c>
      <c r="AA153" s="45" t="str">
        <f ca="1">IF(Stock_par_lots[[#This Row],[Stock restant]]=0,"",IF(Stock_par_lots[[#This Row],[jours restants]]&gt;=60,"Conforme",IF(AND(Stock_par_lots[[#This Row],[jours restants]]&lt;60,Stock_par_lots[[#This Row],[jours restants]]&gt;=30),"Surveillance",IF(AND(Stock_par_lots[[#This Row],[jours restants]]&lt;30,Stock_par_lots[[#This Row],[jours restants]]&gt;=0),"Urgente","Expiré"))))</f>
        <v>Conforme</v>
      </c>
      <c r="AB153" s="68" t="str">
        <f ca="1">IF(AND(Stock_par_lots[[#This Row],[jours restants]]&gt;0,Stock_par_lots[[#This Row],[jours restants]]&lt;=60),"Proche","")</f>
        <v/>
      </c>
      <c r="BA153" s="52"/>
      <c r="BB153" s="52"/>
      <c r="BC153" s="52"/>
      <c r="BD153" s="48">
        <f t="shared" si="37"/>
        <v>0</v>
      </c>
      <c r="BE153" s="48">
        <f t="shared" si="38"/>
        <v>0</v>
      </c>
      <c r="BF153" s="46" t="str">
        <f>IFERROR(VLOOKUP(BA153,ListeProduits[],6,FALSE),"")</f>
        <v/>
      </c>
      <c r="BG153" s="47" t="str">
        <f>IFERROR(IF(Stock_par_produits[[#This Row],[Stock nim]]="","",IF(Stock_par_produits[[#This Row],[Stock nim]]&gt;Stock_par_produits[[#This Row],[Quantités restants]],"Commander","Ok")),"")</f>
        <v/>
      </c>
    </row>
    <row r="154" spans="17:59" ht="15.75" customHeight="1" x14ac:dyDescent="0.25">
      <c r="Q154" s="52"/>
      <c r="R154" s="52"/>
      <c r="S154" s="52"/>
      <c r="T154" s="52"/>
      <c r="U154" s="52"/>
      <c r="V154" s="48" t="str">
        <f t="shared" si="33"/>
        <v/>
      </c>
      <c r="W154" s="48" t="str">
        <f t="shared" si="34"/>
        <v/>
      </c>
      <c r="X154" s="43" t="str">
        <f t="shared" si="35"/>
        <v/>
      </c>
      <c r="Y154" s="44" t="str">
        <f t="shared" si="36"/>
        <v/>
      </c>
      <c r="Z154" s="53" t="str">
        <f ca="1">IFERROR(IF(Stock_par_lots[[#This Row],[Stock restant]]=0,"",Stock_par_lots[[#This Row],[Date de péremption]]-TODAY()),"")</f>
        <v/>
      </c>
      <c r="AA154" s="45" t="str">
        <f ca="1">IF(Stock_par_lots[[#This Row],[Stock restant]]=0,"",IF(Stock_par_lots[[#This Row],[jours restants]]&gt;=60,"Conforme",IF(AND(Stock_par_lots[[#This Row],[jours restants]]&lt;60,Stock_par_lots[[#This Row],[jours restants]]&gt;=30),"Surveillance",IF(AND(Stock_par_lots[[#This Row],[jours restants]]&lt;30,Stock_par_lots[[#This Row],[jours restants]]&gt;=0),"Urgente","Expiré"))))</f>
        <v>Conforme</v>
      </c>
      <c r="AB154" s="68" t="str">
        <f ca="1">IF(AND(Stock_par_lots[[#This Row],[jours restants]]&gt;0,Stock_par_lots[[#This Row],[jours restants]]&lt;=60),"Proche","")</f>
        <v/>
      </c>
      <c r="BA154" s="52"/>
      <c r="BB154" s="52"/>
      <c r="BC154" s="52"/>
      <c r="BD154" s="48">
        <f t="shared" si="37"/>
        <v>0</v>
      </c>
      <c r="BE154" s="48">
        <f t="shared" si="38"/>
        <v>0</v>
      </c>
      <c r="BF154" s="46" t="str">
        <f>IFERROR(VLOOKUP(BA154,ListeProduits[],6,FALSE),"")</f>
        <v/>
      </c>
      <c r="BG154" s="47" t="str">
        <f>IFERROR(IF(Stock_par_produits[[#This Row],[Stock nim]]="","",IF(Stock_par_produits[[#This Row],[Stock nim]]&gt;Stock_par_produits[[#This Row],[Quantités restants]],"Commander","Ok")),"")</f>
        <v/>
      </c>
    </row>
    <row r="155" spans="17:59" ht="15.75" customHeight="1" x14ac:dyDescent="0.25">
      <c r="Q155" s="52"/>
      <c r="R155" s="52"/>
      <c r="S155" s="52"/>
      <c r="T155" s="52"/>
      <c r="U155" s="52"/>
      <c r="V155" s="48" t="str">
        <f t="shared" si="33"/>
        <v/>
      </c>
      <c r="W155" s="48" t="str">
        <f t="shared" si="34"/>
        <v/>
      </c>
      <c r="X155" s="43" t="str">
        <f t="shared" si="35"/>
        <v/>
      </c>
      <c r="Y155" s="44" t="str">
        <f t="shared" si="36"/>
        <v/>
      </c>
      <c r="Z155" s="53" t="str">
        <f ca="1">IFERROR(IF(Stock_par_lots[[#This Row],[Stock restant]]=0,"",Stock_par_lots[[#This Row],[Date de péremption]]-TODAY()),"")</f>
        <v/>
      </c>
      <c r="AA155" s="45" t="str">
        <f ca="1">IF(Stock_par_lots[[#This Row],[Stock restant]]=0,"",IF(Stock_par_lots[[#This Row],[jours restants]]&gt;=60,"Conforme",IF(AND(Stock_par_lots[[#This Row],[jours restants]]&lt;60,Stock_par_lots[[#This Row],[jours restants]]&gt;=30),"Surveillance",IF(AND(Stock_par_lots[[#This Row],[jours restants]]&lt;30,Stock_par_lots[[#This Row],[jours restants]]&gt;=0),"Urgente","Expiré"))))</f>
        <v>Conforme</v>
      </c>
      <c r="AB155" s="68" t="str">
        <f ca="1">IF(AND(Stock_par_lots[[#This Row],[jours restants]]&gt;0,Stock_par_lots[[#This Row],[jours restants]]&lt;=60),"Proche","")</f>
        <v/>
      </c>
      <c r="BA155" s="52"/>
      <c r="BB155" s="52"/>
      <c r="BC155" s="52"/>
      <c r="BD155" s="48">
        <f t="shared" si="37"/>
        <v>0</v>
      </c>
      <c r="BE155" s="48">
        <f t="shared" si="38"/>
        <v>0</v>
      </c>
      <c r="BF155" s="46" t="str">
        <f>IFERROR(VLOOKUP(BA155,ListeProduits[],6,FALSE),"")</f>
        <v/>
      </c>
      <c r="BG155" s="47" t="str">
        <f>IFERROR(IF(Stock_par_produits[[#This Row],[Stock nim]]="","",IF(Stock_par_produits[[#This Row],[Stock nim]]&gt;Stock_par_produits[[#This Row],[Quantités restants]],"Commander","Ok")),"")</f>
        <v/>
      </c>
    </row>
    <row r="156" spans="17:59" ht="15.75" customHeight="1" x14ac:dyDescent="0.25">
      <c r="Q156" s="52"/>
      <c r="R156" s="52"/>
      <c r="S156" s="52"/>
      <c r="T156" s="52"/>
      <c r="U156" s="52"/>
      <c r="V156" s="48" t="str">
        <f t="shared" si="33"/>
        <v/>
      </c>
      <c r="W156" s="48" t="str">
        <f t="shared" si="34"/>
        <v/>
      </c>
      <c r="X156" s="43" t="str">
        <f t="shared" si="35"/>
        <v/>
      </c>
      <c r="Y156" s="44" t="str">
        <f t="shared" si="36"/>
        <v/>
      </c>
      <c r="Z156" s="53" t="str">
        <f ca="1">IFERROR(IF(Stock_par_lots[[#This Row],[Stock restant]]=0,"",Stock_par_lots[[#This Row],[Date de péremption]]-TODAY()),"")</f>
        <v/>
      </c>
      <c r="AA156" s="45" t="str">
        <f ca="1">IF(Stock_par_lots[[#This Row],[Stock restant]]=0,"",IF(Stock_par_lots[[#This Row],[jours restants]]&gt;=60,"Conforme",IF(AND(Stock_par_lots[[#This Row],[jours restants]]&lt;60,Stock_par_lots[[#This Row],[jours restants]]&gt;=30),"Surveillance",IF(AND(Stock_par_lots[[#This Row],[jours restants]]&lt;30,Stock_par_lots[[#This Row],[jours restants]]&gt;=0),"Urgente","Expiré"))))</f>
        <v>Conforme</v>
      </c>
      <c r="AB156" s="68" t="str">
        <f ca="1">IF(AND(Stock_par_lots[[#This Row],[jours restants]]&gt;0,Stock_par_lots[[#This Row],[jours restants]]&lt;=60),"Proche","")</f>
        <v/>
      </c>
      <c r="BA156" s="52"/>
      <c r="BB156" s="52"/>
      <c r="BC156" s="52"/>
      <c r="BD156" s="48">
        <f t="shared" si="37"/>
        <v>0</v>
      </c>
      <c r="BE156" s="48">
        <f t="shared" si="38"/>
        <v>0</v>
      </c>
      <c r="BF156" s="46" t="str">
        <f>IFERROR(VLOOKUP(BA156,ListeProduits[],6,FALSE),"")</f>
        <v/>
      </c>
      <c r="BG156" s="47" t="str">
        <f>IFERROR(IF(Stock_par_produits[[#This Row],[Stock nim]]="","",IF(Stock_par_produits[[#This Row],[Stock nim]]&gt;Stock_par_produits[[#This Row],[Quantités restants]],"Commander","Ok")),"")</f>
        <v/>
      </c>
    </row>
    <row r="157" spans="17:59" ht="15.75" customHeight="1" x14ac:dyDescent="0.25">
      <c r="Q157" s="52"/>
      <c r="R157" s="52"/>
      <c r="S157" s="52"/>
      <c r="T157" s="52"/>
      <c r="U157" s="52"/>
      <c r="V157" s="48" t="str">
        <f t="shared" si="33"/>
        <v/>
      </c>
      <c r="W157" s="48" t="str">
        <f t="shared" si="34"/>
        <v/>
      </c>
      <c r="X157" s="43" t="str">
        <f t="shared" si="35"/>
        <v/>
      </c>
      <c r="Y157" s="44" t="str">
        <f t="shared" si="36"/>
        <v/>
      </c>
      <c r="Z157" s="53" t="str">
        <f ca="1">IFERROR(IF(Stock_par_lots[[#This Row],[Stock restant]]=0,"",Stock_par_lots[[#This Row],[Date de péremption]]-TODAY()),"")</f>
        <v/>
      </c>
      <c r="AA157" s="45" t="str">
        <f ca="1">IF(Stock_par_lots[[#This Row],[Stock restant]]=0,"",IF(Stock_par_lots[[#This Row],[jours restants]]&gt;=60,"Conforme",IF(AND(Stock_par_lots[[#This Row],[jours restants]]&lt;60,Stock_par_lots[[#This Row],[jours restants]]&gt;=30),"Surveillance",IF(AND(Stock_par_lots[[#This Row],[jours restants]]&lt;30,Stock_par_lots[[#This Row],[jours restants]]&gt;=0),"Urgente","Expiré"))))</f>
        <v>Conforme</v>
      </c>
      <c r="AB157" s="68" t="str">
        <f ca="1">IF(AND(Stock_par_lots[[#This Row],[jours restants]]&gt;0,Stock_par_lots[[#This Row],[jours restants]]&lt;=60),"Proche","")</f>
        <v/>
      </c>
      <c r="BA157" s="52"/>
      <c r="BB157" s="52"/>
      <c r="BC157" s="52"/>
      <c r="BD157" s="48">
        <f t="shared" si="37"/>
        <v>0</v>
      </c>
      <c r="BE157" s="48">
        <f t="shared" si="38"/>
        <v>0</v>
      </c>
      <c r="BF157" s="46" t="str">
        <f>IFERROR(VLOOKUP(BA157,ListeProduits[],6,FALSE),"")</f>
        <v/>
      </c>
      <c r="BG157" s="47" t="str">
        <f>IFERROR(IF(Stock_par_produits[[#This Row],[Stock nim]]="","",IF(Stock_par_produits[[#This Row],[Stock nim]]&gt;Stock_par_produits[[#This Row],[Quantités restants]],"Commander","Ok")),"")</f>
        <v/>
      </c>
    </row>
    <row r="158" spans="17:59" ht="15.75" customHeight="1" x14ac:dyDescent="0.25">
      <c r="Q158" s="52"/>
      <c r="R158" s="52"/>
      <c r="S158" s="52"/>
      <c r="T158" s="52"/>
      <c r="U158" s="52"/>
      <c r="V158" s="48" t="str">
        <f t="shared" si="33"/>
        <v/>
      </c>
      <c r="W158" s="48" t="str">
        <f t="shared" si="34"/>
        <v/>
      </c>
      <c r="X158" s="43" t="str">
        <f t="shared" si="35"/>
        <v/>
      </c>
      <c r="Y158" s="44" t="str">
        <f t="shared" si="36"/>
        <v/>
      </c>
      <c r="Z158" s="53" t="str">
        <f ca="1">IFERROR(IF(Stock_par_lots[[#This Row],[Stock restant]]=0,"",Stock_par_lots[[#This Row],[Date de péremption]]-TODAY()),"")</f>
        <v/>
      </c>
      <c r="AA158" s="45" t="str">
        <f ca="1">IF(Stock_par_lots[[#This Row],[Stock restant]]=0,"",IF(Stock_par_lots[[#This Row],[jours restants]]&gt;=60,"Conforme",IF(AND(Stock_par_lots[[#This Row],[jours restants]]&lt;60,Stock_par_lots[[#This Row],[jours restants]]&gt;=30),"Surveillance",IF(AND(Stock_par_lots[[#This Row],[jours restants]]&lt;30,Stock_par_lots[[#This Row],[jours restants]]&gt;=0),"Urgente","Expiré"))))</f>
        <v>Conforme</v>
      </c>
      <c r="AB158" s="68" t="str">
        <f ca="1">IF(AND(Stock_par_lots[[#This Row],[jours restants]]&gt;0,Stock_par_lots[[#This Row],[jours restants]]&lt;=60),"Proche","")</f>
        <v/>
      </c>
      <c r="BA158" s="52"/>
      <c r="BB158" s="52"/>
      <c r="BC158" s="52"/>
      <c r="BD158" s="48">
        <f t="shared" si="37"/>
        <v>0</v>
      </c>
      <c r="BE158" s="48">
        <f t="shared" si="38"/>
        <v>0</v>
      </c>
      <c r="BF158" s="46" t="str">
        <f>IFERROR(VLOOKUP(BA158,ListeProduits[],6,FALSE),"")</f>
        <v/>
      </c>
      <c r="BG158" s="47" t="str">
        <f>IFERROR(IF(Stock_par_produits[[#This Row],[Stock nim]]="","",IF(Stock_par_produits[[#This Row],[Stock nim]]&gt;Stock_par_produits[[#This Row],[Quantités restants]],"Commander","Ok")),"")</f>
        <v/>
      </c>
    </row>
    <row r="159" spans="17:59" ht="15.75" customHeight="1" x14ac:dyDescent="0.25">
      <c r="Q159" s="52"/>
      <c r="R159" s="52"/>
      <c r="S159" s="52"/>
      <c r="T159" s="52"/>
      <c r="U159" s="52"/>
      <c r="V159" s="48" t="str">
        <f t="shared" si="33"/>
        <v/>
      </c>
      <c r="W159" s="48" t="str">
        <f t="shared" si="34"/>
        <v/>
      </c>
      <c r="X159" s="43" t="str">
        <f t="shared" si="35"/>
        <v/>
      </c>
      <c r="Y159" s="44" t="str">
        <f t="shared" si="36"/>
        <v/>
      </c>
      <c r="Z159" s="53" t="str">
        <f ca="1">IFERROR(IF(Stock_par_lots[[#This Row],[Stock restant]]=0,"",Stock_par_lots[[#This Row],[Date de péremption]]-TODAY()),"")</f>
        <v/>
      </c>
      <c r="AA159" s="45" t="str">
        <f ca="1">IF(Stock_par_lots[[#This Row],[Stock restant]]=0,"",IF(Stock_par_lots[[#This Row],[jours restants]]&gt;=60,"Conforme",IF(AND(Stock_par_lots[[#This Row],[jours restants]]&lt;60,Stock_par_lots[[#This Row],[jours restants]]&gt;=30),"Surveillance",IF(AND(Stock_par_lots[[#This Row],[jours restants]]&lt;30,Stock_par_lots[[#This Row],[jours restants]]&gt;=0),"Urgente","Expiré"))))</f>
        <v>Conforme</v>
      </c>
      <c r="AB159" s="68" t="str">
        <f ca="1">IF(AND(Stock_par_lots[[#This Row],[jours restants]]&gt;0,Stock_par_lots[[#This Row],[jours restants]]&lt;=60),"Proche","")</f>
        <v/>
      </c>
      <c r="BA159" s="52"/>
      <c r="BB159" s="52"/>
      <c r="BC159" s="52"/>
      <c r="BD159" s="48">
        <f t="shared" si="37"/>
        <v>0</v>
      </c>
      <c r="BE159" s="48">
        <f t="shared" si="38"/>
        <v>0</v>
      </c>
      <c r="BF159" s="46" t="str">
        <f>IFERROR(VLOOKUP(BA159,ListeProduits[],6,FALSE),"")</f>
        <v/>
      </c>
      <c r="BG159" s="47" t="str">
        <f>IFERROR(IF(Stock_par_produits[[#This Row],[Stock nim]]="","",IF(Stock_par_produits[[#This Row],[Stock nim]]&gt;Stock_par_produits[[#This Row],[Quantités restants]],"Commander","Ok")),"")</f>
        <v/>
      </c>
    </row>
    <row r="160" spans="17:59" ht="15.75" customHeight="1" x14ac:dyDescent="0.25">
      <c r="Q160" s="52"/>
      <c r="R160" s="52"/>
      <c r="S160" s="52"/>
      <c r="T160" s="52"/>
      <c r="U160" s="52"/>
      <c r="V160" s="48" t="str">
        <f t="shared" si="33"/>
        <v/>
      </c>
      <c r="W160" s="48" t="str">
        <f t="shared" si="34"/>
        <v/>
      </c>
      <c r="X160" s="43" t="str">
        <f t="shared" si="35"/>
        <v/>
      </c>
      <c r="Y160" s="44" t="str">
        <f t="shared" si="36"/>
        <v/>
      </c>
      <c r="Z160" s="53" t="str">
        <f ca="1">IFERROR(IF(Stock_par_lots[[#This Row],[Stock restant]]=0,"",Stock_par_lots[[#This Row],[Date de péremption]]-TODAY()),"")</f>
        <v/>
      </c>
      <c r="AA160" s="45" t="str">
        <f ca="1">IF(Stock_par_lots[[#This Row],[Stock restant]]=0,"",IF(Stock_par_lots[[#This Row],[jours restants]]&gt;=60,"Conforme",IF(AND(Stock_par_lots[[#This Row],[jours restants]]&lt;60,Stock_par_lots[[#This Row],[jours restants]]&gt;=30),"Surveillance",IF(AND(Stock_par_lots[[#This Row],[jours restants]]&lt;30,Stock_par_lots[[#This Row],[jours restants]]&gt;=0),"Urgente","Expiré"))))</f>
        <v>Conforme</v>
      </c>
      <c r="AB160" s="68" t="str">
        <f ca="1">IF(AND(Stock_par_lots[[#This Row],[jours restants]]&gt;0,Stock_par_lots[[#This Row],[jours restants]]&lt;=60),"Proche","")</f>
        <v/>
      </c>
      <c r="BA160" s="52"/>
      <c r="BB160" s="52"/>
      <c r="BC160" s="52"/>
      <c r="BD160" s="48">
        <f t="shared" si="37"/>
        <v>0</v>
      </c>
      <c r="BE160" s="48">
        <f t="shared" si="38"/>
        <v>0</v>
      </c>
      <c r="BF160" s="46" t="str">
        <f>IFERROR(VLOOKUP(BA160,ListeProduits[],6,FALSE),"")</f>
        <v/>
      </c>
      <c r="BG160" s="47" t="str">
        <f>IFERROR(IF(Stock_par_produits[[#This Row],[Stock nim]]="","",IF(Stock_par_produits[[#This Row],[Stock nim]]&gt;Stock_par_produits[[#This Row],[Quantités restants]],"Commander","Ok")),"")</f>
        <v/>
      </c>
    </row>
    <row r="161" spans="17:59" ht="15.75" customHeight="1" x14ac:dyDescent="0.25">
      <c r="Q161" s="52"/>
      <c r="R161" s="52"/>
      <c r="S161" s="52"/>
      <c r="T161" s="52"/>
      <c r="U161" s="52"/>
      <c r="V161" s="48" t="str">
        <f t="shared" si="33"/>
        <v/>
      </c>
      <c r="W161" s="48" t="str">
        <f t="shared" si="34"/>
        <v/>
      </c>
      <c r="X161" s="43" t="str">
        <f t="shared" si="35"/>
        <v/>
      </c>
      <c r="Y161" s="44" t="str">
        <f t="shared" si="36"/>
        <v/>
      </c>
      <c r="Z161" s="53" t="str">
        <f ca="1">IFERROR(IF(Stock_par_lots[[#This Row],[Stock restant]]=0,"",Stock_par_lots[[#This Row],[Date de péremption]]-TODAY()),"")</f>
        <v/>
      </c>
      <c r="AA161" s="45" t="str">
        <f ca="1">IF(Stock_par_lots[[#This Row],[Stock restant]]=0,"",IF(Stock_par_lots[[#This Row],[jours restants]]&gt;=60,"Conforme",IF(AND(Stock_par_lots[[#This Row],[jours restants]]&lt;60,Stock_par_lots[[#This Row],[jours restants]]&gt;=30),"Surveillance",IF(AND(Stock_par_lots[[#This Row],[jours restants]]&lt;30,Stock_par_lots[[#This Row],[jours restants]]&gt;=0),"Urgente","Expiré"))))</f>
        <v>Conforme</v>
      </c>
      <c r="AB161" s="68" t="str">
        <f ca="1">IF(AND(Stock_par_lots[[#This Row],[jours restants]]&gt;0,Stock_par_lots[[#This Row],[jours restants]]&lt;=60),"Proche","")</f>
        <v/>
      </c>
      <c r="BA161" s="52"/>
      <c r="BB161" s="52"/>
      <c r="BC161" s="52"/>
      <c r="BD161" s="48">
        <f t="shared" si="37"/>
        <v>0</v>
      </c>
      <c r="BE161" s="48">
        <f t="shared" si="38"/>
        <v>0</v>
      </c>
      <c r="BF161" s="46" t="str">
        <f>IFERROR(VLOOKUP(BA161,ListeProduits[],6,FALSE),"")</f>
        <v/>
      </c>
      <c r="BG161" s="47" t="str">
        <f>IFERROR(IF(Stock_par_produits[[#This Row],[Stock nim]]="","",IF(Stock_par_produits[[#This Row],[Stock nim]]&gt;Stock_par_produits[[#This Row],[Quantités restants]],"Commander","Ok")),"")</f>
        <v/>
      </c>
    </row>
    <row r="162" spans="17:59" ht="15.75" customHeight="1" x14ac:dyDescent="0.25">
      <c r="Q162" s="52"/>
      <c r="R162" s="52"/>
      <c r="S162" s="52"/>
      <c r="T162" s="52"/>
      <c r="U162" s="52"/>
      <c r="V162" s="48" t="str">
        <f t="shared" si="33"/>
        <v/>
      </c>
      <c r="W162" s="48" t="str">
        <f t="shared" si="34"/>
        <v/>
      </c>
      <c r="X162" s="43" t="str">
        <f t="shared" si="35"/>
        <v/>
      </c>
      <c r="Y162" s="44" t="str">
        <f t="shared" si="36"/>
        <v/>
      </c>
      <c r="Z162" s="53" t="str">
        <f ca="1">IFERROR(IF(Stock_par_lots[[#This Row],[Stock restant]]=0,"",Stock_par_lots[[#This Row],[Date de péremption]]-TODAY()),"")</f>
        <v/>
      </c>
      <c r="AA162" s="45" t="str">
        <f ca="1">IF(Stock_par_lots[[#This Row],[Stock restant]]=0,"",IF(Stock_par_lots[[#This Row],[jours restants]]&gt;=60,"Conforme",IF(AND(Stock_par_lots[[#This Row],[jours restants]]&lt;60,Stock_par_lots[[#This Row],[jours restants]]&gt;=30),"Surveillance",IF(AND(Stock_par_lots[[#This Row],[jours restants]]&lt;30,Stock_par_lots[[#This Row],[jours restants]]&gt;=0),"Urgente","Expiré"))))</f>
        <v>Conforme</v>
      </c>
      <c r="AB162" s="68" t="str">
        <f ca="1">IF(AND(Stock_par_lots[[#This Row],[jours restants]]&gt;0,Stock_par_lots[[#This Row],[jours restants]]&lt;=60),"Proche","")</f>
        <v/>
      </c>
      <c r="BA162" s="52"/>
      <c r="BB162" s="52"/>
      <c r="BC162" s="52"/>
      <c r="BD162" s="48">
        <f t="shared" si="37"/>
        <v>0</v>
      </c>
      <c r="BE162" s="48">
        <f t="shared" si="38"/>
        <v>0</v>
      </c>
      <c r="BF162" s="46" t="str">
        <f>IFERROR(VLOOKUP(BA162,ListeProduits[],6,FALSE),"")</f>
        <v/>
      </c>
      <c r="BG162" s="47" t="str">
        <f>IFERROR(IF(Stock_par_produits[[#This Row],[Stock nim]]="","",IF(Stock_par_produits[[#This Row],[Stock nim]]&gt;Stock_par_produits[[#This Row],[Quantités restants]],"Commander","Ok")),"")</f>
        <v/>
      </c>
    </row>
    <row r="163" spans="17:59" ht="15.75" customHeight="1" x14ac:dyDescent="0.25">
      <c r="Q163" s="52"/>
      <c r="R163" s="52"/>
      <c r="S163" s="52"/>
      <c r="T163" s="52"/>
      <c r="U163" s="52"/>
      <c r="V163" s="48" t="str">
        <f t="shared" si="33"/>
        <v/>
      </c>
      <c r="W163" s="48" t="str">
        <f t="shared" si="34"/>
        <v/>
      </c>
      <c r="X163" s="43" t="str">
        <f t="shared" si="35"/>
        <v/>
      </c>
      <c r="Y163" s="44" t="str">
        <f t="shared" si="36"/>
        <v/>
      </c>
      <c r="Z163" s="53" t="str">
        <f ca="1">IFERROR(IF(Stock_par_lots[[#This Row],[Stock restant]]=0,"",Stock_par_lots[[#This Row],[Date de péremption]]-TODAY()),"")</f>
        <v/>
      </c>
      <c r="AA163" s="45" t="str">
        <f ca="1">IF(Stock_par_lots[[#This Row],[Stock restant]]=0,"",IF(Stock_par_lots[[#This Row],[jours restants]]&gt;=60,"Conforme",IF(AND(Stock_par_lots[[#This Row],[jours restants]]&lt;60,Stock_par_lots[[#This Row],[jours restants]]&gt;=30),"Surveillance",IF(AND(Stock_par_lots[[#This Row],[jours restants]]&lt;30,Stock_par_lots[[#This Row],[jours restants]]&gt;=0),"Urgente","Expiré"))))</f>
        <v>Conforme</v>
      </c>
      <c r="AB163" s="68" t="str">
        <f ca="1">IF(AND(Stock_par_lots[[#This Row],[jours restants]]&gt;0,Stock_par_lots[[#This Row],[jours restants]]&lt;=60),"Proche","")</f>
        <v/>
      </c>
      <c r="BA163" s="52"/>
      <c r="BB163" s="52"/>
      <c r="BC163" s="52"/>
      <c r="BD163" s="48">
        <f t="shared" si="37"/>
        <v>0</v>
      </c>
      <c r="BE163" s="48">
        <f t="shared" si="38"/>
        <v>0</v>
      </c>
      <c r="BF163" s="46" t="str">
        <f>IFERROR(VLOOKUP(BA163,ListeProduits[],6,FALSE),"")</f>
        <v/>
      </c>
      <c r="BG163" s="47" t="str">
        <f>IFERROR(IF(Stock_par_produits[[#This Row],[Stock nim]]="","",IF(Stock_par_produits[[#This Row],[Stock nim]]&gt;Stock_par_produits[[#This Row],[Quantités restants]],"Commander","Ok")),"")</f>
        <v/>
      </c>
    </row>
    <row r="164" spans="17:59" ht="15.75" customHeight="1" x14ac:dyDescent="0.25">
      <c r="Q164" s="52"/>
      <c r="R164" s="52"/>
      <c r="S164" s="52"/>
      <c r="T164" s="52"/>
      <c r="U164" s="52"/>
      <c r="V164" s="48" t="str">
        <f t="shared" ref="V164:V199" si="39">IF(Q164="","",Q164)</f>
        <v/>
      </c>
      <c r="W164" s="48" t="str">
        <f t="shared" ref="W164:W199" si="40">IF(R164="","",R164)</f>
        <v/>
      </c>
      <c r="X164" s="43" t="str">
        <f t="shared" ref="X164:X199" si="41">IF(T164="","",T164)</f>
        <v/>
      </c>
      <c r="Y164" s="44" t="str">
        <f t="shared" ref="Y164:Y199" si="42">IF(S164="","",S164)</f>
        <v/>
      </c>
      <c r="Z164" s="53" t="str">
        <f ca="1">IFERROR(IF(Stock_par_lots[[#This Row],[Stock restant]]=0,"",Stock_par_lots[[#This Row],[Date de péremption]]-TODAY()),"")</f>
        <v/>
      </c>
      <c r="AA164" s="45" t="str">
        <f ca="1">IF(Stock_par_lots[[#This Row],[Stock restant]]=0,"",IF(Stock_par_lots[[#This Row],[jours restants]]&gt;=60,"Conforme",IF(AND(Stock_par_lots[[#This Row],[jours restants]]&lt;60,Stock_par_lots[[#This Row],[jours restants]]&gt;=30),"Surveillance",IF(AND(Stock_par_lots[[#This Row],[jours restants]]&lt;30,Stock_par_lots[[#This Row],[jours restants]]&gt;=0),"Urgente","Expiré"))))</f>
        <v>Conforme</v>
      </c>
      <c r="AB164" s="68" t="str">
        <f ca="1">IF(AND(Stock_par_lots[[#This Row],[jours restants]]&gt;0,Stock_par_lots[[#This Row],[jours restants]]&lt;=60),"Proche","")</f>
        <v/>
      </c>
      <c r="BA164" s="52"/>
      <c r="BB164" s="52"/>
      <c r="BC164" s="52"/>
      <c r="BD164" s="48">
        <f t="shared" ref="BD164:BD199" si="43">BA164</f>
        <v>0</v>
      </c>
      <c r="BE164" s="48">
        <f t="shared" ref="BE164:BE199" si="44">BB164</f>
        <v>0</v>
      </c>
      <c r="BF164" s="46" t="str">
        <f>IFERROR(VLOOKUP(BA164,ListeProduits[],6,FALSE),"")</f>
        <v/>
      </c>
      <c r="BG164" s="47" t="str">
        <f>IFERROR(IF(Stock_par_produits[[#This Row],[Stock nim]]="","",IF(Stock_par_produits[[#This Row],[Stock nim]]&gt;Stock_par_produits[[#This Row],[Quantités restants]],"Commander","Ok")),"")</f>
        <v/>
      </c>
    </row>
    <row r="165" spans="17:59" ht="15.75" customHeight="1" x14ac:dyDescent="0.25">
      <c r="Q165" s="52"/>
      <c r="R165" s="52"/>
      <c r="S165" s="52"/>
      <c r="T165" s="52"/>
      <c r="U165" s="52"/>
      <c r="V165" s="48" t="str">
        <f t="shared" si="39"/>
        <v/>
      </c>
      <c r="W165" s="48" t="str">
        <f t="shared" si="40"/>
        <v/>
      </c>
      <c r="X165" s="43" t="str">
        <f t="shared" si="41"/>
        <v/>
      </c>
      <c r="Y165" s="44" t="str">
        <f t="shared" si="42"/>
        <v/>
      </c>
      <c r="Z165" s="53" t="str">
        <f ca="1">IFERROR(IF(Stock_par_lots[[#This Row],[Stock restant]]=0,"",Stock_par_lots[[#This Row],[Date de péremption]]-TODAY()),"")</f>
        <v/>
      </c>
      <c r="AA165" s="45" t="str">
        <f ca="1">IF(Stock_par_lots[[#This Row],[Stock restant]]=0,"",IF(Stock_par_lots[[#This Row],[jours restants]]&gt;=60,"Conforme",IF(AND(Stock_par_lots[[#This Row],[jours restants]]&lt;60,Stock_par_lots[[#This Row],[jours restants]]&gt;=30),"Surveillance",IF(AND(Stock_par_lots[[#This Row],[jours restants]]&lt;30,Stock_par_lots[[#This Row],[jours restants]]&gt;=0),"Urgente","Expiré"))))</f>
        <v>Conforme</v>
      </c>
      <c r="AB165" s="68" t="str">
        <f ca="1">IF(AND(Stock_par_lots[[#This Row],[jours restants]]&gt;0,Stock_par_lots[[#This Row],[jours restants]]&lt;=60),"Proche","")</f>
        <v/>
      </c>
      <c r="BA165" s="52"/>
      <c r="BB165" s="52"/>
      <c r="BC165" s="52"/>
      <c r="BD165" s="48">
        <f t="shared" si="43"/>
        <v>0</v>
      </c>
      <c r="BE165" s="48">
        <f t="shared" si="44"/>
        <v>0</v>
      </c>
      <c r="BF165" s="46" t="str">
        <f>IFERROR(VLOOKUP(BA165,ListeProduits[],6,FALSE),"")</f>
        <v/>
      </c>
      <c r="BG165" s="47" t="str">
        <f>IFERROR(IF(Stock_par_produits[[#This Row],[Stock nim]]="","",IF(Stock_par_produits[[#This Row],[Stock nim]]&gt;Stock_par_produits[[#This Row],[Quantités restants]],"Commander","Ok")),"")</f>
        <v/>
      </c>
    </row>
    <row r="166" spans="17:59" ht="15.75" customHeight="1" x14ac:dyDescent="0.25">
      <c r="Q166" s="52"/>
      <c r="R166" s="52"/>
      <c r="S166" s="52"/>
      <c r="T166" s="52"/>
      <c r="U166" s="52"/>
      <c r="V166" s="48" t="str">
        <f t="shared" si="39"/>
        <v/>
      </c>
      <c r="W166" s="48" t="str">
        <f t="shared" si="40"/>
        <v/>
      </c>
      <c r="X166" s="43" t="str">
        <f t="shared" si="41"/>
        <v/>
      </c>
      <c r="Y166" s="44" t="str">
        <f t="shared" si="42"/>
        <v/>
      </c>
      <c r="Z166" s="53" t="str">
        <f ca="1">IFERROR(IF(Stock_par_lots[[#This Row],[Stock restant]]=0,"",Stock_par_lots[[#This Row],[Date de péremption]]-TODAY()),"")</f>
        <v/>
      </c>
      <c r="AA166" s="45" t="str">
        <f ca="1">IF(Stock_par_lots[[#This Row],[Stock restant]]=0,"",IF(Stock_par_lots[[#This Row],[jours restants]]&gt;=60,"Conforme",IF(AND(Stock_par_lots[[#This Row],[jours restants]]&lt;60,Stock_par_lots[[#This Row],[jours restants]]&gt;=30),"Surveillance",IF(AND(Stock_par_lots[[#This Row],[jours restants]]&lt;30,Stock_par_lots[[#This Row],[jours restants]]&gt;=0),"Urgente","Expiré"))))</f>
        <v>Conforme</v>
      </c>
      <c r="AB166" s="68" t="str">
        <f ca="1">IF(AND(Stock_par_lots[[#This Row],[jours restants]]&gt;0,Stock_par_lots[[#This Row],[jours restants]]&lt;=60),"Proche","")</f>
        <v/>
      </c>
      <c r="BA166" s="52"/>
      <c r="BB166" s="52"/>
      <c r="BC166" s="52"/>
      <c r="BD166" s="48">
        <f t="shared" si="43"/>
        <v>0</v>
      </c>
      <c r="BE166" s="48">
        <f t="shared" si="44"/>
        <v>0</v>
      </c>
      <c r="BF166" s="46" t="str">
        <f>IFERROR(VLOOKUP(BA166,ListeProduits[],6,FALSE),"")</f>
        <v/>
      </c>
      <c r="BG166" s="47" t="str">
        <f>IFERROR(IF(Stock_par_produits[[#This Row],[Stock nim]]="","",IF(Stock_par_produits[[#This Row],[Stock nim]]&gt;Stock_par_produits[[#This Row],[Quantités restants]],"Commander","Ok")),"")</f>
        <v/>
      </c>
    </row>
    <row r="167" spans="17:59" ht="15.75" customHeight="1" x14ac:dyDescent="0.25">
      <c r="Q167" s="52"/>
      <c r="R167" s="52"/>
      <c r="S167" s="52"/>
      <c r="T167" s="52"/>
      <c r="U167" s="52"/>
      <c r="V167" s="48" t="str">
        <f t="shared" si="39"/>
        <v/>
      </c>
      <c r="W167" s="48" t="str">
        <f t="shared" si="40"/>
        <v/>
      </c>
      <c r="X167" s="43" t="str">
        <f t="shared" si="41"/>
        <v/>
      </c>
      <c r="Y167" s="44" t="str">
        <f t="shared" si="42"/>
        <v/>
      </c>
      <c r="Z167" s="53" t="str">
        <f ca="1">IFERROR(IF(Stock_par_lots[[#This Row],[Stock restant]]=0,"",Stock_par_lots[[#This Row],[Date de péremption]]-TODAY()),"")</f>
        <v/>
      </c>
      <c r="AA167" s="45" t="str">
        <f ca="1">IF(Stock_par_lots[[#This Row],[Stock restant]]=0,"",IF(Stock_par_lots[[#This Row],[jours restants]]&gt;=60,"Conforme",IF(AND(Stock_par_lots[[#This Row],[jours restants]]&lt;60,Stock_par_lots[[#This Row],[jours restants]]&gt;=30),"Surveillance",IF(AND(Stock_par_lots[[#This Row],[jours restants]]&lt;30,Stock_par_lots[[#This Row],[jours restants]]&gt;=0),"Urgente","Expiré"))))</f>
        <v>Conforme</v>
      </c>
      <c r="AB167" s="68" t="str">
        <f ca="1">IF(AND(Stock_par_lots[[#This Row],[jours restants]]&gt;0,Stock_par_lots[[#This Row],[jours restants]]&lt;=60),"Proche","")</f>
        <v/>
      </c>
      <c r="BA167" s="52"/>
      <c r="BB167" s="52"/>
      <c r="BC167" s="52"/>
      <c r="BD167" s="48">
        <f t="shared" si="43"/>
        <v>0</v>
      </c>
      <c r="BE167" s="48">
        <f t="shared" si="44"/>
        <v>0</v>
      </c>
      <c r="BF167" s="46" t="str">
        <f>IFERROR(VLOOKUP(BA167,ListeProduits[],6,FALSE),"")</f>
        <v/>
      </c>
      <c r="BG167" s="47" t="str">
        <f>IFERROR(IF(Stock_par_produits[[#This Row],[Stock nim]]="","",IF(Stock_par_produits[[#This Row],[Stock nim]]&gt;Stock_par_produits[[#This Row],[Quantités restants]],"Commander","Ok")),"")</f>
        <v/>
      </c>
    </row>
    <row r="168" spans="17:59" ht="15.75" customHeight="1" x14ac:dyDescent="0.25">
      <c r="Q168" s="52"/>
      <c r="R168" s="52"/>
      <c r="S168" s="52"/>
      <c r="T168" s="52"/>
      <c r="U168" s="52"/>
      <c r="V168" s="48" t="str">
        <f t="shared" si="39"/>
        <v/>
      </c>
      <c r="W168" s="48" t="str">
        <f t="shared" si="40"/>
        <v/>
      </c>
      <c r="X168" s="43" t="str">
        <f t="shared" si="41"/>
        <v/>
      </c>
      <c r="Y168" s="44" t="str">
        <f t="shared" si="42"/>
        <v/>
      </c>
      <c r="Z168" s="53" t="str">
        <f ca="1">IFERROR(IF(Stock_par_lots[[#This Row],[Stock restant]]=0,"",Stock_par_lots[[#This Row],[Date de péremption]]-TODAY()),"")</f>
        <v/>
      </c>
      <c r="AA168" s="45" t="str">
        <f ca="1">IF(Stock_par_lots[[#This Row],[Stock restant]]=0,"",IF(Stock_par_lots[[#This Row],[jours restants]]&gt;=60,"Conforme",IF(AND(Stock_par_lots[[#This Row],[jours restants]]&lt;60,Stock_par_lots[[#This Row],[jours restants]]&gt;=30),"Surveillance",IF(AND(Stock_par_lots[[#This Row],[jours restants]]&lt;30,Stock_par_lots[[#This Row],[jours restants]]&gt;=0),"Urgente","Expiré"))))</f>
        <v>Conforme</v>
      </c>
      <c r="AB168" s="68" t="str">
        <f ca="1">IF(AND(Stock_par_lots[[#This Row],[jours restants]]&gt;0,Stock_par_lots[[#This Row],[jours restants]]&lt;=60),"Proche","")</f>
        <v/>
      </c>
      <c r="BA168" s="52"/>
      <c r="BB168" s="52"/>
      <c r="BC168" s="52"/>
      <c r="BD168" s="48">
        <f t="shared" si="43"/>
        <v>0</v>
      </c>
      <c r="BE168" s="48">
        <f t="shared" si="44"/>
        <v>0</v>
      </c>
      <c r="BF168" s="46" t="str">
        <f>IFERROR(VLOOKUP(BA168,ListeProduits[],6,FALSE),"")</f>
        <v/>
      </c>
      <c r="BG168" s="47" t="str">
        <f>IFERROR(IF(Stock_par_produits[[#This Row],[Stock nim]]="","",IF(Stock_par_produits[[#This Row],[Stock nim]]&gt;Stock_par_produits[[#This Row],[Quantités restants]],"Commander","Ok")),"")</f>
        <v/>
      </c>
    </row>
    <row r="169" spans="17:59" ht="15.75" customHeight="1" x14ac:dyDescent="0.25">
      <c r="Q169" s="52"/>
      <c r="R169" s="52"/>
      <c r="S169" s="52"/>
      <c r="T169" s="52"/>
      <c r="U169" s="52"/>
      <c r="V169" s="48" t="str">
        <f t="shared" si="39"/>
        <v/>
      </c>
      <c r="W169" s="48" t="str">
        <f t="shared" si="40"/>
        <v/>
      </c>
      <c r="X169" s="43" t="str">
        <f t="shared" si="41"/>
        <v/>
      </c>
      <c r="Y169" s="44" t="str">
        <f t="shared" si="42"/>
        <v/>
      </c>
      <c r="Z169" s="53" t="str">
        <f ca="1">IFERROR(IF(Stock_par_lots[[#This Row],[Stock restant]]=0,"",Stock_par_lots[[#This Row],[Date de péremption]]-TODAY()),"")</f>
        <v/>
      </c>
      <c r="AA169" s="45" t="str">
        <f ca="1">IF(Stock_par_lots[[#This Row],[Stock restant]]=0,"",IF(Stock_par_lots[[#This Row],[jours restants]]&gt;=60,"Conforme",IF(AND(Stock_par_lots[[#This Row],[jours restants]]&lt;60,Stock_par_lots[[#This Row],[jours restants]]&gt;=30),"Surveillance",IF(AND(Stock_par_lots[[#This Row],[jours restants]]&lt;30,Stock_par_lots[[#This Row],[jours restants]]&gt;=0),"Urgente","Expiré"))))</f>
        <v>Conforme</v>
      </c>
      <c r="AB169" s="68" t="str">
        <f ca="1">IF(AND(Stock_par_lots[[#This Row],[jours restants]]&gt;0,Stock_par_lots[[#This Row],[jours restants]]&lt;=60),"Proche","")</f>
        <v/>
      </c>
      <c r="BA169" s="52"/>
      <c r="BB169" s="52"/>
      <c r="BC169" s="52"/>
      <c r="BD169" s="48">
        <f t="shared" si="43"/>
        <v>0</v>
      </c>
      <c r="BE169" s="48">
        <f t="shared" si="44"/>
        <v>0</v>
      </c>
      <c r="BF169" s="46" t="str">
        <f>IFERROR(VLOOKUP(BA169,ListeProduits[],6,FALSE),"")</f>
        <v/>
      </c>
      <c r="BG169" s="47" t="str">
        <f>IFERROR(IF(Stock_par_produits[[#This Row],[Stock nim]]="","",IF(Stock_par_produits[[#This Row],[Stock nim]]&gt;Stock_par_produits[[#This Row],[Quantités restants]],"Commander","Ok")),"")</f>
        <v/>
      </c>
    </row>
    <row r="170" spans="17:59" ht="15.75" customHeight="1" x14ac:dyDescent="0.25">
      <c r="Q170" s="52"/>
      <c r="R170" s="52"/>
      <c r="S170" s="52"/>
      <c r="T170" s="52"/>
      <c r="U170" s="52"/>
      <c r="V170" s="48" t="str">
        <f t="shared" si="39"/>
        <v/>
      </c>
      <c r="W170" s="48" t="str">
        <f t="shared" si="40"/>
        <v/>
      </c>
      <c r="X170" s="43" t="str">
        <f t="shared" si="41"/>
        <v/>
      </c>
      <c r="Y170" s="44" t="str">
        <f t="shared" si="42"/>
        <v/>
      </c>
      <c r="Z170" s="53" t="str">
        <f ca="1">IFERROR(IF(Stock_par_lots[[#This Row],[Stock restant]]=0,"",Stock_par_lots[[#This Row],[Date de péremption]]-TODAY()),"")</f>
        <v/>
      </c>
      <c r="AA170" s="45" t="str">
        <f ca="1">IF(Stock_par_lots[[#This Row],[Stock restant]]=0,"",IF(Stock_par_lots[[#This Row],[jours restants]]&gt;=60,"Conforme",IF(AND(Stock_par_lots[[#This Row],[jours restants]]&lt;60,Stock_par_lots[[#This Row],[jours restants]]&gt;=30),"Surveillance",IF(AND(Stock_par_lots[[#This Row],[jours restants]]&lt;30,Stock_par_lots[[#This Row],[jours restants]]&gt;=0),"Urgente","Expiré"))))</f>
        <v>Conforme</v>
      </c>
      <c r="AB170" s="68" t="str">
        <f ca="1">IF(AND(Stock_par_lots[[#This Row],[jours restants]]&gt;0,Stock_par_lots[[#This Row],[jours restants]]&lt;=60),"Proche","")</f>
        <v/>
      </c>
      <c r="BA170" s="52"/>
      <c r="BB170" s="52"/>
      <c r="BC170" s="52"/>
      <c r="BD170" s="48">
        <f t="shared" si="43"/>
        <v>0</v>
      </c>
      <c r="BE170" s="48">
        <f t="shared" si="44"/>
        <v>0</v>
      </c>
      <c r="BF170" s="46" t="str">
        <f>IFERROR(VLOOKUP(BA170,ListeProduits[],6,FALSE),"")</f>
        <v/>
      </c>
      <c r="BG170" s="47" t="str">
        <f>IFERROR(IF(Stock_par_produits[[#This Row],[Stock nim]]="","",IF(Stock_par_produits[[#This Row],[Stock nim]]&gt;Stock_par_produits[[#This Row],[Quantités restants]],"Commander","Ok")),"")</f>
        <v/>
      </c>
    </row>
    <row r="171" spans="17:59" ht="15.75" customHeight="1" x14ac:dyDescent="0.25">
      <c r="Q171" s="52"/>
      <c r="R171" s="52"/>
      <c r="S171" s="52"/>
      <c r="T171" s="52"/>
      <c r="U171" s="52"/>
      <c r="V171" s="48" t="str">
        <f t="shared" si="39"/>
        <v/>
      </c>
      <c r="W171" s="48" t="str">
        <f t="shared" si="40"/>
        <v/>
      </c>
      <c r="X171" s="43" t="str">
        <f t="shared" si="41"/>
        <v/>
      </c>
      <c r="Y171" s="44" t="str">
        <f t="shared" si="42"/>
        <v/>
      </c>
      <c r="Z171" s="53" t="str">
        <f ca="1">IFERROR(IF(Stock_par_lots[[#This Row],[Stock restant]]=0,"",Stock_par_lots[[#This Row],[Date de péremption]]-TODAY()),"")</f>
        <v/>
      </c>
      <c r="AA171" s="45" t="str">
        <f ca="1">IF(Stock_par_lots[[#This Row],[Stock restant]]=0,"",IF(Stock_par_lots[[#This Row],[jours restants]]&gt;=60,"Conforme",IF(AND(Stock_par_lots[[#This Row],[jours restants]]&lt;60,Stock_par_lots[[#This Row],[jours restants]]&gt;=30),"Surveillance",IF(AND(Stock_par_lots[[#This Row],[jours restants]]&lt;30,Stock_par_lots[[#This Row],[jours restants]]&gt;=0),"Urgente","Expiré"))))</f>
        <v>Conforme</v>
      </c>
      <c r="AB171" s="68" t="str">
        <f ca="1">IF(AND(Stock_par_lots[[#This Row],[jours restants]]&gt;0,Stock_par_lots[[#This Row],[jours restants]]&lt;=60),"Proche","")</f>
        <v/>
      </c>
      <c r="BA171" s="52"/>
      <c r="BB171" s="52"/>
      <c r="BC171" s="52"/>
      <c r="BD171" s="48">
        <f t="shared" si="43"/>
        <v>0</v>
      </c>
      <c r="BE171" s="48">
        <f t="shared" si="44"/>
        <v>0</v>
      </c>
      <c r="BF171" s="46" t="str">
        <f>IFERROR(VLOOKUP(BA171,ListeProduits[],6,FALSE),"")</f>
        <v/>
      </c>
      <c r="BG171" s="47" t="str">
        <f>IFERROR(IF(Stock_par_produits[[#This Row],[Stock nim]]="","",IF(Stock_par_produits[[#This Row],[Stock nim]]&gt;Stock_par_produits[[#This Row],[Quantités restants]],"Commander","Ok")),"")</f>
        <v/>
      </c>
    </row>
    <row r="172" spans="17:59" ht="15.75" customHeight="1" x14ac:dyDescent="0.25">
      <c r="Q172" s="52"/>
      <c r="R172" s="52"/>
      <c r="S172" s="52"/>
      <c r="T172" s="52"/>
      <c r="U172" s="52"/>
      <c r="V172" s="48" t="str">
        <f t="shared" si="39"/>
        <v/>
      </c>
      <c r="W172" s="48" t="str">
        <f t="shared" si="40"/>
        <v/>
      </c>
      <c r="X172" s="43" t="str">
        <f t="shared" si="41"/>
        <v/>
      </c>
      <c r="Y172" s="44" t="str">
        <f t="shared" si="42"/>
        <v/>
      </c>
      <c r="Z172" s="53" t="str">
        <f ca="1">IFERROR(IF(Stock_par_lots[[#This Row],[Stock restant]]=0,"",Stock_par_lots[[#This Row],[Date de péremption]]-TODAY()),"")</f>
        <v/>
      </c>
      <c r="AA172" s="45" t="str">
        <f ca="1">IF(Stock_par_lots[[#This Row],[Stock restant]]=0,"",IF(Stock_par_lots[[#This Row],[jours restants]]&gt;=60,"Conforme",IF(AND(Stock_par_lots[[#This Row],[jours restants]]&lt;60,Stock_par_lots[[#This Row],[jours restants]]&gt;=30),"Surveillance",IF(AND(Stock_par_lots[[#This Row],[jours restants]]&lt;30,Stock_par_lots[[#This Row],[jours restants]]&gt;=0),"Urgente","Expiré"))))</f>
        <v>Conforme</v>
      </c>
      <c r="AB172" s="68" t="str">
        <f ca="1">IF(AND(Stock_par_lots[[#This Row],[jours restants]]&gt;0,Stock_par_lots[[#This Row],[jours restants]]&lt;=60),"Proche","")</f>
        <v/>
      </c>
      <c r="BA172" s="52"/>
      <c r="BB172" s="52"/>
      <c r="BC172" s="52"/>
      <c r="BD172" s="48">
        <f t="shared" si="43"/>
        <v>0</v>
      </c>
      <c r="BE172" s="48">
        <f t="shared" si="44"/>
        <v>0</v>
      </c>
      <c r="BF172" s="46" t="str">
        <f>IFERROR(VLOOKUP(BA172,ListeProduits[],6,FALSE),"")</f>
        <v/>
      </c>
      <c r="BG172" s="47" t="str">
        <f>IFERROR(IF(Stock_par_produits[[#This Row],[Stock nim]]="","",IF(Stock_par_produits[[#This Row],[Stock nim]]&gt;Stock_par_produits[[#This Row],[Quantités restants]],"Commander","Ok")),"")</f>
        <v/>
      </c>
    </row>
    <row r="173" spans="17:59" ht="15.75" customHeight="1" x14ac:dyDescent="0.25">
      <c r="Q173" s="52"/>
      <c r="R173" s="52"/>
      <c r="S173" s="52"/>
      <c r="T173" s="52"/>
      <c r="U173" s="52"/>
      <c r="V173" s="48" t="str">
        <f t="shared" si="39"/>
        <v/>
      </c>
      <c r="W173" s="48" t="str">
        <f t="shared" si="40"/>
        <v/>
      </c>
      <c r="X173" s="43" t="str">
        <f t="shared" si="41"/>
        <v/>
      </c>
      <c r="Y173" s="44" t="str">
        <f t="shared" si="42"/>
        <v/>
      </c>
      <c r="Z173" s="53" t="str">
        <f ca="1">IFERROR(IF(Stock_par_lots[[#This Row],[Stock restant]]=0,"",Stock_par_lots[[#This Row],[Date de péremption]]-TODAY()),"")</f>
        <v/>
      </c>
      <c r="AA173" s="45" t="str">
        <f ca="1">IF(Stock_par_lots[[#This Row],[Stock restant]]=0,"",IF(Stock_par_lots[[#This Row],[jours restants]]&gt;=60,"Conforme",IF(AND(Stock_par_lots[[#This Row],[jours restants]]&lt;60,Stock_par_lots[[#This Row],[jours restants]]&gt;=30),"Surveillance",IF(AND(Stock_par_lots[[#This Row],[jours restants]]&lt;30,Stock_par_lots[[#This Row],[jours restants]]&gt;=0),"Urgente","Expiré"))))</f>
        <v>Conforme</v>
      </c>
      <c r="AB173" s="68" t="str">
        <f ca="1">IF(AND(Stock_par_lots[[#This Row],[jours restants]]&gt;0,Stock_par_lots[[#This Row],[jours restants]]&lt;=60),"Proche","")</f>
        <v/>
      </c>
      <c r="BA173" s="52"/>
      <c r="BB173" s="52"/>
      <c r="BC173" s="52"/>
      <c r="BD173" s="48">
        <f t="shared" si="43"/>
        <v>0</v>
      </c>
      <c r="BE173" s="48">
        <f t="shared" si="44"/>
        <v>0</v>
      </c>
      <c r="BF173" s="46" t="str">
        <f>IFERROR(VLOOKUP(BA173,ListeProduits[],6,FALSE),"")</f>
        <v/>
      </c>
      <c r="BG173" s="47" t="str">
        <f>IFERROR(IF(Stock_par_produits[[#This Row],[Stock nim]]="","",IF(Stock_par_produits[[#This Row],[Stock nim]]&gt;Stock_par_produits[[#This Row],[Quantités restants]],"Commander","Ok")),"")</f>
        <v/>
      </c>
    </row>
    <row r="174" spans="17:59" ht="15.75" customHeight="1" x14ac:dyDescent="0.25">
      <c r="Q174" s="52"/>
      <c r="R174" s="52"/>
      <c r="S174" s="52"/>
      <c r="T174" s="52"/>
      <c r="U174" s="52"/>
      <c r="V174" s="48" t="str">
        <f t="shared" si="39"/>
        <v/>
      </c>
      <c r="W174" s="48" t="str">
        <f t="shared" si="40"/>
        <v/>
      </c>
      <c r="X174" s="43" t="str">
        <f t="shared" si="41"/>
        <v/>
      </c>
      <c r="Y174" s="44" t="str">
        <f t="shared" si="42"/>
        <v/>
      </c>
      <c r="Z174" s="53" t="str">
        <f ca="1">IFERROR(IF(Stock_par_lots[[#This Row],[Stock restant]]=0,"",Stock_par_lots[[#This Row],[Date de péremption]]-TODAY()),"")</f>
        <v/>
      </c>
      <c r="AA174" s="45" t="str">
        <f ca="1">IF(Stock_par_lots[[#This Row],[Stock restant]]=0,"",IF(Stock_par_lots[[#This Row],[jours restants]]&gt;=60,"Conforme",IF(AND(Stock_par_lots[[#This Row],[jours restants]]&lt;60,Stock_par_lots[[#This Row],[jours restants]]&gt;=30),"Surveillance",IF(AND(Stock_par_lots[[#This Row],[jours restants]]&lt;30,Stock_par_lots[[#This Row],[jours restants]]&gt;=0),"Urgente","Expiré"))))</f>
        <v>Conforme</v>
      </c>
      <c r="AB174" s="68" t="str">
        <f ca="1">IF(AND(Stock_par_lots[[#This Row],[jours restants]]&gt;0,Stock_par_lots[[#This Row],[jours restants]]&lt;=60),"Proche","")</f>
        <v/>
      </c>
      <c r="BA174" s="52"/>
      <c r="BB174" s="52"/>
      <c r="BC174" s="52"/>
      <c r="BD174" s="48">
        <f t="shared" si="43"/>
        <v>0</v>
      </c>
      <c r="BE174" s="48">
        <f t="shared" si="44"/>
        <v>0</v>
      </c>
      <c r="BF174" s="46" t="str">
        <f>IFERROR(VLOOKUP(BA174,ListeProduits[],6,FALSE),"")</f>
        <v/>
      </c>
      <c r="BG174" s="47" t="str">
        <f>IFERROR(IF(Stock_par_produits[[#This Row],[Stock nim]]="","",IF(Stock_par_produits[[#This Row],[Stock nim]]&gt;Stock_par_produits[[#This Row],[Quantités restants]],"Commander","Ok")),"")</f>
        <v/>
      </c>
    </row>
    <row r="175" spans="17:59" ht="15.75" customHeight="1" x14ac:dyDescent="0.25">
      <c r="Q175" s="52"/>
      <c r="R175" s="52"/>
      <c r="S175" s="52"/>
      <c r="T175" s="52"/>
      <c r="U175" s="52"/>
      <c r="V175" s="48" t="str">
        <f t="shared" si="39"/>
        <v/>
      </c>
      <c r="W175" s="48" t="str">
        <f t="shared" si="40"/>
        <v/>
      </c>
      <c r="X175" s="43" t="str">
        <f t="shared" si="41"/>
        <v/>
      </c>
      <c r="Y175" s="44" t="str">
        <f t="shared" si="42"/>
        <v/>
      </c>
      <c r="Z175" s="53" t="str">
        <f ca="1">IFERROR(IF(Stock_par_lots[[#This Row],[Stock restant]]=0,"",Stock_par_lots[[#This Row],[Date de péremption]]-TODAY()),"")</f>
        <v/>
      </c>
      <c r="AA175" s="45" t="str">
        <f ca="1">IF(Stock_par_lots[[#This Row],[Stock restant]]=0,"",IF(Stock_par_lots[[#This Row],[jours restants]]&gt;=60,"Conforme",IF(AND(Stock_par_lots[[#This Row],[jours restants]]&lt;60,Stock_par_lots[[#This Row],[jours restants]]&gt;=30),"Surveillance",IF(AND(Stock_par_lots[[#This Row],[jours restants]]&lt;30,Stock_par_lots[[#This Row],[jours restants]]&gt;=0),"Urgente","Expiré"))))</f>
        <v>Conforme</v>
      </c>
      <c r="AB175" s="68" t="str">
        <f ca="1">IF(AND(Stock_par_lots[[#This Row],[jours restants]]&gt;0,Stock_par_lots[[#This Row],[jours restants]]&lt;=60),"Proche","")</f>
        <v/>
      </c>
      <c r="BA175" s="52"/>
      <c r="BB175" s="52"/>
      <c r="BC175" s="52"/>
      <c r="BD175" s="48">
        <f t="shared" si="43"/>
        <v>0</v>
      </c>
      <c r="BE175" s="48">
        <f t="shared" si="44"/>
        <v>0</v>
      </c>
      <c r="BF175" s="46" t="str">
        <f>IFERROR(VLOOKUP(BA175,ListeProduits[],6,FALSE),"")</f>
        <v/>
      </c>
      <c r="BG175" s="47" t="str">
        <f>IFERROR(IF(Stock_par_produits[[#This Row],[Stock nim]]="","",IF(Stock_par_produits[[#This Row],[Stock nim]]&gt;Stock_par_produits[[#This Row],[Quantités restants]],"Commander","Ok")),"")</f>
        <v/>
      </c>
    </row>
    <row r="176" spans="17:59" ht="15.75" customHeight="1" x14ac:dyDescent="0.25">
      <c r="Q176" s="52"/>
      <c r="R176" s="52"/>
      <c r="S176" s="52"/>
      <c r="T176" s="52"/>
      <c r="U176" s="52"/>
      <c r="V176" s="48" t="str">
        <f t="shared" si="39"/>
        <v/>
      </c>
      <c r="W176" s="48" t="str">
        <f t="shared" si="40"/>
        <v/>
      </c>
      <c r="X176" s="43" t="str">
        <f t="shared" si="41"/>
        <v/>
      </c>
      <c r="Y176" s="44" t="str">
        <f t="shared" si="42"/>
        <v/>
      </c>
      <c r="Z176" s="53" t="str">
        <f ca="1">IFERROR(IF(Stock_par_lots[[#This Row],[Stock restant]]=0,"",Stock_par_lots[[#This Row],[Date de péremption]]-TODAY()),"")</f>
        <v/>
      </c>
      <c r="AA176" s="45" t="str">
        <f ca="1">IF(Stock_par_lots[[#This Row],[Stock restant]]=0,"",IF(Stock_par_lots[[#This Row],[jours restants]]&gt;=60,"Conforme",IF(AND(Stock_par_lots[[#This Row],[jours restants]]&lt;60,Stock_par_lots[[#This Row],[jours restants]]&gt;=30),"Surveillance",IF(AND(Stock_par_lots[[#This Row],[jours restants]]&lt;30,Stock_par_lots[[#This Row],[jours restants]]&gt;=0),"Urgente","Expiré"))))</f>
        <v>Conforme</v>
      </c>
      <c r="AB176" s="68" t="str">
        <f ca="1">IF(AND(Stock_par_lots[[#This Row],[jours restants]]&gt;0,Stock_par_lots[[#This Row],[jours restants]]&lt;=60),"Proche","")</f>
        <v/>
      </c>
      <c r="BA176" s="52"/>
      <c r="BB176" s="52"/>
      <c r="BC176" s="52"/>
      <c r="BD176" s="48">
        <f t="shared" si="43"/>
        <v>0</v>
      </c>
      <c r="BE176" s="48">
        <f t="shared" si="44"/>
        <v>0</v>
      </c>
      <c r="BF176" s="46" t="str">
        <f>IFERROR(VLOOKUP(BA176,ListeProduits[],6,FALSE),"")</f>
        <v/>
      </c>
      <c r="BG176" s="47" t="str">
        <f>IFERROR(IF(Stock_par_produits[[#This Row],[Stock nim]]="","",IF(Stock_par_produits[[#This Row],[Stock nim]]&gt;Stock_par_produits[[#This Row],[Quantités restants]],"Commander","Ok")),"")</f>
        <v/>
      </c>
    </row>
    <row r="177" spans="17:59" ht="15.75" customHeight="1" x14ac:dyDescent="0.25">
      <c r="Q177" s="52"/>
      <c r="R177" s="52"/>
      <c r="S177" s="52"/>
      <c r="T177" s="52"/>
      <c r="U177" s="52"/>
      <c r="V177" s="48" t="str">
        <f t="shared" si="39"/>
        <v/>
      </c>
      <c r="W177" s="48" t="str">
        <f t="shared" si="40"/>
        <v/>
      </c>
      <c r="X177" s="43" t="str">
        <f t="shared" si="41"/>
        <v/>
      </c>
      <c r="Y177" s="44" t="str">
        <f t="shared" si="42"/>
        <v/>
      </c>
      <c r="Z177" s="53" t="str">
        <f ca="1">IFERROR(IF(Stock_par_lots[[#This Row],[Stock restant]]=0,"",Stock_par_lots[[#This Row],[Date de péremption]]-TODAY()),"")</f>
        <v/>
      </c>
      <c r="AA177" s="45" t="str">
        <f ca="1">IF(Stock_par_lots[[#This Row],[Stock restant]]=0,"",IF(Stock_par_lots[[#This Row],[jours restants]]&gt;=60,"Conforme",IF(AND(Stock_par_lots[[#This Row],[jours restants]]&lt;60,Stock_par_lots[[#This Row],[jours restants]]&gt;=30),"Surveillance",IF(AND(Stock_par_lots[[#This Row],[jours restants]]&lt;30,Stock_par_lots[[#This Row],[jours restants]]&gt;=0),"Urgente","Expiré"))))</f>
        <v>Conforme</v>
      </c>
      <c r="AB177" s="68" t="str">
        <f ca="1">IF(AND(Stock_par_lots[[#This Row],[jours restants]]&gt;0,Stock_par_lots[[#This Row],[jours restants]]&lt;=60),"Proche","")</f>
        <v/>
      </c>
      <c r="BA177" s="52"/>
      <c r="BB177" s="52"/>
      <c r="BC177" s="52"/>
      <c r="BD177" s="48">
        <f t="shared" si="43"/>
        <v>0</v>
      </c>
      <c r="BE177" s="48">
        <f t="shared" si="44"/>
        <v>0</v>
      </c>
      <c r="BF177" s="46" t="str">
        <f>IFERROR(VLOOKUP(BA177,ListeProduits[],6,FALSE),"")</f>
        <v/>
      </c>
      <c r="BG177" s="47" t="str">
        <f>IFERROR(IF(Stock_par_produits[[#This Row],[Stock nim]]="","",IF(Stock_par_produits[[#This Row],[Stock nim]]&gt;Stock_par_produits[[#This Row],[Quantités restants]],"Commander","Ok")),"")</f>
        <v/>
      </c>
    </row>
    <row r="178" spans="17:59" ht="15.75" customHeight="1" x14ac:dyDescent="0.25">
      <c r="Q178" s="52"/>
      <c r="R178" s="52"/>
      <c r="S178" s="52"/>
      <c r="T178" s="52"/>
      <c r="U178" s="52"/>
      <c r="V178" s="48" t="str">
        <f t="shared" si="39"/>
        <v/>
      </c>
      <c r="W178" s="48" t="str">
        <f t="shared" si="40"/>
        <v/>
      </c>
      <c r="X178" s="43" t="str">
        <f t="shared" si="41"/>
        <v/>
      </c>
      <c r="Y178" s="44" t="str">
        <f t="shared" si="42"/>
        <v/>
      </c>
      <c r="Z178" s="53" t="str">
        <f ca="1">IFERROR(IF(Stock_par_lots[[#This Row],[Stock restant]]=0,"",Stock_par_lots[[#This Row],[Date de péremption]]-TODAY()),"")</f>
        <v/>
      </c>
      <c r="AA178" s="45" t="str">
        <f ca="1">IF(Stock_par_lots[[#This Row],[Stock restant]]=0,"",IF(Stock_par_lots[[#This Row],[jours restants]]&gt;=60,"Conforme",IF(AND(Stock_par_lots[[#This Row],[jours restants]]&lt;60,Stock_par_lots[[#This Row],[jours restants]]&gt;=30),"Surveillance",IF(AND(Stock_par_lots[[#This Row],[jours restants]]&lt;30,Stock_par_lots[[#This Row],[jours restants]]&gt;=0),"Urgente","Expiré"))))</f>
        <v>Conforme</v>
      </c>
      <c r="AB178" s="68" t="str">
        <f ca="1">IF(AND(Stock_par_lots[[#This Row],[jours restants]]&gt;0,Stock_par_lots[[#This Row],[jours restants]]&lt;=60),"Proche","")</f>
        <v/>
      </c>
      <c r="BA178" s="52"/>
      <c r="BB178" s="52"/>
      <c r="BC178" s="52"/>
      <c r="BD178" s="48">
        <f t="shared" si="43"/>
        <v>0</v>
      </c>
      <c r="BE178" s="48">
        <f t="shared" si="44"/>
        <v>0</v>
      </c>
      <c r="BF178" s="46" t="str">
        <f>IFERROR(VLOOKUP(BA178,ListeProduits[],6,FALSE),"")</f>
        <v/>
      </c>
      <c r="BG178" s="47" t="str">
        <f>IFERROR(IF(Stock_par_produits[[#This Row],[Stock nim]]="","",IF(Stock_par_produits[[#This Row],[Stock nim]]&gt;Stock_par_produits[[#This Row],[Quantités restants]],"Commander","Ok")),"")</f>
        <v/>
      </c>
    </row>
    <row r="179" spans="17:59" ht="15.75" customHeight="1" x14ac:dyDescent="0.25">
      <c r="Q179" s="52"/>
      <c r="R179" s="52"/>
      <c r="S179" s="52"/>
      <c r="T179" s="52"/>
      <c r="U179" s="52"/>
      <c r="V179" s="48" t="str">
        <f t="shared" si="39"/>
        <v/>
      </c>
      <c r="W179" s="48" t="str">
        <f t="shared" si="40"/>
        <v/>
      </c>
      <c r="X179" s="43" t="str">
        <f t="shared" si="41"/>
        <v/>
      </c>
      <c r="Y179" s="44" t="str">
        <f t="shared" si="42"/>
        <v/>
      </c>
      <c r="Z179" s="53" t="str">
        <f ca="1">IFERROR(IF(Stock_par_lots[[#This Row],[Stock restant]]=0,"",Stock_par_lots[[#This Row],[Date de péremption]]-TODAY()),"")</f>
        <v/>
      </c>
      <c r="AA179" s="45" t="str">
        <f ca="1">IF(Stock_par_lots[[#This Row],[Stock restant]]=0,"",IF(Stock_par_lots[[#This Row],[jours restants]]&gt;=60,"Conforme",IF(AND(Stock_par_lots[[#This Row],[jours restants]]&lt;60,Stock_par_lots[[#This Row],[jours restants]]&gt;=30),"Surveillance",IF(AND(Stock_par_lots[[#This Row],[jours restants]]&lt;30,Stock_par_lots[[#This Row],[jours restants]]&gt;=0),"Urgente","Expiré"))))</f>
        <v>Conforme</v>
      </c>
      <c r="AB179" s="68" t="str">
        <f ca="1">IF(AND(Stock_par_lots[[#This Row],[jours restants]]&gt;0,Stock_par_lots[[#This Row],[jours restants]]&lt;=60),"Proche","")</f>
        <v/>
      </c>
      <c r="BA179" s="52"/>
      <c r="BB179" s="52"/>
      <c r="BC179" s="52"/>
      <c r="BD179" s="48">
        <f t="shared" si="43"/>
        <v>0</v>
      </c>
      <c r="BE179" s="48">
        <f t="shared" si="44"/>
        <v>0</v>
      </c>
      <c r="BF179" s="46" t="str">
        <f>IFERROR(VLOOKUP(BA179,ListeProduits[],6,FALSE),"")</f>
        <v/>
      </c>
      <c r="BG179" s="47" t="str">
        <f>IFERROR(IF(Stock_par_produits[[#This Row],[Stock nim]]="","",IF(Stock_par_produits[[#This Row],[Stock nim]]&gt;Stock_par_produits[[#This Row],[Quantités restants]],"Commander","Ok")),"")</f>
        <v/>
      </c>
    </row>
    <row r="180" spans="17:59" ht="15.75" customHeight="1" x14ac:dyDescent="0.25">
      <c r="Q180" s="52"/>
      <c r="R180" s="52"/>
      <c r="S180" s="52"/>
      <c r="T180" s="52"/>
      <c r="U180" s="52"/>
      <c r="V180" s="48" t="str">
        <f t="shared" si="39"/>
        <v/>
      </c>
      <c r="W180" s="48" t="str">
        <f t="shared" si="40"/>
        <v/>
      </c>
      <c r="X180" s="43" t="str">
        <f t="shared" si="41"/>
        <v/>
      </c>
      <c r="Y180" s="44" t="str">
        <f t="shared" si="42"/>
        <v/>
      </c>
      <c r="Z180" s="53" t="str">
        <f ca="1">IFERROR(IF(Stock_par_lots[[#This Row],[Stock restant]]=0,"",Stock_par_lots[[#This Row],[Date de péremption]]-TODAY()),"")</f>
        <v/>
      </c>
      <c r="AA180" s="45" t="str">
        <f ca="1">IF(Stock_par_lots[[#This Row],[Stock restant]]=0,"",IF(Stock_par_lots[[#This Row],[jours restants]]&gt;=60,"Conforme",IF(AND(Stock_par_lots[[#This Row],[jours restants]]&lt;60,Stock_par_lots[[#This Row],[jours restants]]&gt;=30),"Surveillance",IF(AND(Stock_par_lots[[#This Row],[jours restants]]&lt;30,Stock_par_lots[[#This Row],[jours restants]]&gt;=0),"Urgente","Expiré"))))</f>
        <v>Conforme</v>
      </c>
      <c r="AB180" s="68" t="str">
        <f ca="1">IF(AND(Stock_par_lots[[#This Row],[jours restants]]&gt;0,Stock_par_lots[[#This Row],[jours restants]]&lt;=60),"Proche","")</f>
        <v/>
      </c>
      <c r="BA180" s="52"/>
      <c r="BB180" s="52"/>
      <c r="BC180" s="52"/>
      <c r="BD180" s="48">
        <f t="shared" si="43"/>
        <v>0</v>
      </c>
      <c r="BE180" s="48">
        <f t="shared" si="44"/>
        <v>0</v>
      </c>
      <c r="BF180" s="46" t="str">
        <f>IFERROR(VLOOKUP(BA180,ListeProduits[],6,FALSE),"")</f>
        <v/>
      </c>
      <c r="BG180" s="47" t="str">
        <f>IFERROR(IF(Stock_par_produits[[#This Row],[Stock nim]]="","",IF(Stock_par_produits[[#This Row],[Stock nim]]&gt;Stock_par_produits[[#This Row],[Quantités restants]],"Commander","Ok")),"")</f>
        <v/>
      </c>
    </row>
    <row r="181" spans="17:59" ht="15.75" customHeight="1" x14ac:dyDescent="0.25">
      <c r="Q181" s="52"/>
      <c r="R181" s="52"/>
      <c r="S181" s="52"/>
      <c r="T181" s="52"/>
      <c r="U181" s="52"/>
      <c r="V181" s="48" t="str">
        <f t="shared" si="39"/>
        <v/>
      </c>
      <c r="W181" s="48" t="str">
        <f t="shared" si="40"/>
        <v/>
      </c>
      <c r="X181" s="43" t="str">
        <f t="shared" si="41"/>
        <v/>
      </c>
      <c r="Y181" s="44" t="str">
        <f t="shared" si="42"/>
        <v/>
      </c>
      <c r="Z181" s="53" t="str">
        <f ca="1">IFERROR(IF(Stock_par_lots[[#This Row],[Stock restant]]=0,"",Stock_par_lots[[#This Row],[Date de péremption]]-TODAY()),"")</f>
        <v/>
      </c>
      <c r="AA181" s="45" t="str">
        <f ca="1">IF(Stock_par_lots[[#This Row],[Stock restant]]=0,"",IF(Stock_par_lots[[#This Row],[jours restants]]&gt;=60,"Conforme",IF(AND(Stock_par_lots[[#This Row],[jours restants]]&lt;60,Stock_par_lots[[#This Row],[jours restants]]&gt;=30),"Surveillance",IF(AND(Stock_par_lots[[#This Row],[jours restants]]&lt;30,Stock_par_lots[[#This Row],[jours restants]]&gt;=0),"Urgente","Expiré"))))</f>
        <v>Conforme</v>
      </c>
      <c r="AB181" s="68" t="str">
        <f ca="1">IF(AND(Stock_par_lots[[#This Row],[jours restants]]&gt;0,Stock_par_lots[[#This Row],[jours restants]]&lt;=60),"Proche","")</f>
        <v/>
      </c>
      <c r="BA181" s="52"/>
      <c r="BB181" s="52"/>
      <c r="BC181" s="52"/>
      <c r="BD181" s="48">
        <f t="shared" si="43"/>
        <v>0</v>
      </c>
      <c r="BE181" s="48">
        <f t="shared" si="44"/>
        <v>0</v>
      </c>
      <c r="BF181" s="46" t="str">
        <f>IFERROR(VLOOKUP(BA181,ListeProduits[],6,FALSE),"")</f>
        <v/>
      </c>
      <c r="BG181" s="47" t="str">
        <f>IFERROR(IF(Stock_par_produits[[#This Row],[Stock nim]]="","",IF(Stock_par_produits[[#This Row],[Stock nim]]&gt;Stock_par_produits[[#This Row],[Quantités restants]],"Commander","Ok")),"")</f>
        <v/>
      </c>
    </row>
    <row r="182" spans="17:59" ht="15.75" customHeight="1" x14ac:dyDescent="0.25">
      <c r="Q182" s="52"/>
      <c r="R182" s="52"/>
      <c r="S182" s="52"/>
      <c r="T182" s="52"/>
      <c r="U182" s="52"/>
      <c r="V182" s="48" t="str">
        <f t="shared" si="39"/>
        <v/>
      </c>
      <c r="W182" s="48" t="str">
        <f t="shared" si="40"/>
        <v/>
      </c>
      <c r="X182" s="43" t="str">
        <f t="shared" si="41"/>
        <v/>
      </c>
      <c r="Y182" s="44" t="str">
        <f t="shared" si="42"/>
        <v/>
      </c>
      <c r="Z182" s="53" t="str">
        <f ca="1">IFERROR(IF(Stock_par_lots[[#This Row],[Stock restant]]=0,"",Stock_par_lots[[#This Row],[Date de péremption]]-TODAY()),"")</f>
        <v/>
      </c>
      <c r="AA182" s="45" t="str">
        <f ca="1">IF(Stock_par_lots[[#This Row],[Stock restant]]=0,"",IF(Stock_par_lots[[#This Row],[jours restants]]&gt;=60,"Conforme",IF(AND(Stock_par_lots[[#This Row],[jours restants]]&lt;60,Stock_par_lots[[#This Row],[jours restants]]&gt;=30),"Surveillance",IF(AND(Stock_par_lots[[#This Row],[jours restants]]&lt;30,Stock_par_lots[[#This Row],[jours restants]]&gt;=0),"Urgente","Expiré"))))</f>
        <v>Conforme</v>
      </c>
      <c r="AB182" s="68" t="str">
        <f ca="1">IF(AND(Stock_par_lots[[#This Row],[jours restants]]&gt;0,Stock_par_lots[[#This Row],[jours restants]]&lt;=60),"Proche","")</f>
        <v/>
      </c>
      <c r="BA182" s="52"/>
      <c r="BB182" s="52"/>
      <c r="BC182" s="52"/>
      <c r="BD182" s="48">
        <f t="shared" si="43"/>
        <v>0</v>
      </c>
      <c r="BE182" s="48">
        <f t="shared" si="44"/>
        <v>0</v>
      </c>
      <c r="BF182" s="46" t="str">
        <f>IFERROR(VLOOKUP(BA182,ListeProduits[],6,FALSE),"")</f>
        <v/>
      </c>
      <c r="BG182" s="47" t="str">
        <f>IFERROR(IF(Stock_par_produits[[#This Row],[Stock nim]]="","",IF(Stock_par_produits[[#This Row],[Stock nim]]&gt;Stock_par_produits[[#This Row],[Quantités restants]],"Commander","Ok")),"")</f>
        <v/>
      </c>
    </row>
    <row r="183" spans="17:59" ht="15.75" customHeight="1" x14ac:dyDescent="0.25">
      <c r="Q183" s="52"/>
      <c r="R183" s="52"/>
      <c r="S183" s="52"/>
      <c r="T183" s="52"/>
      <c r="U183" s="52"/>
      <c r="V183" s="48" t="str">
        <f t="shared" si="39"/>
        <v/>
      </c>
      <c r="W183" s="48" t="str">
        <f t="shared" si="40"/>
        <v/>
      </c>
      <c r="X183" s="43" t="str">
        <f t="shared" si="41"/>
        <v/>
      </c>
      <c r="Y183" s="44" t="str">
        <f t="shared" si="42"/>
        <v/>
      </c>
      <c r="Z183" s="53" t="str">
        <f ca="1">IFERROR(IF(Stock_par_lots[[#This Row],[Stock restant]]=0,"",Stock_par_lots[[#This Row],[Date de péremption]]-TODAY()),"")</f>
        <v/>
      </c>
      <c r="AA183" s="45" t="str">
        <f ca="1">IF(Stock_par_lots[[#This Row],[Stock restant]]=0,"",IF(Stock_par_lots[[#This Row],[jours restants]]&gt;=60,"Conforme",IF(AND(Stock_par_lots[[#This Row],[jours restants]]&lt;60,Stock_par_lots[[#This Row],[jours restants]]&gt;=30),"Surveillance",IF(AND(Stock_par_lots[[#This Row],[jours restants]]&lt;30,Stock_par_lots[[#This Row],[jours restants]]&gt;=0),"Urgente","Expiré"))))</f>
        <v>Conforme</v>
      </c>
      <c r="AB183" s="68" t="str">
        <f ca="1">IF(AND(Stock_par_lots[[#This Row],[jours restants]]&gt;0,Stock_par_lots[[#This Row],[jours restants]]&lt;=60),"Proche","")</f>
        <v/>
      </c>
      <c r="BA183" s="52"/>
      <c r="BB183" s="52"/>
      <c r="BC183" s="52"/>
      <c r="BD183" s="48">
        <f t="shared" si="43"/>
        <v>0</v>
      </c>
      <c r="BE183" s="48">
        <f t="shared" si="44"/>
        <v>0</v>
      </c>
      <c r="BF183" s="46" t="str">
        <f>IFERROR(VLOOKUP(BA183,ListeProduits[],6,FALSE),"")</f>
        <v/>
      </c>
      <c r="BG183" s="47" t="str">
        <f>IFERROR(IF(Stock_par_produits[[#This Row],[Stock nim]]="","",IF(Stock_par_produits[[#This Row],[Stock nim]]&gt;Stock_par_produits[[#This Row],[Quantités restants]],"Commander","Ok")),"")</f>
        <v/>
      </c>
    </row>
    <row r="184" spans="17:59" ht="15.75" customHeight="1" x14ac:dyDescent="0.25">
      <c r="Q184" s="52"/>
      <c r="R184" s="52"/>
      <c r="S184" s="52"/>
      <c r="T184" s="52"/>
      <c r="U184" s="52"/>
      <c r="V184" s="48" t="str">
        <f t="shared" si="39"/>
        <v/>
      </c>
      <c r="W184" s="48" t="str">
        <f t="shared" si="40"/>
        <v/>
      </c>
      <c r="X184" s="43" t="str">
        <f t="shared" si="41"/>
        <v/>
      </c>
      <c r="Y184" s="44" t="str">
        <f t="shared" si="42"/>
        <v/>
      </c>
      <c r="Z184" s="53" t="str">
        <f ca="1">IFERROR(IF(Stock_par_lots[[#This Row],[Stock restant]]=0,"",Stock_par_lots[[#This Row],[Date de péremption]]-TODAY()),"")</f>
        <v/>
      </c>
      <c r="AA184" s="45" t="str">
        <f ca="1">IF(Stock_par_lots[[#This Row],[Stock restant]]=0,"",IF(Stock_par_lots[[#This Row],[jours restants]]&gt;=60,"Conforme",IF(AND(Stock_par_lots[[#This Row],[jours restants]]&lt;60,Stock_par_lots[[#This Row],[jours restants]]&gt;=30),"Surveillance",IF(AND(Stock_par_lots[[#This Row],[jours restants]]&lt;30,Stock_par_lots[[#This Row],[jours restants]]&gt;=0),"Urgente","Expiré"))))</f>
        <v>Conforme</v>
      </c>
      <c r="AB184" s="68" t="str">
        <f ca="1">IF(AND(Stock_par_lots[[#This Row],[jours restants]]&gt;0,Stock_par_lots[[#This Row],[jours restants]]&lt;=60),"Proche","")</f>
        <v/>
      </c>
      <c r="BA184" s="52"/>
      <c r="BB184" s="52"/>
      <c r="BC184" s="52"/>
      <c r="BD184" s="48">
        <f t="shared" si="43"/>
        <v>0</v>
      </c>
      <c r="BE184" s="48">
        <f t="shared" si="44"/>
        <v>0</v>
      </c>
      <c r="BF184" s="46" t="str">
        <f>IFERROR(VLOOKUP(BA184,ListeProduits[],6,FALSE),"")</f>
        <v/>
      </c>
      <c r="BG184" s="47" t="str">
        <f>IFERROR(IF(Stock_par_produits[[#This Row],[Stock nim]]="","",IF(Stock_par_produits[[#This Row],[Stock nim]]&gt;Stock_par_produits[[#This Row],[Quantités restants]],"Commander","Ok")),"")</f>
        <v/>
      </c>
    </row>
    <row r="185" spans="17:59" ht="15.75" customHeight="1" x14ac:dyDescent="0.25">
      <c r="Q185" s="52"/>
      <c r="R185" s="52"/>
      <c r="S185" s="52"/>
      <c r="T185" s="52"/>
      <c r="U185" s="52"/>
      <c r="V185" s="48" t="str">
        <f t="shared" si="39"/>
        <v/>
      </c>
      <c r="W185" s="48" t="str">
        <f t="shared" si="40"/>
        <v/>
      </c>
      <c r="X185" s="43" t="str">
        <f t="shared" si="41"/>
        <v/>
      </c>
      <c r="Y185" s="44" t="str">
        <f t="shared" si="42"/>
        <v/>
      </c>
      <c r="Z185" s="53" t="str">
        <f ca="1">IFERROR(IF(Stock_par_lots[[#This Row],[Stock restant]]=0,"",Stock_par_lots[[#This Row],[Date de péremption]]-TODAY()),"")</f>
        <v/>
      </c>
      <c r="AA185" s="45" t="str">
        <f ca="1">IF(Stock_par_lots[[#This Row],[Stock restant]]=0,"",IF(Stock_par_lots[[#This Row],[jours restants]]&gt;=60,"Conforme",IF(AND(Stock_par_lots[[#This Row],[jours restants]]&lt;60,Stock_par_lots[[#This Row],[jours restants]]&gt;=30),"Surveillance",IF(AND(Stock_par_lots[[#This Row],[jours restants]]&lt;30,Stock_par_lots[[#This Row],[jours restants]]&gt;=0),"Urgente","Expiré"))))</f>
        <v>Conforme</v>
      </c>
      <c r="AB185" s="68" t="str">
        <f ca="1">IF(AND(Stock_par_lots[[#This Row],[jours restants]]&gt;0,Stock_par_lots[[#This Row],[jours restants]]&lt;=60),"Proche","")</f>
        <v/>
      </c>
      <c r="BA185" s="52"/>
      <c r="BB185" s="52"/>
      <c r="BC185" s="52"/>
      <c r="BD185" s="48">
        <f t="shared" si="43"/>
        <v>0</v>
      </c>
      <c r="BE185" s="48">
        <f t="shared" si="44"/>
        <v>0</v>
      </c>
      <c r="BF185" s="46" t="str">
        <f>IFERROR(VLOOKUP(BA185,ListeProduits[],6,FALSE),"")</f>
        <v/>
      </c>
      <c r="BG185" s="47" t="str">
        <f>IFERROR(IF(Stock_par_produits[[#This Row],[Stock nim]]="","",IF(Stock_par_produits[[#This Row],[Stock nim]]&gt;Stock_par_produits[[#This Row],[Quantités restants]],"Commander","Ok")),"")</f>
        <v/>
      </c>
    </row>
    <row r="186" spans="17:59" ht="15.75" customHeight="1" x14ac:dyDescent="0.25">
      <c r="Q186" s="52"/>
      <c r="R186" s="52"/>
      <c r="S186" s="52"/>
      <c r="T186" s="52"/>
      <c r="U186" s="52"/>
      <c r="V186" s="48" t="str">
        <f t="shared" si="39"/>
        <v/>
      </c>
      <c r="W186" s="48" t="str">
        <f t="shared" si="40"/>
        <v/>
      </c>
      <c r="X186" s="43" t="str">
        <f t="shared" si="41"/>
        <v/>
      </c>
      <c r="Y186" s="44" t="str">
        <f t="shared" si="42"/>
        <v/>
      </c>
      <c r="Z186" s="53" t="str">
        <f ca="1">IFERROR(IF(Stock_par_lots[[#This Row],[Stock restant]]=0,"",Stock_par_lots[[#This Row],[Date de péremption]]-TODAY()),"")</f>
        <v/>
      </c>
      <c r="AA186" s="45" t="str">
        <f ca="1">IF(Stock_par_lots[[#This Row],[Stock restant]]=0,"",IF(Stock_par_lots[[#This Row],[jours restants]]&gt;=60,"Conforme",IF(AND(Stock_par_lots[[#This Row],[jours restants]]&lt;60,Stock_par_lots[[#This Row],[jours restants]]&gt;=30),"Surveillance",IF(AND(Stock_par_lots[[#This Row],[jours restants]]&lt;30,Stock_par_lots[[#This Row],[jours restants]]&gt;=0),"Urgente","Expiré"))))</f>
        <v>Conforme</v>
      </c>
      <c r="AB186" s="68" t="str">
        <f ca="1">IF(AND(Stock_par_lots[[#This Row],[jours restants]]&gt;0,Stock_par_lots[[#This Row],[jours restants]]&lt;=60),"Proche","")</f>
        <v/>
      </c>
      <c r="BA186" s="52"/>
      <c r="BB186" s="52"/>
      <c r="BC186" s="52"/>
      <c r="BD186" s="48">
        <f t="shared" si="43"/>
        <v>0</v>
      </c>
      <c r="BE186" s="48">
        <f t="shared" si="44"/>
        <v>0</v>
      </c>
      <c r="BF186" s="46" t="str">
        <f>IFERROR(VLOOKUP(BA186,ListeProduits[],6,FALSE),"")</f>
        <v/>
      </c>
      <c r="BG186" s="47" t="str">
        <f>IFERROR(IF(Stock_par_produits[[#This Row],[Stock nim]]="","",IF(Stock_par_produits[[#This Row],[Stock nim]]&gt;Stock_par_produits[[#This Row],[Quantités restants]],"Commander","Ok")),"")</f>
        <v/>
      </c>
    </row>
    <row r="187" spans="17:59" ht="15.75" customHeight="1" x14ac:dyDescent="0.25">
      <c r="Q187" s="52"/>
      <c r="R187" s="52"/>
      <c r="S187" s="52"/>
      <c r="T187" s="52"/>
      <c r="U187" s="52"/>
      <c r="V187" s="48" t="str">
        <f t="shared" si="39"/>
        <v/>
      </c>
      <c r="W187" s="48" t="str">
        <f t="shared" si="40"/>
        <v/>
      </c>
      <c r="X187" s="43" t="str">
        <f t="shared" si="41"/>
        <v/>
      </c>
      <c r="Y187" s="44" t="str">
        <f t="shared" si="42"/>
        <v/>
      </c>
      <c r="Z187" s="53" t="str">
        <f ca="1">IFERROR(IF(Stock_par_lots[[#This Row],[Stock restant]]=0,"",Stock_par_lots[[#This Row],[Date de péremption]]-TODAY()),"")</f>
        <v/>
      </c>
      <c r="AA187" s="45" t="str">
        <f ca="1">IF(Stock_par_lots[[#This Row],[Stock restant]]=0,"",IF(Stock_par_lots[[#This Row],[jours restants]]&gt;=60,"Conforme",IF(AND(Stock_par_lots[[#This Row],[jours restants]]&lt;60,Stock_par_lots[[#This Row],[jours restants]]&gt;=30),"Surveillance",IF(AND(Stock_par_lots[[#This Row],[jours restants]]&lt;30,Stock_par_lots[[#This Row],[jours restants]]&gt;=0),"Urgente","Expiré"))))</f>
        <v>Conforme</v>
      </c>
      <c r="AB187" s="68" t="str">
        <f ca="1">IF(AND(Stock_par_lots[[#This Row],[jours restants]]&gt;0,Stock_par_lots[[#This Row],[jours restants]]&lt;=60),"Proche","")</f>
        <v/>
      </c>
      <c r="BA187" s="52"/>
      <c r="BB187" s="52"/>
      <c r="BC187" s="52"/>
      <c r="BD187" s="48">
        <f t="shared" si="43"/>
        <v>0</v>
      </c>
      <c r="BE187" s="48">
        <f t="shared" si="44"/>
        <v>0</v>
      </c>
      <c r="BF187" s="46" t="str">
        <f>IFERROR(VLOOKUP(BA187,ListeProduits[],6,FALSE),"")</f>
        <v/>
      </c>
      <c r="BG187" s="47" t="str">
        <f>IFERROR(IF(Stock_par_produits[[#This Row],[Stock nim]]="","",IF(Stock_par_produits[[#This Row],[Stock nim]]&gt;Stock_par_produits[[#This Row],[Quantités restants]],"Commander","Ok")),"")</f>
        <v/>
      </c>
    </row>
    <row r="188" spans="17:59" ht="15.75" customHeight="1" x14ac:dyDescent="0.25">
      <c r="Q188" s="52"/>
      <c r="R188" s="52"/>
      <c r="S188" s="52"/>
      <c r="T188" s="52"/>
      <c r="U188" s="52"/>
      <c r="V188" s="48" t="str">
        <f t="shared" si="39"/>
        <v/>
      </c>
      <c r="W188" s="48" t="str">
        <f t="shared" si="40"/>
        <v/>
      </c>
      <c r="X188" s="43" t="str">
        <f t="shared" si="41"/>
        <v/>
      </c>
      <c r="Y188" s="44" t="str">
        <f t="shared" si="42"/>
        <v/>
      </c>
      <c r="Z188" s="53" t="str">
        <f ca="1">IFERROR(IF(Stock_par_lots[[#This Row],[Stock restant]]=0,"",Stock_par_lots[[#This Row],[Date de péremption]]-TODAY()),"")</f>
        <v/>
      </c>
      <c r="AA188" s="45" t="str">
        <f ca="1">IF(Stock_par_lots[[#This Row],[Stock restant]]=0,"",IF(Stock_par_lots[[#This Row],[jours restants]]&gt;=60,"Conforme",IF(AND(Stock_par_lots[[#This Row],[jours restants]]&lt;60,Stock_par_lots[[#This Row],[jours restants]]&gt;=30),"Surveillance",IF(AND(Stock_par_lots[[#This Row],[jours restants]]&lt;30,Stock_par_lots[[#This Row],[jours restants]]&gt;=0),"Urgente","Expiré"))))</f>
        <v>Conforme</v>
      </c>
      <c r="AB188" s="68" t="str">
        <f ca="1">IF(AND(Stock_par_lots[[#This Row],[jours restants]]&gt;0,Stock_par_lots[[#This Row],[jours restants]]&lt;=60),"Proche","")</f>
        <v/>
      </c>
      <c r="BA188" s="52"/>
      <c r="BB188" s="52"/>
      <c r="BC188" s="52"/>
      <c r="BD188" s="48">
        <f t="shared" si="43"/>
        <v>0</v>
      </c>
      <c r="BE188" s="48">
        <f t="shared" si="44"/>
        <v>0</v>
      </c>
      <c r="BF188" s="46" t="str">
        <f>IFERROR(VLOOKUP(BA188,ListeProduits[],6,FALSE),"")</f>
        <v/>
      </c>
      <c r="BG188" s="47" t="str">
        <f>IFERROR(IF(Stock_par_produits[[#This Row],[Stock nim]]="","",IF(Stock_par_produits[[#This Row],[Stock nim]]&gt;Stock_par_produits[[#This Row],[Quantités restants]],"Commander","Ok")),"")</f>
        <v/>
      </c>
    </row>
    <row r="189" spans="17:59" ht="15.75" customHeight="1" x14ac:dyDescent="0.25">
      <c r="Q189" s="52"/>
      <c r="R189" s="52"/>
      <c r="S189" s="52"/>
      <c r="T189" s="52"/>
      <c r="U189" s="52"/>
      <c r="V189" s="48" t="str">
        <f t="shared" si="39"/>
        <v/>
      </c>
      <c r="W189" s="48" t="str">
        <f t="shared" si="40"/>
        <v/>
      </c>
      <c r="X189" s="43" t="str">
        <f t="shared" si="41"/>
        <v/>
      </c>
      <c r="Y189" s="44" t="str">
        <f t="shared" si="42"/>
        <v/>
      </c>
      <c r="Z189" s="53" t="str">
        <f ca="1">IFERROR(IF(Stock_par_lots[[#This Row],[Stock restant]]=0,"",Stock_par_lots[[#This Row],[Date de péremption]]-TODAY()),"")</f>
        <v/>
      </c>
      <c r="AA189" s="45" t="str">
        <f ca="1">IF(Stock_par_lots[[#This Row],[Stock restant]]=0,"",IF(Stock_par_lots[[#This Row],[jours restants]]&gt;=60,"Conforme",IF(AND(Stock_par_lots[[#This Row],[jours restants]]&lt;60,Stock_par_lots[[#This Row],[jours restants]]&gt;=30),"Surveillance",IF(AND(Stock_par_lots[[#This Row],[jours restants]]&lt;30,Stock_par_lots[[#This Row],[jours restants]]&gt;=0),"Urgente","Expiré"))))</f>
        <v>Conforme</v>
      </c>
      <c r="AB189" s="68" t="str">
        <f ca="1">IF(AND(Stock_par_lots[[#This Row],[jours restants]]&gt;0,Stock_par_lots[[#This Row],[jours restants]]&lt;=60),"Proche","")</f>
        <v/>
      </c>
      <c r="BA189" s="52"/>
      <c r="BB189" s="52"/>
      <c r="BC189" s="52"/>
      <c r="BD189" s="48">
        <f t="shared" si="43"/>
        <v>0</v>
      </c>
      <c r="BE189" s="48">
        <f t="shared" si="44"/>
        <v>0</v>
      </c>
      <c r="BF189" s="46" t="str">
        <f>IFERROR(VLOOKUP(BA189,ListeProduits[],6,FALSE),"")</f>
        <v/>
      </c>
      <c r="BG189" s="47" t="str">
        <f>IFERROR(IF(Stock_par_produits[[#This Row],[Stock nim]]="","",IF(Stock_par_produits[[#This Row],[Stock nim]]&gt;Stock_par_produits[[#This Row],[Quantités restants]],"Commander","Ok")),"")</f>
        <v/>
      </c>
    </row>
    <row r="190" spans="17:59" ht="15.75" customHeight="1" x14ac:dyDescent="0.25">
      <c r="Q190" s="52"/>
      <c r="R190" s="52"/>
      <c r="S190" s="52"/>
      <c r="T190" s="52"/>
      <c r="U190" s="52"/>
      <c r="V190" s="48" t="str">
        <f t="shared" si="39"/>
        <v/>
      </c>
      <c r="W190" s="48" t="str">
        <f t="shared" si="40"/>
        <v/>
      </c>
      <c r="X190" s="43" t="str">
        <f t="shared" si="41"/>
        <v/>
      </c>
      <c r="Y190" s="44" t="str">
        <f t="shared" si="42"/>
        <v/>
      </c>
      <c r="Z190" s="53" t="str">
        <f ca="1">IFERROR(IF(Stock_par_lots[[#This Row],[Stock restant]]=0,"",Stock_par_lots[[#This Row],[Date de péremption]]-TODAY()),"")</f>
        <v/>
      </c>
      <c r="AA190" s="45" t="str">
        <f ca="1">IF(Stock_par_lots[[#This Row],[Stock restant]]=0,"",IF(Stock_par_lots[[#This Row],[jours restants]]&gt;=60,"Conforme",IF(AND(Stock_par_lots[[#This Row],[jours restants]]&lt;60,Stock_par_lots[[#This Row],[jours restants]]&gt;=30),"Surveillance",IF(AND(Stock_par_lots[[#This Row],[jours restants]]&lt;30,Stock_par_lots[[#This Row],[jours restants]]&gt;=0),"Urgente","Expiré"))))</f>
        <v>Conforme</v>
      </c>
      <c r="AB190" s="68" t="str">
        <f ca="1">IF(AND(Stock_par_lots[[#This Row],[jours restants]]&gt;0,Stock_par_lots[[#This Row],[jours restants]]&lt;=60),"Proche","")</f>
        <v/>
      </c>
      <c r="BA190" s="52"/>
      <c r="BB190" s="52"/>
      <c r="BC190" s="52"/>
      <c r="BD190" s="48">
        <f t="shared" si="43"/>
        <v>0</v>
      </c>
      <c r="BE190" s="48">
        <f t="shared" si="44"/>
        <v>0</v>
      </c>
      <c r="BF190" s="46" t="str">
        <f>IFERROR(VLOOKUP(BA190,ListeProduits[],6,FALSE),"")</f>
        <v/>
      </c>
      <c r="BG190" s="47" t="str">
        <f>IFERROR(IF(Stock_par_produits[[#This Row],[Stock nim]]="","",IF(Stock_par_produits[[#This Row],[Stock nim]]&gt;Stock_par_produits[[#This Row],[Quantités restants]],"Commander","Ok")),"")</f>
        <v/>
      </c>
    </row>
    <row r="191" spans="17:59" ht="15.75" customHeight="1" x14ac:dyDescent="0.25">
      <c r="Q191" s="52"/>
      <c r="R191" s="52"/>
      <c r="S191" s="52"/>
      <c r="T191" s="52"/>
      <c r="U191" s="52"/>
      <c r="V191" s="48" t="str">
        <f t="shared" si="39"/>
        <v/>
      </c>
      <c r="W191" s="48" t="str">
        <f t="shared" si="40"/>
        <v/>
      </c>
      <c r="X191" s="43" t="str">
        <f t="shared" si="41"/>
        <v/>
      </c>
      <c r="Y191" s="44" t="str">
        <f t="shared" si="42"/>
        <v/>
      </c>
      <c r="Z191" s="53" t="str">
        <f ca="1">IFERROR(IF(Stock_par_lots[[#This Row],[Stock restant]]=0,"",Stock_par_lots[[#This Row],[Date de péremption]]-TODAY()),"")</f>
        <v/>
      </c>
      <c r="AA191" s="45" t="str">
        <f ca="1">IF(Stock_par_lots[[#This Row],[Stock restant]]=0,"",IF(Stock_par_lots[[#This Row],[jours restants]]&gt;=60,"Conforme",IF(AND(Stock_par_lots[[#This Row],[jours restants]]&lt;60,Stock_par_lots[[#This Row],[jours restants]]&gt;=30),"Surveillance",IF(AND(Stock_par_lots[[#This Row],[jours restants]]&lt;30,Stock_par_lots[[#This Row],[jours restants]]&gt;=0),"Urgente","Expiré"))))</f>
        <v>Conforme</v>
      </c>
      <c r="AB191" s="68" t="str">
        <f ca="1">IF(AND(Stock_par_lots[[#This Row],[jours restants]]&gt;0,Stock_par_lots[[#This Row],[jours restants]]&lt;=60),"Proche","")</f>
        <v/>
      </c>
      <c r="BA191" s="52"/>
      <c r="BB191" s="52"/>
      <c r="BC191" s="52"/>
      <c r="BD191" s="48">
        <f t="shared" si="43"/>
        <v>0</v>
      </c>
      <c r="BE191" s="48">
        <f t="shared" si="44"/>
        <v>0</v>
      </c>
      <c r="BF191" s="46" t="str">
        <f>IFERROR(VLOOKUP(BA191,ListeProduits[],6,FALSE),"")</f>
        <v/>
      </c>
      <c r="BG191" s="47" t="str">
        <f>IFERROR(IF(Stock_par_produits[[#This Row],[Stock nim]]="","",IF(Stock_par_produits[[#This Row],[Stock nim]]&gt;Stock_par_produits[[#This Row],[Quantités restants]],"Commander","Ok")),"")</f>
        <v/>
      </c>
    </row>
    <row r="192" spans="17:59" ht="15.75" customHeight="1" x14ac:dyDescent="0.25">
      <c r="Q192" s="52"/>
      <c r="R192" s="52"/>
      <c r="S192" s="52"/>
      <c r="T192" s="52"/>
      <c r="U192" s="52"/>
      <c r="V192" s="48" t="str">
        <f t="shared" si="39"/>
        <v/>
      </c>
      <c r="W192" s="48" t="str">
        <f t="shared" si="40"/>
        <v/>
      </c>
      <c r="X192" s="43" t="str">
        <f t="shared" si="41"/>
        <v/>
      </c>
      <c r="Y192" s="44" t="str">
        <f t="shared" si="42"/>
        <v/>
      </c>
      <c r="Z192" s="53" t="str">
        <f ca="1">IFERROR(IF(Stock_par_lots[[#This Row],[Stock restant]]=0,"",Stock_par_lots[[#This Row],[Date de péremption]]-TODAY()),"")</f>
        <v/>
      </c>
      <c r="AA192" s="45" t="str">
        <f ca="1">IF(Stock_par_lots[[#This Row],[Stock restant]]=0,"",IF(Stock_par_lots[[#This Row],[jours restants]]&gt;=60,"Conforme",IF(AND(Stock_par_lots[[#This Row],[jours restants]]&lt;60,Stock_par_lots[[#This Row],[jours restants]]&gt;=30),"Surveillance",IF(AND(Stock_par_lots[[#This Row],[jours restants]]&lt;30,Stock_par_lots[[#This Row],[jours restants]]&gt;=0),"Urgente","Expiré"))))</f>
        <v>Conforme</v>
      </c>
      <c r="AB192" s="68" t="str">
        <f ca="1">IF(AND(Stock_par_lots[[#This Row],[jours restants]]&gt;0,Stock_par_lots[[#This Row],[jours restants]]&lt;=60),"Proche","")</f>
        <v/>
      </c>
      <c r="BA192" s="52"/>
      <c r="BB192" s="52"/>
      <c r="BC192" s="52"/>
      <c r="BD192" s="48">
        <f t="shared" si="43"/>
        <v>0</v>
      </c>
      <c r="BE192" s="48">
        <f t="shared" si="44"/>
        <v>0</v>
      </c>
      <c r="BF192" s="46" t="str">
        <f>IFERROR(VLOOKUP(BA192,ListeProduits[],6,FALSE),"")</f>
        <v/>
      </c>
      <c r="BG192" s="47" t="str">
        <f>IFERROR(IF(Stock_par_produits[[#This Row],[Stock nim]]="","",IF(Stock_par_produits[[#This Row],[Stock nim]]&gt;Stock_par_produits[[#This Row],[Quantités restants]],"Commander","Ok")),"")</f>
        <v/>
      </c>
    </row>
    <row r="193" spans="17:59" ht="15.75" customHeight="1" x14ac:dyDescent="0.25">
      <c r="Q193" s="52"/>
      <c r="R193" s="52"/>
      <c r="S193" s="52"/>
      <c r="T193" s="52"/>
      <c r="U193" s="52"/>
      <c r="V193" s="48" t="str">
        <f t="shared" si="39"/>
        <v/>
      </c>
      <c r="W193" s="48" t="str">
        <f t="shared" si="40"/>
        <v/>
      </c>
      <c r="X193" s="43" t="str">
        <f t="shared" si="41"/>
        <v/>
      </c>
      <c r="Y193" s="44" t="str">
        <f t="shared" si="42"/>
        <v/>
      </c>
      <c r="Z193" s="53" t="str">
        <f ca="1">IFERROR(IF(Stock_par_lots[[#This Row],[Stock restant]]=0,"",Stock_par_lots[[#This Row],[Date de péremption]]-TODAY()),"")</f>
        <v/>
      </c>
      <c r="AA193" s="45" t="str">
        <f ca="1">IF(Stock_par_lots[[#This Row],[Stock restant]]=0,"",IF(Stock_par_lots[[#This Row],[jours restants]]&gt;=60,"Conforme",IF(AND(Stock_par_lots[[#This Row],[jours restants]]&lt;60,Stock_par_lots[[#This Row],[jours restants]]&gt;=30),"Surveillance",IF(AND(Stock_par_lots[[#This Row],[jours restants]]&lt;30,Stock_par_lots[[#This Row],[jours restants]]&gt;=0),"Urgente","Expiré"))))</f>
        <v>Conforme</v>
      </c>
      <c r="AB193" s="68" t="str">
        <f ca="1">IF(AND(Stock_par_lots[[#This Row],[jours restants]]&gt;0,Stock_par_lots[[#This Row],[jours restants]]&lt;=60),"Proche","")</f>
        <v/>
      </c>
      <c r="BA193" s="52"/>
      <c r="BB193" s="52"/>
      <c r="BC193" s="52"/>
      <c r="BD193" s="48">
        <f t="shared" si="43"/>
        <v>0</v>
      </c>
      <c r="BE193" s="48">
        <f t="shared" si="44"/>
        <v>0</v>
      </c>
      <c r="BF193" s="46" t="str">
        <f>IFERROR(VLOOKUP(BA193,ListeProduits[],6,FALSE),"")</f>
        <v/>
      </c>
      <c r="BG193" s="47" t="str">
        <f>IFERROR(IF(Stock_par_produits[[#This Row],[Stock nim]]="","",IF(Stock_par_produits[[#This Row],[Stock nim]]&gt;Stock_par_produits[[#This Row],[Quantités restants]],"Commander","Ok")),"")</f>
        <v/>
      </c>
    </row>
    <row r="194" spans="17:59" ht="15.75" customHeight="1" x14ac:dyDescent="0.25">
      <c r="Q194" s="52"/>
      <c r="R194" s="52"/>
      <c r="S194" s="52"/>
      <c r="T194" s="52"/>
      <c r="U194" s="52"/>
      <c r="V194" s="48" t="str">
        <f t="shared" si="39"/>
        <v/>
      </c>
      <c r="W194" s="48" t="str">
        <f t="shared" si="40"/>
        <v/>
      </c>
      <c r="X194" s="43" t="str">
        <f t="shared" si="41"/>
        <v/>
      </c>
      <c r="Y194" s="44" t="str">
        <f t="shared" si="42"/>
        <v/>
      </c>
      <c r="Z194" s="53" t="str">
        <f ca="1">IFERROR(IF(Stock_par_lots[[#This Row],[Stock restant]]=0,"",Stock_par_lots[[#This Row],[Date de péremption]]-TODAY()),"")</f>
        <v/>
      </c>
      <c r="AA194" s="45" t="str">
        <f ca="1">IF(Stock_par_lots[[#This Row],[Stock restant]]=0,"",IF(Stock_par_lots[[#This Row],[jours restants]]&gt;=60,"Conforme",IF(AND(Stock_par_lots[[#This Row],[jours restants]]&lt;60,Stock_par_lots[[#This Row],[jours restants]]&gt;=30),"Surveillance",IF(AND(Stock_par_lots[[#This Row],[jours restants]]&lt;30,Stock_par_lots[[#This Row],[jours restants]]&gt;=0),"Urgente","Expiré"))))</f>
        <v>Conforme</v>
      </c>
      <c r="AB194" s="68" t="str">
        <f ca="1">IF(AND(Stock_par_lots[[#This Row],[jours restants]]&gt;0,Stock_par_lots[[#This Row],[jours restants]]&lt;=60),"Proche","")</f>
        <v/>
      </c>
      <c r="BA194" s="52"/>
      <c r="BB194" s="52"/>
      <c r="BC194" s="52"/>
      <c r="BD194" s="48">
        <f t="shared" si="43"/>
        <v>0</v>
      </c>
      <c r="BE194" s="48">
        <f t="shared" si="44"/>
        <v>0</v>
      </c>
      <c r="BF194" s="46" t="str">
        <f>IFERROR(VLOOKUP(BA194,ListeProduits[],6,FALSE),"")</f>
        <v/>
      </c>
      <c r="BG194" s="47" t="str">
        <f>IFERROR(IF(Stock_par_produits[[#This Row],[Stock nim]]="","",IF(Stock_par_produits[[#This Row],[Stock nim]]&gt;Stock_par_produits[[#This Row],[Quantités restants]],"Commander","Ok")),"")</f>
        <v/>
      </c>
    </row>
    <row r="195" spans="17:59" ht="15.75" customHeight="1" x14ac:dyDescent="0.25">
      <c r="Q195" s="52"/>
      <c r="R195" s="52"/>
      <c r="S195" s="52"/>
      <c r="T195" s="52"/>
      <c r="U195" s="52"/>
      <c r="V195" s="48" t="str">
        <f t="shared" si="39"/>
        <v/>
      </c>
      <c r="W195" s="48" t="str">
        <f t="shared" si="40"/>
        <v/>
      </c>
      <c r="X195" s="43" t="str">
        <f t="shared" si="41"/>
        <v/>
      </c>
      <c r="Y195" s="44" t="str">
        <f t="shared" si="42"/>
        <v/>
      </c>
      <c r="Z195" s="53" t="str">
        <f ca="1">IFERROR(IF(Stock_par_lots[[#This Row],[Stock restant]]=0,"",Stock_par_lots[[#This Row],[Date de péremption]]-TODAY()),"")</f>
        <v/>
      </c>
      <c r="AA195" s="45" t="str">
        <f ca="1">IF(Stock_par_lots[[#This Row],[Stock restant]]=0,"",IF(Stock_par_lots[[#This Row],[jours restants]]&gt;=60,"Conforme",IF(AND(Stock_par_lots[[#This Row],[jours restants]]&lt;60,Stock_par_lots[[#This Row],[jours restants]]&gt;=30),"Surveillance",IF(AND(Stock_par_lots[[#This Row],[jours restants]]&lt;30,Stock_par_lots[[#This Row],[jours restants]]&gt;=0),"Urgente","Expiré"))))</f>
        <v>Conforme</v>
      </c>
      <c r="AB195" s="68" t="str">
        <f ca="1">IF(AND(Stock_par_lots[[#This Row],[jours restants]]&gt;0,Stock_par_lots[[#This Row],[jours restants]]&lt;=60),"Proche","")</f>
        <v/>
      </c>
      <c r="BA195" s="52"/>
      <c r="BB195" s="52"/>
      <c r="BC195" s="52"/>
      <c r="BD195" s="48">
        <f t="shared" si="43"/>
        <v>0</v>
      </c>
      <c r="BE195" s="48">
        <f t="shared" si="44"/>
        <v>0</v>
      </c>
      <c r="BF195" s="46" t="str">
        <f>IFERROR(VLOOKUP(BA195,ListeProduits[],6,FALSE),"")</f>
        <v/>
      </c>
      <c r="BG195" s="47" t="str">
        <f>IFERROR(IF(Stock_par_produits[[#This Row],[Stock nim]]="","",IF(Stock_par_produits[[#This Row],[Stock nim]]&gt;Stock_par_produits[[#This Row],[Quantités restants]],"Commander","Ok")),"")</f>
        <v/>
      </c>
    </row>
    <row r="196" spans="17:59" ht="15.75" customHeight="1" x14ac:dyDescent="0.25">
      <c r="Q196" s="52"/>
      <c r="R196" s="52"/>
      <c r="S196" s="52"/>
      <c r="T196" s="52"/>
      <c r="U196" s="52"/>
      <c r="V196" s="48" t="str">
        <f t="shared" si="39"/>
        <v/>
      </c>
      <c r="W196" s="48" t="str">
        <f t="shared" si="40"/>
        <v/>
      </c>
      <c r="X196" s="43" t="str">
        <f t="shared" si="41"/>
        <v/>
      </c>
      <c r="Y196" s="44" t="str">
        <f t="shared" si="42"/>
        <v/>
      </c>
      <c r="Z196" s="53" t="str">
        <f ca="1">IFERROR(IF(Stock_par_lots[[#This Row],[Stock restant]]=0,"",Stock_par_lots[[#This Row],[Date de péremption]]-TODAY()),"")</f>
        <v/>
      </c>
      <c r="AA196" s="45" t="str">
        <f ca="1">IF(Stock_par_lots[[#This Row],[Stock restant]]=0,"",IF(Stock_par_lots[[#This Row],[jours restants]]&gt;=60,"Conforme",IF(AND(Stock_par_lots[[#This Row],[jours restants]]&lt;60,Stock_par_lots[[#This Row],[jours restants]]&gt;=30),"Surveillance",IF(AND(Stock_par_lots[[#This Row],[jours restants]]&lt;30,Stock_par_lots[[#This Row],[jours restants]]&gt;=0),"Urgente","Expiré"))))</f>
        <v>Conforme</v>
      </c>
      <c r="AB196" s="68" t="str">
        <f ca="1">IF(AND(Stock_par_lots[[#This Row],[jours restants]]&gt;0,Stock_par_lots[[#This Row],[jours restants]]&lt;=60),"Proche","")</f>
        <v/>
      </c>
      <c r="BA196" s="52"/>
      <c r="BB196" s="52"/>
      <c r="BC196" s="52"/>
      <c r="BD196" s="48">
        <f t="shared" si="43"/>
        <v>0</v>
      </c>
      <c r="BE196" s="48">
        <f t="shared" si="44"/>
        <v>0</v>
      </c>
      <c r="BF196" s="46" t="str">
        <f>IFERROR(VLOOKUP(BA196,ListeProduits[],6,FALSE),"")</f>
        <v/>
      </c>
      <c r="BG196" s="47" t="str">
        <f>IFERROR(IF(Stock_par_produits[[#This Row],[Stock nim]]="","",IF(Stock_par_produits[[#This Row],[Stock nim]]&gt;Stock_par_produits[[#This Row],[Quantités restants]],"Commander","Ok")),"")</f>
        <v/>
      </c>
    </row>
    <row r="197" spans="17:59" ht="15.75" customHeight="1" x14ac:dyDescent="0.25">
      <c r="Q197" s="52"/>
      <c r="R197" s="52"/>
      <c r="S197" s="52"/>
      <c r="T197" s="52"/>
      <c r="U197" s="52"/>
      <c r="V197" s="48" t="str">
        <f t="shared" si="39"/>
        <v/>
      </c>
      <c r="W197" s="48" t="str">
        <f t="shared" si="40"/>
        <v/>
      </c>
      <c r="X197" s="43" t="str">
        <f t="shared" si="41"/>
        <v/>
      </c>
      <c r="Y197" s="44" t="str">
        <f t="shared" si="42"/>
        <v/>
      </c>
      <c r="Z197" s="53" t="str">
        <f ca="1">IFERROR(IF(Stock_par_lots[[#This Row],[Stock restant]]=0,"",Stock_par_lots[[#This Row],[Date de péremption]]-TODAY()),"")</f>
        <v/>
      </c>
      <c r="AA197" s="45" t="str">
        <f ca="1">IF(Stock_par_lots[[#This Row],[Stock restant]]=0,"",IF(Stock_par_lots[[#This Row],[jours restants]]&gt;=60,"Conforme",IF(AND(Stock_par_lots[[#This Row],[jours restants]]&lt;60,Stock_par_lots[[#This Row],[jours restants]]&gt;=30),"Surveillance",IF(AND(Stock_par_lots[[#This Row],[jours restants]]&lt;30,Stock_par_lots[[#This Row],[jours restants]]&gt;=0),"Urgente","Expiré"))))</f>
        <v>Conforme</v>
      </c>
      <c r="AB197" s="68" t="str">
        <f ca="1">IF(AND(Stock_par_lots[[#This Row],[jours restants]]&gt;0,Stock_par_lots[[#This Row],[jours restants]]&lt;=60),"Proche","")</f>
        <v/>
      </c>
      <c r="BA197" s="52"/>
      <c r="BB197" s="52"/>
      <c r="BC197" s="52"/>
      <c r="BD197" s="48">
        <f t="shared" si="43"/>
        <v>0</v>
      </c>
      <c r="BE197" s="48">
        <f t="shared" si="44"/>
        <v>0</v>
      </c>
      <c r="BF197" s="46" t="str">
        <f>IFERROR(VLOOKUP(BA197,ListeProduits[],6,FALSE),"")</f>
        <v/>
      </c>
      <c r="BG197" s="47" t="str">
        <f>IFERROR(IF(Stock_par_produits[[#This Row],[Stock nim]]="","",IF(Stock_par_produits[[#This Row],[Stock nim]]&gt;Stock_par_produits[[#This Row],[Quantités restants]],"Commander","Ok")),"")</f>
        <v/>
      </c>
    </row>
    <row r="198" spans="17:59" ht="15.75" customHeight="1" x14ac:dyDescent="0.25">
      <c r="Q198" s="52"/>
      <c r="R198" s="52"/>
      <c r="S198" s="52"/>
      <c r="T198" s="52"/>
      <c r="U198" s="52"/>
      <c r="V198" s="48" t="str">
        <f t="shared" si="39"/>
        <v/>
      </c>
      <c r="W198" s="48" t="str">
        <f t="shared" si="40"/>
        <v/>
      </c>
      <c r="X198" s="43" t="str">
        <f t="shared" si="41"/>
        <v/>
      </c>
      <c r="Y198" s="44" t="str">
        <f t="shared" si="42"/>
        <v/>
      </c>
      <c r="Z198" s="53" t="str">
        <f ca="1">IFERROR(IF(Stock_par_lots[[#This Row],[Stock restant]]=0,"",Stock_par_lots[[#This Row],[Date de péremption]]-TODAY()),"")</f>
        <v/>
      </c>
      <c r="AA198" s="45" t="str">
        <f ca="1">IF(Stock_par_lots[[#This Row],[Stock restant]]=0,"",IF(Stock_par_lots[[#This Row],[jours restants]]&gt;=60,"Conforme",IF(AND(Stock_par_lots[[#This Row],[jours restants]]&lt;60,Stock_par_lots[[#This Row],[jours restants]]&gt;=30),"Surveillance",IF(AND(Stock_par_lots[[#This Row],[jours restants]]&lt;30,Stock_par_lots[[#This Row],[jours restants]]&gt;=0),"Urgente","Expiré"))))</f>
        <v>Conforme</v>
      </c>
      <c r="AB198" s="68" t="str">
        <f ca="1">IF(AND(Stock_par_lots[[#This Row],[jours restants]]&gt;0,Stock_par_lots[[#This Row],[jours restants]]&lt;=60),"Proche","")</f>
        <v/>
      </c>
      <c r="BA198" s="52"/>
      <c r="BB198" s="52"/>
      <c r="BC198" s="52"/>
      <c r="BD198" s="48">
        <f t="shared" si="43"/>
        <v>0</v>
      </c>
      <c r="BE198" s="48">
        <f t="shared" si="44"/>
        <v>0</v>
      </c>
      <c r="BF198" s="46" t="str">
        <f>IFERROR(VLOOKUP(BA198,ListeProduits[],6,FALSE),"")</f>
        <v/>
      </c>
      <c r="BG198" s="47" t="str">
        <f>IFERROR(IF(Stock_par_produits[[#This Row],[Stock nim]]="","",IF(Stock_par_produits[[#This Row],[Stock nim]]&gt;Stock_par_produits[[#This Row],[Quantités restants]],"Commander","Ok")),"")</f>
        <v/>
      </c>
    </row>
    <row r="199" spans="17:59" ht="15.75" customHeight="1" x14ac:dyDescent="0.25">
      <c r="Q199" s="52"/>
      <c r="R199" s="52"/>
      <c r="S199" s="52"/>
      <c r="T199" s="52"/>
      <c r="U199" s="52"/>
      <c r="V199" s="48" t="str">
        <f t="shared" si="39"/>
        <v/>
      </c>
      <c r="W199" s="48" t="str">
        <f t="shared" si="40"/>
        <v/>
      </c>
      <c r="X199" s="43" t="str">
        <f t="shared" si="41"/>
        <v/>
      </c>
      <c r="Y199" s="44" t="str">
        <f t="shared" si="42"/>
        <v/>
      </c>
      <c r="Z199" s="53" t="str">
        <f ca="1">IFERROR(IF(Stock_par_lots[[#This Row],[Stock restant]]=0,"",Stock_par_lots[[#This Row],[Date de péremption]]-TODAY()),"")</f>
        <v/>
      </c>
      <c r="AA199" s="45" t="str">
        <f ca="1">IF(Stock_par_lots[[#This Row],[Stock restant]]=0,"",IF(Stock_par_lots[[#This Row],[jours restants]]&gt;=60,"Conforme",IF(AND(Stock_par_lots[[#This Row],[jours restants]]&lt;60,Stock_par_lots[[#This Row],[jours restants]]&gt;=30),"Surveillance",IF(AND(Stock_par_lots[[#This Row],[jours restants]]&lt;30,Stock_par_lots[[#This Row],[jours restants]]&gt;=0),"Urgente","Expiré"))))</f>
        <v>Conforme</v>
      </c>
      <c r="AB199" s="68" t="str">
        <f ca="1">IF(AND(Stock_par_lots[[#This Row],[jours restants]]&gt;0,Stock_par_lots[[#This Row],[jours restants]]&lt;=60),"Proche","")</f>
        <v/>
      </c>
      <c r="BA199" s="52"/>
      <c r="BB199" s="52"/>
      <c r="BC199" s="52"/>
      <c r="BD199" s="48">
        <f t="shared" si="43"/>
        <v>0</v>
      </c>
      <c r="BE199" s="48">
        <f t="shared" si="44"/>
        <v>0</v>
      </c>
      <c r="BF199" s="46" t="str">
        <f>IFERROR(VLOOKUP(BA199,ListeProduits[],6,FALSE),"")</f>
        <v/>
      </c>
      <c r="BG199" s="47" t="str">
        <f>IFERROR(IF(Stock_par_produits[[#This Row],[Stock nim]]="","",IF(Stock_par_produits[[#This Row],[Stock nim]]&gt;Stock_par_produits[[#This Row],[Quantités restants]],"Commander","Ok")),"")</f>
        <v/>
      </c>
    </row>
    <row r="200" spans="17:59" ht="15.75" x14ac:dyDescent="0.25">
      <c r="Q200" s="52"/>
      <c r="R200" s="52"/>
      <c r="S200" s="52"/>
      <c r="T200" s="52"/>
      <c r="U200" s="52"/>
      <c r="V200" s="48"/>
      <c r="W200" s="52"/>
      <c r="X200" s="39"/>
      <c r="Y200" s="40"/>
      <c r="Z200" s="53"/>
      <c r="AA200" s="52"/>
      <c r="BA200" s="52"/>
      <c r="BB200" s="52"/>
      <c r="BC200" s="52"/>
      <c r="BD200" s="52"/>
      <c r="BE200" s="52"/>
      <c r="BF200" s="48"/>
      <c r="BG200" s="49"/>
    </row>
  </sheetData>
  <mergeCells count="14">
    <mergeCell ref="BI1:BJ1"/>
    <mergeCell ref="BL1:BM1"/>
    <mergeCell ref="BO1:BP1"/>
    <mergeCell ref="A1:L1"/>
    <mergeCell ref="N1:O1"/>
    <mergeCell ref="Q1:T1"/>
    <mergeCell ref="V1:AB1"/>
    <mergeCell ref="BD1:BG1"/>
    <mergeCell ref="AD1:AG1"/>
    <mergeCell ref="AI1:AL1"/>
    <mergeCell ref="AN1:AP1"/>
    <mergeCell ref="AR1:AS1"/>
    <mergeCell ref="AU1:AV1"/>
    <mergeCell ref="AX1:AY1"/>
  </mergeCells>
  <conditionalFormatting sqref="AA4:AA199">
    <cfRule type="cellIs" dxfId="207" priority="3" operator="notEqual">
      <formula>"Conforme"</formula>
    </cfRule>
  </conditionalFormatting>
  <conditionalFormatting sqref="Z4:Z199">
    <cfRule type="iconSet" priority="4">
      <iconSet iconSet="3Symbols2">
        <cfvo type="percent" val="0"/>
        <cfvo type="num" val="0"/>
        <cfvo type="num" val="30"/>
      </iconSet>
    </cfRule>
  </conditionalFormatting>
  <conditionalFormatting sqref="BG3:BG200">
    <cfRule type="cellIs" dxfId="206" priority="2" operator="equal">
      <formula>"Commander"</formula>
    </cfRule>
  </conditionalFormatting>
  <conditionalFormatting sqref="BE4:BE199">
    <cfRule type="cellIs" dxfId="205" priority="1" operator="equal">
      <formula>0</formula>
    </cfRule>
  </conditionalFormatting>
  <pageMargins left="0.7" right="0.7" top="0.75" bottom="0.75" header="0.3" footer="0.3"/>
  <pageSetup paperSize="9" orientation="portrait" r:id="rId11"/>
  <tableParts count="3">
    <tablePart r:id="rId12"/>
    <tablePart r:id="rId13"/>
    <tablePart r:id="rId14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I64"/>
  <sheetViews>
    <sheetView showGridLines="0" showRowColHeaders="0" zoomScale="50" zoomScaleNormal="50" workbookViewId="0">
      <selection activeCell="E63" sqref="E63"/>
    </sheetView>
  </sheetViews>
  <sheetFormatPr baseColWidth="10" defaultRowHeight="15" x14ac:dyDescent="0.25"/>
  <cols>
    <col min="1" max="1" width="3.85546875" customWidth="1"/>
    <col min="6" max="6" width="6.7109375" customWidth="1"/>
  </cols>
  <sheetData>
    <row r="1" spans="1:35" s="135" customFormat="1" x14ac:dyDescent="0.25"/>
    <row r="2" spans="1:35" s="135" customFormat="1" x14ac:dyDescent="0.25"/>
    <row r="3" spans="1:35" s="135" customFormat="1" x14ac:dyDescent="0.25"/>
    <row r="4" spans="1:35" s="135" customFormat="1" x14ac:dyDescent="0.25"/>
    <row r="5" spans="1:35" s="135" customFormat="1" x14ac:dyDescent="0.25"/>
    <row r="6" spans="1:35" s="135" customFormat="1" x14ac:dyDescent="0.25"/>
    <row r="7" spans="1:35" s="99" customFormat="1" x14ac:dyDescent="0.25"/>
    <row r="8" spans="1:35" x14ac:dyDescent="0.25">
      <c r="A8" s="138"/>
      <c r="B8" s="138"/>
      <c r="C8" s="138"/>
      <c r="D8" s="138"/>
      <c r="E8" s="138"/>
      <c r="F8" s="138"/>
      <c r="G8" s="138"/>
      <c r="H8" s="138"/>
      <c r="I8" s="138"/>
      <c r="J8" s="138"/>
      <c r="K8" s="138"/>
      <c r="L8" s="138"/>
      <c r="M8" s="138"/>
      <c r="N8" s="138"/>
      <c r="O8" s="138"/>
      <c r="P8" s="138"/>
      <c r="Q8" s="138"/>
      <c r="R8" s="138"/>
      <c r="S8" s="138"/>
      <c r="T8" s="138"/>
      <c r="U8" s="138"/>
      <c r="V8" s="138"/>
      <c r="W8" s="138"/>
      <c r="X8" s="138"/>
      <c r="Y8" s="138"/>
      <c r="Z8" s="138"/>
      <c r="AA8" s="138"/>
      <c r="AB8" s="138"/>
      <c r="AC8" s="138"/>
      <c r="AD8" s="138"/>
      <c r="AE8" s="138"/>
      <c r="AF8" s="138"/>
      <c r="AG8" s="138"/>
      <c r="AH8" s="138"/>
      <c r="AI8" s="138"/>
    </row>
    <row r="9" spans="1:35" x14ac:dyDescent="0.25">
      <c r="A9" s="138"/>
      <c r="B9" s="138"/>
      <c r="C9" s="138"/>
      <c r="D9" s="138"/>
      <c r="E9" s="138"/>
      <c r="F9" s="138"/>
      <c r="G9" s="138"/>
      <c r="H9" s="138"/>
      <c r="I9" s="138"/>
      <c r="J9" s="138"/>
      <c r="K9" s="138"/>
      <c r="L9" s="138"/>
      <c r="M9" s="138"/>
      <c r="N9" s="138"/>
      <c r="O9" s="138"/>
      <c r="P9" s="138"/>
      <c r="Q9" s="138"/>
      <c r="R9" s="138"/>
      <c r="S9" s="138"/>
      <c r="T9" s="138"/>
      <c r="U9" s="138"/>
      <c r="V9" s="138"/>
      <c r="W9" s="138"/>
      <c r="X9" s="138"/>
      <c r="Y9" s="138"/>
      <c r="Z9" s="138"/>
      <c r="AA9" s="138"/>
      <c r="AB9" s="138"/>
      <c r="AC9" s="138"/>
      <c r="AD9" s="138"/>
      <c r="AE9" s="138"/>
      <c r="AF9" s="138"/>
      <c r="AG9" s="138"/>
      <c r="AH9" s="139"/>
      <c r="AI9" s="138"/>
    </row>
    <row r="10" spans="1:35" x14ac:dyDescent="0.25">
      <c r="A10" s="138"/>
      <c r="B10" s="138"/>
      <c r="C10" s="138"/>
      <c r="D10" s="138"/>
      <c r="E10" s="138"/>
      <c r="F10" s="138"/>
      <c r="G10" s="138"/>
      <c r="H10" s="138"/>
      <c r="I10" s="138"/>
      <c r="J10" s="138"/>
      <c r="K10" s="138"/>
      <c r="L10" s="138"/>
      <c r="M10" s="138"/>
      <c r="N10" s="138"/>
      <c r="O10" s="138"/>
      <c r="P10" s="138"/>
      <c r="Q10" s="138"/>
      <c r="R10" s="138"/>
      <c r="S10" s="138"/>
      <c r="T10" s="138"/>
      <c r="U10" s="138"/>
      <c r="V10" s="138"/>
      <c r="W10" s="138"/>
      <c r="X10" s="138"/>
      <c r="Y10" s="138"/>
      <c r="Z10" s="138"/>
      <c r="AA10" s="138"/>
      <c r="AB10" s="138"/>
      <c r="AC10" s="138"/>
      <c r="AD10" s="138"/>
      <c r="AE10" s="138"/>
      <c r="AF10" s="138"/>
      <c r="AG10" s="138"/>
      <c r="AH10" s="139"/>
      <c r="AI10" s="138"/>
    </row>
    <row r="11" spans="1:35" x14ac:dyDescent="0.25">
      <c r="A11" s="138"/>
      <c r="B11" s="138"/>
      <c r="C11" s="138"/>
      <c r="D11" s="138"/>
      <c r="E11" s="138"/>
      <c r="F11" s="138"/>
      <c r="G11" s="138"/>
      <c r="H11" s="138"/>
      <c r="I11" s="138"/>
      <c r="J11" s="138"/>
      <c r="K11" s="138"/>
      <c r="L11" s="138"/>
      <c r="M11" s="138"/>
      <c r="N11" s="138"/>
      <c r="O11" s="138"/>
      <c r="P11" s="138"/>
      <c r="Q11" s="138"/>
      <c r="R11" s="138"/>
      <c r="S11" s="138"/>
      <c r="T11" s="138"/>
      <c r="U11" s="138"/>
      <c r="V11" s="138"/>
      <c r="W11" s="138"/>
      <c r="X11" s="138"/>
      <c r="Y11" s="138"/>
      <c r="Z11" s="138"/>
      <c r="AA11" s="138"/>
      <c r="AB11" s="138"/>
      <c r="AC11" s="138"/>
      <c r="AD11" s="138"/>
      <c r="AE11" s="138"/>
      <c r="AF11" s="138"/>
      <c r="AG11" s="138"/>
      <c r="AH11" s="139"/>
      <c r="AI11" s="138"/>
    </row>
    <row r="12" spans="1:35" x14ac:dyDescent="0.25">
      <c r="A12" s="138"/>
      <c r="B12" s="138"/>
      <c r="C12" s="138"/>
      <c r="D12" s="138"/>
      <c r="E12" s="138"/>
      <c r="F12" s="138"/>
      <c r="G12" s="138"/>
      <c r="H12" s="138"/>
      <c r="I12" s="138"/>
      <c r="J12" s="138"/>
      <c r="K12" s="138"/>
      <c r="L12" s="138"/>
      <c r="M12" s="138"/>
      <c r="N12" s="138"/>
      <c r="O12" s="138"/>
      <c r="P12" s="138"/>
      <c r="Q12" s="138"/>
      <c r="R12" s="138"/>
      <c r="S12" s="138"/>
      <c r="T12" s="138"/>
      <c r="U12" s="138"/>
      <c r="V12" s="138"/>
      <c r="W12" s="138"/>
      <c r="X12" s="138"/>
      <c r="Y12" s="138"/>
      <c r="Z12" s="138"/>
      <c r="AA12" s="138"/>
      <c r="AB12" s="138"/>
      <c r="AC12" s="138"/>
      <c r="AD12" s="138"/>
      <c r="AE12" s="138"/>
      <c r="AF12" s="138"/>
      <c r="AG12" s="138"/>
      <c r="AH12" s="139"/>
      <c r="AI12" s="138"/>
    </row>
    <row r="13" spans="1:35" x14ac:dyDescent="0.25">
      <c r="A13" s="138"/>
      <c r="B13" s="138"/>
      <c r="C13" s="138"/>
      <c r="D13" s="138"/>
      <c r="E13" s="138"/>
      <c r="F13" s="138"/>
      <c r="G13" s="138"/>
      <c r="H13" s="138"/>
      <c r="I13" s="138"/>
      <c r="J13" s="138"/>
      <c r="K13" s="138"/>
      <c r="L13" s="138"/>
      <c r="M13" s="138"/>
      <c r="N13" s="138"/>
      <c r="O13" s="138"/>
      <c r="P13" s="138"/>
      <c r="Q13" s="138"/>
      <c r="R13" s="138"/>
      <c r="S13" s="138"/>
      <c r="T13" s="138"/>
      <c r="U13" s="138"/>
      <c r="V13" s="138"/>
      <c r="W13" s="138"/>
      <c r="X13" s="138"/>
      <c r="Y13" s="138"/>
      <c r="Z13" s="138"/>
      <c r="AA13" s="138"/>
      <c r="AB13" s="138"/>
      <c r="AC13" s="138"/>
      <c r="AD13" s="138"/>
      <c r="AE13" s="138"/>
      <c r="AF13" s="138"/>
      <c r="AG13" s="138"/>
      <c r="AH13" s="139"/>
      <c r="AI13" s="138"/>
    </row>
    <row r="14" spans="1:35" ht="9" customHeight="1" x14ac:dyDescent="0.25">
      <c r="A14" s="138"/>
      <c r="B14" s="138"/>
      <c r="C14" s="138"/>
      <c r="D14" s="138"/>
      <c r="E14" s="138"/>
      <c r="F14" s="138"/>
      <c r="G14" s="138"/>
      <c r="H14" s="138"/>
      <c r="I14" s="138"/>
      <c r="J14" s="138"/>
      <c r="K14" s="138"/>
      <c r="L14" s="138"/>
      <c r="M14" s="138"/>
      <c r="N14" s="138"/>
      <c r="O14" s="138"/>
      <c r="P14" s="138"/>
      <c r="Q14" s="138"/>
      <c r="R14" s="138"/>
      <c r="S14" s="138"/>
      <c r="T14" s="138"/>
      <c r="U14" s="138"/>
      <c r="V14" s="138"/>
      <c r="W14" s="138"/>
      <c r="X14" s="138"/>
      <c r="Y14" s="138"/>
      <c r="Z14" s="138"/>
      <c r="AA14" s="138"/>
      <c r="AB14" s="138"/>
      <c r="AC14" s="138"/>
      <c r="AD14" s="138"/>
      <c r="AE14" s="138"/>
      <c r="AF14" s="138"/>
      <c r="AG14" s="138"/>
      <c r="AH14" s="139"/>
      <c r="AI14" s="138"/>
    </row>
    <row r="15" spans="1:35" ht="15" hidden="1" customHeight="1" x14ac:dyDescent="0.25">
      <c r="A15" s="138"/>
      <c r="B15" s="138"/>
      <c r="C15" s="138"/>
      <c r="D15" s="138"/>
      <c r="E15" s="138"/>
      <c r="F15" s="138"/>
      <c r="G15" s="138"/>
      <c r="H15" s="138"/>
      <c r="I15" s="138"/>
      <c r="J15" s="138"/>
      <c r="K15" s="138"/>
      <c r="L15" s="138"/>
      <c r="M15" s="138"/>
      <c r="N15" s="138"/>
      <c r="O15" s="138"/>
      <c r="P15" s="138"/>
      <c r="Q15" s="138"/>
      <c r="R15" s="138"/>
      <c r="S15" s="138"/>
      <c r="T15" s="138"/>
      <c r="U15" s="138"/>
      <c r="V15" s="138"/>
      <c r="W15" s="138"/>
      <c r="X15" s="138"/>
      <c r="Y15" s="138"/>
      <c r="Z15" s="138"/>
      <c r="AA15" s="138"/>
      <c r="AB15" s="138"/>
      <c r="AC15" s="138"/>
      <c r="AD15" s="138"/>
      <c r="AE15" s="138"/>
      <c r="AF15" s="138"/>
      <c r="AG15" s="138"/>
      <c r="AH15" s="139"/>
      <c r="AI15" s="138"/>
    </row>
    <row r="16" spans="1:35" x14ac:dyDescent="0.25">
      <c r="A16" s="138"/>
      <c r="B16" s="138"/>
      <c r="C16" s="138"/>
      <c r="D16" s="138"/>
      <c r="E16" s="138"/>
      <c r="F16" s="138"/>
      <c r="G16" s="138"/>
      <c r="H16" s="138"/>
      <c r="I16" s="138"/>
      <c r="J16" s="138"/>
      <c r="K16" s="138"/>
      <c r="L16" s="138"/>
      <c r="M16" s="138"/>
      <c r="N16" s="138"/>
      <c r="O16" s="138"/>
      <c r="P16" s="138"/>
      <c r="Q16" s="138"/>
      <c r="R16" s="138"/>
      <c r="S16" s="138"/>
      <c r="T16" s="138"/>
      <c r="U16" s="138"/>
      <c r="V16" s="138"/>
      <c r="W16" s="138"/>
      <c r="X16" s="138"/>
      <c r="Y16" s="138"/>
      <c r="Z16" s="138"/>
      <c r="AA16" s="138"/>
      <c r="AB16" s="138"/>
      <c r="AC16" s="138"/>
      <c r="AD16" s="138"/>
      <c r="AE16" s="138"/>
      <c r="AF16" s="138"/>
      <c r="AG16" s="138"/>
      <c r="AH16" s="139"/>
      <c r="AI16" s="138"/>
    </row>
    <row r="17" spans="1:35" x14ac:dyDescent="0.25">
      <c r="A17" s="138"/>
      <c r="B17" s="138"/>
      <c r="C17" s="138"/>
      <c r="D17" s="138"/>
      <c r="E17" s="138"/>
      <c r="F17" s="138"/>
      <c r="G17" s="138"/>
      <c r="H17" s="138"/>
      <c r="I17" s="138"/>
      <c r="J17" s="138"/>
      <c r="K17" s="138"/>
      <c r="L17" s="138"/>
      <c r="M17" s="138"/>
      <c r="N17" s="138"/>
      <c r="O17" s="138"/>
      <c r="P17" s="138"/>
      <c r="Q17" s="138"/>
      <c r="R17" s="138"/>
      <c r="S17" s="138"/>
      <c r="T17" s="138"/>
      <c r="U17" s="138"/>
      <c r="V17" s="138"/>
      <c r="W17" s="138"/>
      <c r="X17" s="138"/>
      <c r="Y17" s="138"/>
      <c r="Z17" s="138"/>
      <c r="AA17" s="138"/>
      <c r="AB17" s="138"/>
      <c r="AC17" s="138"/>
      <c r="AD17" s="138"/>
      <c r="AE17" s="138"/>
      <c r="AF17" s="138"/>
      <c r="AG17" s="138"/>
      <c r="AH17" s="139"/>
      <c r="AI17" s="138"/>
    </row>
    <row r="18" spans="1:35" x14ac:dyDescent="0.25">
      <c r="A18" s="138"/>
      <c r="B18" s="138"/>
      <c r="C18" s="138"/>
      <c r="D18" s="138"/>
      <c r="E18" s="138"/>
      <c r="F18" s="138"/>
      <c r="G18" s="138"/>
      <c r="H18" s="138"/>
      <c r="I18" s="138"/>
      <c r="J18" s="138"/>
      <c r="K18" s="138"/>
      <c r="L18" s="138"/>
      <c r="M18" s="138"/>
      <c r="N18" s="138"/>
      <c r="O18" s="138"/>
      <c r="P18" s="138"/>
      <c r="Q18" s="138"/>
      <c r="R18" s="138"/>
      <c r="S18" s="138"/>
      <c r="T18" s="138"/>
      <c r="U18" s="138"/>
      <c r="V18" s="138"/>
      <c r="W18" s="138"/>
      <c r="X18" s="138"/>
      <c r="Y18" s="138"/>
      <c r="Z18" s="138"/>
      <c r="AA18" s="138"/>
      <c r="AB18" s="138"/>
      <c r="AC18" s="138"/>
      <c r="AD18" s="138"/>
      <c r="AE18" s="138"/>
      <c r="AF18" s="138"/>
      <c r="AG18" s="138"/>
      <c r="AH18" s="139"/>
      <c r="AI18" s="138"/>
    </row>
    <row r="19" spans="1:35" x14ac:dyDescent="0.25">
      <c r="A19" s="138"/>
      <c r="B19" s="138"/>
      <c r="C19" s="138"/>
      <c r="D19" s="138"/>
      <c r="E19" s="138"/>
      <c r="F19" s="138"/>
      <c r="G19" s="138"/>
      <c r="H19" s="138"/>
      <c r="I19" s="138"/>
      <c r="J19" s="138"/>
      <c r="K19" s="138"/>
      <c r="L19" s="138"/>
      <c r="M19" s="138"/>
      <c r="N19" s="138"/>
      <c r="O19" s="138"/>
      <c r="P19" s="138"/>
      <c r="Q19" s="138"/>
      <c r="R19" s="138"/>
      <c r="S19" s="138"/>
      <c r="T19" s="138"/>
      <c r="U19" s="138"/>
      <c r="V19" s="138"/>
      <c r="W19" s="138"/>
      <c r="X19" s="138"/>
      <c r="Y19" s="138"/>
      <c r="Z19" s="138"/>
      <c r="AA19" s="138"/>
      <c r="AB19" s="138"/>
      <c r="AC19" s="138"/>
      <c r="AD19" s="138"/>
      <c r="AE19" s="138"/>
      <c r="AF19" s="138"/>
      <c r="AG19" s="138"/>
      <c r="AH19" s="139"/>
      <c r="AI19" s="138"/>
    </row>
    <row r="20" spans="1:35" x14ac:dyDescent="0.25">
      <c r="A20" s="138"/>
      <c r="B20" s="138"/>
      <c r="C20" s="138"/>
      <c r="D20" s="138"/>
      <c r="E20" s="138"/>
      <c r="F20" s="138"/>
      <c r="G20" s="138"/>
      <c r="H20" s="138"/>
      <c r="I20" s="138"/>
      <c r="J20" s="138"/>
      <c r="K20" s="138"/>
      <c r="L20" s="138"/>
      <c r="M20" s="138"/>
      <c r="N20" s="138"/>
      <c r="O20" s="138"/>
      <c r="P20" s="138"/>
      <c r="Q20" s="138"/>
      <c r="R20" s="138"/>
      <c r="S20" s="138"/>
      <c r="T20" s="138"/>
      <c r="U20" s="138"/>
      <c r="V20" s="138"/>
      <c r="W20" s="138"/>
      <c r="X20" s="138"/>
      <c r="Y20" s="138"/>
      <c r="Z20" s="138"/>
      <c r="AA20" s="138"/>
      <c r="AB20" s="138"/>
      <c r="AC20" s="138"/>
      <c r="AD20" s="138"/>
      <c r="AE20" s="138"/>
      <c r="AF20" s="138"/>
      <c r="AG20" s="138"/>
      <c r="AH20" s="139"/>
      <c r="AI20" s="138"/>
    </row>
    <row r="21" spans="1:35" x14ac:dyDescent="0.25">
      <c r="A21" s="138"/>
      <c r="B21" s="138"/>
      <c r="C21" s="138"/>
      <c r="D21" s="138"/>
      <c r="E21" s="138"/>
      <c r="F21" s="138"/>
      <c r="G21" s="138"/>
      <c r="H21" s="138"/>
      <c r="I21" s="138"/>
      <c r="J21" s="138"/>
      <c r="K21" s="138"/>
      <c r="L21" s="138"/>
      <c r="M21" s="138"/>
      <c r="N21" s="138"/>
      <c r="O21" s="138"/>
      <c r="P21" s="138"/>
      <c r="Q21" s="138"/>
      <c r="R21" s="138"/>
      <c r="S21" s="138"/>
      <c r="T21" s="138"/>
      <c r="U21" s="138"/>
      <c r="V21" s="138"/>
      <c r="W21" s="138"/>
      <c r="X21" s="138"/>
      <c r="Y21" s="138"/>
      <c r="Z21" s="138"/>
      <c r="AA21" s="138"/>
      <c r="AB21" s="138"/>
      <c r="AC21" s="138"/>
      <c r="AD21" s="138"/>
      <c r="AE21" s="138"/>
      <c r="AF21" s="138"/>
      <c r="AG21" s="138"/>
      <c r="AH21" s="139"/>
      <c r="AI21" s="138"/>
    </row>
    <row r="22" spans="1:35" x14ac:dyDescent="0.25">
      <c r="A22" s="138"/>
      <c r="B22" s="138"/>
      <c r="C22" s="138"/>
      <c r="D22" s="138"/>
      <c r="E22" s="138"/>
      <c r="F22" s="138"/>
      <c r="G22" s="138"/>
      <c r="H22" s="138"/>
      <c r="I22" s="138"/>
      <c r="J22" s="138"/>
      <c r="K22" s="138"/>
      <c r="L22" s="138"/>
      <c r="M22" s="138"/>
      <c r="N22" s="138"/>
      <c r="O22" s="138"/>
      <c r="P22" s="138"/>
      <c r="Q22" s="138"/>
      <c r="R22" s="138"/>
      <c r="S22" s="138"/>
      <c r="T22" s="138"/>
      <c r="U22" s="138"/>
      <c r="V22" s="138"/>
      <c r="W22" s="138"/>
      <c r="X22" s="138"/>
      <c r="Y22" s="138"/>
      <c r="Z22" s="138"/>
      <c r="AA22" s="138"/>
      <c r="AB22" s="138"/>
      <c r="AC22" s="138"/>
      <c r="AD22" s="138"/>
      <c r="AE22" s="138"/>
      <c r="AF22" s="138"/>
      <c r="AG22" s="138"/>
      <c r="AH22" s="139"/>
      <c r="AI22" s="138"/>
    </row>
    <row r="23" spans="1:35" x14ac:dyDescent="0.25">
      <c r="A23" s="138"/>
      <c r="B23" s="138"/>
      <c r="C23" s="138"/>
      <c r="D23" s="138"/>
      <c r="E23" s="138"/>
      <c r="F23" s="138"/>
      <c r="G23" s="138"/>
      <c r="H23" s="138"/>
      <c r="I23" s="138"/>
      <c r="J23" s="138"/>
      <c r="K23" s="138"/>
      <c r="L23" s="138"/>
      <c r="M23" s="138"/>
      <c r="N23" s="138"/>
      <c r="O23" s="138"/>
      <c r="P23" s="138"/>
      <c r="Q23" s="138"/>
      <c r="R23" s="138"/>
      <c r="S23" s="138"/>
      <c r="T23" s="138"/>
      <c r="U23" s="138"/>
      <c r="V23" s="138"/>
      <c r="W23" s="138"/>
      <c r="X23" s="138"/>
      <c r="Y23" s="138"/>
      <c r="Z23" s="138"/>
      <c r="AA23" s="138"/>
      <c r="AB23" s="138"/>
      <c r="AC23" s="138"/>
      <c r="AD23" s="138"/>
      <c r="AE23" s="138"/>
      <c r="AF23" s="138"/>
      <c r="AG23" s="138"/>
      <c r="AH23" s="139"/>
      <c r="AI23" s="138"/>
    </row>
    <row r="24" spans="1:35" x14ac:dyDescent="0.25">
      <c r="A24" s="138"/>
      <c r="B24" s="138"/>
      <c r="C24" s="138"/>
      <c r="D24" s="138"/>
      <c r="E24" s="138"/>
      <c r="F24" s="138"/>
      <c r="G24" s="138"/>
      <c r="H24" s="138"/>
      <c r="I24" s="138"/>
      <c r="J24" s="138"/>
      <c r="K24" s="138"/>
      <c r="L24" s="138"/>
      <c r="M24" s="138"/>
      <c r="N24" s="138"/>
      <c r="O24" s="138"/>
      <c r="P24" s="138"/>
      <c r="Q24" s="138"/>
      <c r="R24" s="138"/>
      <c r="S24" s="138"/>
      <c r="T24" s="138"/>
      <c r="U24" s="138"/>
      <c r="V24" s="138"/>
      <c r="W24" s="138"/>
      <c r="X24" s="138"/>
      <c r="Y24" s="138"/>
      <c r="Z24" s="138"/>
      <c r="AA24" s="138"/>
      <c r="AB24" s="138"/>
      <c r="AC24" s="138"/>
      <c r="AD24" s="138"/>
      <c r="AE24" s="138"/>
      <c r="AF24" s="138"/>
      <c r="AG24" s="138"/>
      <c r="AH24" s="139"/>
      <c r="AI24" s="138"/>
    </row>
    <row r="25" spans="1:35" x14ac:dyDescent="0.25">
      <c r="A25" s="138"/>
      <c r="B25" s="138"/>
      <c r="C25" s="138"/>
      <c r="D25" s="138"/>
      <c r="E25" s="138"/>
      <c r="F25" s="138"/>
      <c r="G25" s="138"/>
      <c r="H25" s="138"/>
      <c r="I25" s="138"/>
      <c r="J25" s="138"/>
      <c r="K25" s="138"/>
      <c r="L25" s="138"/>
      <c r="M25" s="138"/>
      <c r="N25" s="138"/>
      <c r="O25" s="138"/>
      <c r="P25" s="138"/>
      <c r="Q25" s="138"/>
      <c r="R25" s="138"/>
      <c r="S25" s="138"/>
      <c r="T25" s="138"/>
      <c r="U25" s="138"/>
      <c r="V25" s="138"/>
      <c r="W25" s="138"/>
      <c r="X25" s="138"/>
      <c r="Y25" s="138"/>
      <c r="Z25" s="138"/>
      <c r="AA25" s="138"/>
      <c r="AB25" s="138"/>
      <c r="AC25" s="138"/>
      <c r="AD25" s="138"/>
      <c r="AE25" s="138"/>
      <c r="AF25" s="138"/>
      <c r="AG25" s="138"/>
      <c r="AH25" s="139"/>
      <c r="AI25" s="138"/>
    </row>
    <row r="26" spans="1:35" x14ac:dyDescent="0.25">
      <c r="A26" s="138"/>
      <c r="B26" s="138"/>
      <c r="C26" s="138"/>
      <c r="D26" s="138"/>
      <c r="E26" s="138"/>
      <c r="F26" s="138"/>
      <c r="G26" s="138"/>
      <c r="H26" s="138"/>
      <c r="I26" s="138"/>
      <c r="J26" s="138"/>
      <c r="K26" s="138"/>
      <c r="L26" s="138"/>
      <c r="M26" s="138"/>
      <c r="N26" s="138"/>
      <c r="O26" s="138"/>
      <c r="P26" s="138"/>
      <c r="Q26" s="138"/>
      <c r="R26" s="138"/>
      <c r="S26" s="138"/>
      <c r="T26" s="138"/>
      <c r="U26" s="138"/>
      <c r="V26" s="138"/>
      <c r="W26" s="138"/>
      <c r="X26" s="138"/>
      <c r="Y26" s="138"/>
      <c r="Z26" s="138"/>
      <c r="AA26" s="138"/>
      <c r="AB26" s="138"/>
      <c r="AC26" s="138"/>
      <c r="AD26" s="138"/>
      <c r="AE26" s="138"/>
      <c r="AF26" s="138"/>
      <c r="AG26" s="138"/>
      <c r="AH26" s="139"/>
      <c r="AI26" s="138"/>
    </row>
    <row r="27" spans="1:35" x14ac:dyDescent="0.25">
      <c r="A27" s="138"/>
      <c r="B27" s="138"/>
      <c r="C27" s="138"/>
      <c r="D27" s="138"/>
      <c r="E27" s="138"/>
      <c r="F27" s="138"/>
      <c r="G27" s="138"/>
      <c r="H27" s="138"/>
      <c r="I27" s="138"/>
      <c r="J27" s="138"/>
      <c r="K27" s="138"/>
      <c r="L27" s="138"/>
      <c r="M27" s="138"/>
      <c r="N27" s="138"/>
      <c r="O27" s="138"/>
      <c r="P27" s="138"/>
      <c r="Q27" s="138"/>
      <c r="R27" s="138"/>
      <c r="S27" s="138"/>
      <c r="T27" s="138"/>
      <c r="U27" s="138"/>
      <c r="V27" s="138"/>
      <c r="W27" s="138"/>
      <c r="X27" s="138"/>
      <c r="Y27" s="138"/>
      <c r="Z27" s="138"/>
      <c r="AA27" s="138"/>
      <c r="AB27" s="138"/>
      <c r="AC27" s="138"/>
      <c r="AD27" s="138"/>
      <c r="AE27" s="138"/>
      <c r="AF27" s="138"/>
      <c r="AG27" s="138"/>
      <c r="AH27" s="139"/>
      <c r="AI27" s="138"/>
    </row>
    <row r="28" spans="1:35" x14ac:dyDescent="0.25">
      <c r="A28" s="138"/>
      <c r="B28" s="138"/>
      <c r="C28" s="138"/>
      <c r="D28" s="138"/>
      <c r="E28" s="138"/>
      <c r="F28" s="138"/>
      <c r="G28" s="138"/>
      <c r="H28" s="138"/>
      <c r="I28" s="138"/>
      <c r="J28" s="138"/>
      <c r="K28" s="138"/>
      <c r="L28" s="138"/>
      <c r="M28" s="138"/>
      <c r="N28" s="138"/>
      <c r="O28" s="138"/>
      <c r="P28" s="138"/>
      <c r="Q28" s="138"/>
      <c r="R28" s="138"/>
      <c r="S28" s="138"/>
      <c r="T28" s="138"/>
      <c r="U28" s="138"/>
      <c r="V28" s="138"/>
      <c r="W28" s="138"/>
      <c r="X28" s="138"/>
      <c r="Y28" s="138"/>
      <c r="Z28" s="138"/>
      <c r="AA28" s="138"/>
      <c r="AB28" s="138"/>
      <c r="AC28" s="138"/>
      <c r="AD28" s="138"/>
      <c r="AE28" s="138"/>
      <c r="AF28" s="138"/>
      <c r="AG28" s="138"/>
      <c r="AH28" s="139"/>
      <c r="AI28" s="138"/>
    </row>
    <row r="29" spans="1:35" x14ac:dyDescent="0.25">
      <c r="A29" s="138"/>
      <c r="B29" s="138"/>
      <c r="C29" s="138"/>
      <c r="D29" s="138"/>
      <c r="E29" s="138"/>
      <c r="F29" s="138"/>
      <c r="G29" s="138"/>
      <c r="H29" s="138"/>
      <c r="I29" s="138"/>
      <c r="J29" s="138"/>
      <c r="K29" s="138"/>
      <c r="L29" s="138"/>
      <c r="M29" s="138"/>
      <c r="N29" s="138"/>
      <c r="O29" s="138"/>
      <c r="P29" s="138"/>
      <c r="Q29" s="138"/>
      <c r="R29" s="138"/>
      <c r="S29" s="138"/>
      <c r="T29" s="138"/>
      <c r="U29" s="138"/>
      <c r="V29" s="138"/>
      <c r="W29" s="138"/>
      <c r="X29" s="138"/>
      <c r="Y29" s="138"/>
      <c r="Z29" s="138"/>
      <c r="AA29" s="138"/>
      <c r="AB29" s="138"/>
      <c r="AC29" s="138"/>
      <c r="AD29" s="138"/>
      <c r="AE29" s="138"/>
      <c r="AF29" s="138"/>
      <c r="AG29" s="138"/>
      <c r="AH29" s="139"/>
      <c r="AI29" s="138"/>
    </row>
    <row r="30" spans="1:35" ht="15" customHeight="1" x14ac:dyDescent="0.25">
      <c r="A30" s="138"/>
      <c r="B30" s="138"/>
      <c r="C30" s="138"/>
      <c r="D30" s="138"/>
      <c r="E30" s="138"/>
      <c r="F30" s="138"/>
      <c r="G30" s="138"/>
      <c r="H30" s="138"/>
      <c r="I30" s="138"/>
      <c r="J30" s="138"/>
      <c r="K30" s="138"/>
      <c r="L30" s="138"/>
      <c r="M30" s="138"/>
      <c r="N30" s="138"/>
      <c r="O30" s="138"/>
      <c r="P30" s="138"/>
      <c r="Q30" s="138"/>
      <c r="R30" s="138"/>
      <c r="S30" s="138"/>
      <c r="T30" s="138"/>
      <c r="U30" s="138"/>
      <c r="V30" s="138"/>
      <c r="W30" s="138"/>
      <c r="X30" s="138"/>
      <c r="Y30" s="138"/>
      <c r="Z30" s="138"/>
      <c r="AA30" s="138"/>
      <c r="AB30" s="138"/>
      <c r="AC30" s="138"/>
      <c r="AD30" s="138"/>
      <c r="AE30" s="138"/>
      <c r="AF30" s="138"/>
      <c r="AG30" s="138"/>
      <c r="AH30" s="139"/>
      <c r="AI30" s="138"/>
    </row>
    <row r="31" spans="1:35" ht="15" customHeight="1" x14ac:dyDescent="0.25">
      <c r="A31" s="138"/>
      <c r="B31" s="138"/>
      <c r="C31" s="138"/>
      <c r="D31" s="138"/>
      <c r="E31" s="138"/>
      <c r="F31" s="138"/>
      <c r="G31" s="138"/>
      <c r="H31" s="138"/>
      <c r="I31" s="138"/>
      <c r="J31" s="138"/>
      <c r="K31" s="138"/>
      <c r="L31" s="138"/>
      <c r="M31" s="138"/>
      <c r="N31" s="138"/>
      <c r="O31" s="138"/>
      <c r="P31" s="138"/>
      <c r="Q31" s="138"/>
      <c r="R31" s="138"/>
      <c r="S31" s="138"/>
      <c r="T31" s="138"/>
      <c r="U31" s="138"/>
      <c r="V31" s="138"/>
      <c r="W31" s="138"/>
      <c r="X31" s="138"/>
      <c r="Y31" s="138"/>
      <c r="Z31" s="138"/>
      <c r="AA31" s="138"/>
      <c r="AB31" s="138"/>
      <c r="AC31" s="138"/>
      <c r="AD31" s="138"/>
      <c r="AE31" s="138"/>
      <c r="AF31" s="138"/>
      <c r="AG31" s="138"/>
      <c r="AH31" s="139"/>
      <c r="AI31" s="138"/>
    </row>
    <row r="32" spans="1:35" ht="15" customHeight="1" x14ac:dyDescent="0.25">
      <c r="A32" s="138"/>
      <c r="B32" s="138"/>
      <c r="C32" s="138"/>
      <c r="D32" s="138"/>
      <c r="E32" s="138"/>
      <c r="F32" s="138"/>
      <c r="G32" s="138"/>
      <c r="H32" s="138"/>
      <c r="I32" s="138"/>
      <c r="J32" s="138"/>
      <c r="K32" s="138"/>
      <c r="L32" s="138"/>
      <c r="M32" s="138"/>
      <c r="N32" s="138"/>
      <c r="O32" s="138"/>
      <c r="P32" s="138"/>
      <c r="Q32" s="138"/>
      <c r="R32" s="138"/>
      <c r="S32" s="138"/>
      <c r="T32" s="138"/>
      <c r="U32" s="138"/>
      <c r="V32" s="138"/>
      <c r="W32" s="138"/>
      <c r="X32" s="138"/>
      <c r="Y32" s="138"/>
      <c r="Z32" s="138"/>
      <c r="AA32" s="138"/>
      <c r="AB32" s="138"/>
      <c r="AC32" s="138"/>
      <c r="AD32" s="138"/>
      <c r="AE32" s="138"/>
      <c r="AF32" s="138"/>
      <c r="AG32" s="138"/>
      <c r="AH32" s="139"/>
      <c r="AI32" s="138"/>
    </row>
    <row r="33" spans="1:35" ht="15" customHeight="1" x14ac:dyDescent="0.25">
      <c r="A33" s="138"/>
      <c r="B33" s="138"/>
      <c r="C33" s="138"/>
      <c r="D33" s="138"/>
      <c r="E33" s="138"/>
      <c r="F33" s="138"/>
      <c r="G33" s="138"/>
      <c r="H33" s="138"/>
      <c r="I33" s="138"/>
      <c r="J33" s="138"/>
      <c r="K33" s="138"/>
      <c r="L33" s="138"/>
      <c r="M33" s="138"/>
      <c r="N33" s="138"/>
      <c r="O33" s="138"/>
      <c r="P33" s="138"/>
      <c r="Q33" s="138"/>
      <c r="R33" s="138"/>
      <c r="S33" s="138"/>
      <c r="T33" s="138"/>
      <c r="U33" s="138"/>
      <c r="V33" s="138"/>
      <c r="W33" s="138"/>
      <c r="X33" s="138"/>
      <c r="Y33" s="138"/>
      <c r="Z33" s="138"/>
      <c r="AA33" s="138"/>
      <c r="AB33" s="138"/>
      <c r="AC33" s="138"/>
      <c r="AD33" s="138"/>
      <c r="AE33" s="138"/>
      <c r="AF33" s="138"/>
      <c r="AG33" s="138"/>
      <c r="AH33" s="139"/>
      <c r="AI33" s="138"/>
    </row>
    <row r="34" spans="1:35" ht="15" customHeight="1" x14ac:dyDescent="0.25">
      <c r="A34" s="138"/>
      <c r="B34" s="138"/>
      <c r="C34" s="138"/>
      <c r="D34" s="138"/>
      <c r="E34" s="138"/>
      <c r="F34" s="138"/>
      <c r="G34" s="138"/>
      <c r="H34" s="138"/>
      <c r="I34" s="138"/>
      <c r="J34" s="138"/>
      <c r="K34" s="138"/>
      <c r="L34" s="138"/>
      <c r="M34" s="138"/>
      <c r="N34" s="138"/>
      <c r="O34" s="138"/>
      <c r="P34" s="138"/>
      <c r="Q34" s="138"/>
      <c r="R34" s="138"/>
      <c r="S34" s="138"/>
      <c r="T34" s="138"/>
      <c r="U34" s="138"/>
      <c r="V34" s="138"/>
      <c r="W34" s="138"/>
      <c r="X34" s="138"/>
      <c r="Y34" s="138"/>
      <c r="Z34" s="138"/>
      <c r="AA34" s="138"/>
      <c r="AB34" s="138"/>
      <c r="AC34" s="138"/>
      <c r="AD34" s="138"/>
      <c r="AE34" s="138"/>
      <c r="AF34" s="138"/>
      <c r="AG34" s="138"/>
      <c r="AH34" s="139"/>
      <c r="AI34" s="138"/>
    </row>
    <row r="35" spans="1:35" ht="15" customHeight="1" x14ac:dyDescent="0.25">
      <c r="A35" s="138"/>
      <c r="B35" s="138"/>
      <c r="C35" s="138"/>
      <c r="D35" s="138"/>
      <c r="E35" s="138"/>
      <c r="F35" s="138"/>
      <c r="G35" s="138"/>
      <c r="H35" s="138"/>
      <c r="I35" s="138"/>
      <c r="J35" s="138"/>
      <c r="K35" s="138"/>
      <c r="L35" s="138"/>
      <c r="M35" s="138"/>
      <c r="N35" s="138"/>
      <c r="O35" s="138"/>
      <c r="P35" s="138"/>
      <c r="Q35" s="138"/>
      <c r="R35" s="138"/>
      <c r="S35" s="138"/>
      <c r="T35" s="138"/>
      <c r="U35" s="138"/>
      <c r="V35" s="138"/>
      <c r="W35" s="138"/>
      <c r="X35" s="138"/>
      <c r="Y35" s="138"/>
      <c r="Z35" s="138"/>
      <c r="AA35" s="138"/>
      <c r="AB35" s="138"/>
      <c r="AC35" s="138"/>
      <c r="AD35" s="138"/>
      <c r="AE35" s="138"/>
      <c r="AF35" s="138"/>
      <c r="AG35" s="138"/>
      <c r="AH35" s="139"/>
      <c r="AI35" s="138"/>
    </row>
    <row r="36" spans="1:35" ht="15.75" customHeight="1" x14ac:dyDescent="0.25">
      <c r="A36" s="138"/>
      <c r="B36" s="138"/>
      <c r="C36" s="138"/>
      <c r="D36" s="138"/>
      <c r="E36" s="138"/>
      <c r="F36" s="138"/>
      <c r="G36" s="138"/>
      <c r="H36" s="138"/>
      <c r="I36" s="138"/>
      <c r="J36" s="138"/>
      <c r="K36" s="138"/>
      <c r="L36" s="138"/>
      <c r="M36" s="138"/>
      <c r="N36" s="138"/>
      <c r="O36" s="138"/>
      <c r="P36" s="138"/>
      <c r="Q36" s="138"/>
      <c r="R36" s="138"/>
      <c r="S36" s="138"/>
      <c r="T36" s="138"/>
      <c r="U36" s="138"/>
      <c r="V36" s="138"/>
      <c r="W36" s="138"/>
      <c r="X36" s="138"/>
      <c r="Y36" s="138"/>
      <c r="Z36" s="138"/>
      <c r="AA36" s="138"/>
      <c r="AB36" s="138"/>
      <c r="AC36" s="138"/>
      <c r="AD36" s="138"/>
      <c r="AE36" s="138"/>
      <c r="AF36" s="138"/>
      <c r="AG36" s="138"/>
      <c r="AH36" s="139"/>
      <c r="AI36" s="138"/>
    </row>
    <row r="37" spans="1:35" ht="10.5" customHeight="1" x14ac:dyDescent="0.25">
      <c r="A37" s="138"/>
      <c r="B37" s="138"/>
      <c r="C37" s="138"/>
      <c r="D37" s="138"/>
      <c r="E37" s="138"/>
      <c r="F37" s="138"/>
      <c r="G37" s="138"/>
      <c r="H37" s="138"/>
      <c r="I37" s="138"/>
      <c r="J37" s="138"/>
      <c r="K37" s="138"/>
      <c r="L37" s="138"/>
      <c r="M37" s="138"/>
      <c r="N37" s="138"/>
      <c r="O37" s="138"/>
      <c r="P37" s="138"/>
      <c r="Q37" s="138"/>
      <c r="R37" s="138"/>
      <c r="S37" s="138"/>
      <c r="T37" s="138"/>
      <c r="U37" s="138"/>
      <c r="V37" s="138"/>
      <c r="W37" s="138"/>
      <c r="X37" s="138"/>
      <c r="Y37" s="138"/>
      <c r="Z37" s="138"/>
      <c r="AA37" s="138"/>
      <c r="AB37" s="138"/>
      <c r="AC37" s="138"/>
      <c r="AD37" s="138"/>
      <c r="AE37" s="138"/>
      <c r="AF37" s="138"/>
      <c r="AG37" s="138"/>
      <c r="AH37" s="139"/>
      <c r="AI37" s="138"/>
    </row>
    <row r="38" spans="1:35" x14ac:dyDescent="0.25">
      <c r="A38" s="138"/>
      <c r="B38" s="138"/>
      <c r="C38" s="138"/>
      <c r="D38" s="138"/>
      <c r="E38" s="138"/>
      <c r="F38" s="138"/>
      <c r="G38" s="138"/>
      <c r="H38" s="138"/>
      <c r="I38" s="138"/>
      <c r="J38" s="138"/>
      <c r="K38" s="138"/>
      <c r="L38" s="138"/>
      <c r="M38" s="138"/>
      <c r="N38" s="138"/>
      <c r="O38" s="138"/>
      <c r="P38" s="138"/>
      <c r="Q38" s="138"/>
      <c r="R38" s="138"/>
      <c r="S38" s="138"/>
      <c r="T38" s="138"/>
      <c r="U38" s="138"/>
      <c r="V38" s="138"/>
      <c r="W38" s="138"/>
      <c r="X38" s="138"/>
      <c r="Y38" s="138"/>
      <c r="Z38" s="138"/>
      <c r="AA38" s="138"/>
      <c r="AB38" s="138"/>
      <c r="AC38" s="138"/>
      <c r="AD38" s="138"/>
      <c r="AE38" s="138"/>
      <c r="AF38" s="138"/>
      <c r="AG38" s="138"/>
      <c r="AH38" s="139"/>
      <c r="AI38" s="138"/>
    </row>
    <row r="39" spans="1:35" x14ac:dyDescent="0.25">
      <c r="A39" s="138"/>
      <c r="B39" s="138"/>
      <c r="C39" s="138"/>
      <c r="D39" s="138"/>
      <c r="E39" s="138"/>
      <c r="F39" s="138"/>
      <c r="G39" s="138"/>
      <c r="H39" s="138"/>
      <c r="I39" s="138"/>
      <c r="J39" s="138"/>
      <c r="K39" s="138"/>
      <c r="L39" s="138"/>
      <c r="M39" s="138"/>
      <c r="N39" s="138"/>
      <c r="O39" s="138"/>
      <c r="P39" s="138"/>
      <c r="Q39" s="138"/>
      <c r="R39" s="138"/>
      <c r="S39" s="138"/>
      <c r="T39" s="138"/>
      <c r="U39" s="138"/>
      <c r="V39" s="138"/>
      <c r="W39" s="138"/>
      <c r="X39" s="138"/>
      <c r="Y39" s="138"/>
      <c r="Z39" s="138"/>
      <c r="AA39" s="138"/>
      <c r="AB39" s="138"/>
      <c r="AC39" s="138"/>
      <c r="AD39" s="138"/>
      <c r="AE39" s="138"/>
      <c r="AF39" s="138"/>
      <c r="AG39" s="138"/>
      <c r="AH39" s="138"/>
      <c r="AI39" s="138"/>
    </row>
    <row r="40" spans="1:35" x14ac:dyDescent="0.25">
      <c r="A40" s="138"/>
      <c r="B40" s="138"/>
      <c r="C40" s="138"/>
      <c r="D40" s="138"/>
      <c r="E40" s="138"/>
      <c r="F40" s="138"/>
      <c r="G40" s="138"/>
      <c r="H40" s="138"/>
      <c r="I40" s="138"/>
      <c r="J40" s="138"/>
      <c r="K40" s="138"/>
      <c r="L40" s="138"/>
      <c r="M40" s="138"/>
      <c r="N40" s="138"/>
      <c r="O40" s="138"/>
      <c r="P40" s="138"/>
      <c r="Q40" s="138"/>
      <c r="R40" s="138"/>
      <c r="S40" s="138"/>
      <c r="T40" s="138"/>
      <c r="U40" s="138"/>
      <c r="V40" s="138"/>
      <c r="W40" s="138"/>
      <c r="X40" s="138"/>
      <c r="Y40" s="138"/>
      <c r="Z40" s="138"/>
      <c r="AA40" s="138"/>
      <c r="AB40" s="138"/>
      <c r="AC40" s="138"/>
      <c r="AD40" s="138"/>
      <c r="AE40" s="138"/>
      <c r="AF40" s="138"/>
      <c r="AG40" s="138"/>
      <c r="AH40" s="138"/>
      <c r="AI40" s="138"/>
    </row>
    <row r="41" spans="1:35" x14ac:dyDescent="0.25">
      <c r="A41" s="138"/>
      <c r="B41" s="138"/>
      <c r="C41" s="138"/>
      <c r="D41" s="138"/>
      <c r="E41" s="138"/>
      <c r="F41" s="138"/>
      <c r="G41" s="138"/>
      <c r="H41" s="138"/>
      <c r="I41" s="138"/>
      <c r="J41" s="138"/>
      <c r="K41" s="138"/>
      <c r="L41" s="138"/>
      <c r="M41" s="138"/>
      <c r="N41" s="138"/>
      <c r="O41" s="138"/>
      <c r="P41" s="138"/>
      <c r="Q41" s="138"/>
      <c r="R41" s="138"/>
      <c r="S41" s="138"/>
      <c r="T41" s="138"/>
      <c r="U41" s="138"/>
      <c r="V41" s="138"/>
      <c r="W41" s="138"/>
      <c r="X41" s="138"/>
      <c r="Y41" s="138"/>
      <c r="Z41" s="138"/>
      <c r="AA41" s="138"/>
      <c r="AB41" s="138"/>
      <c r="AC41" s="138"/>
      <c r="AD41" s="138"/>
      <c r="AE41" s="138"/>
      <c r="AF41" s="138"/>
      <c r="AG41" s="138"/>
      <c r="AH41" s="138"/>
      <c r="AI41" s="138"/>
    </row>
    <row r="42" spans="1:35" x14ac:dyDescent="0.25">
      <c r="A42" s="138"/>
      <c r="B42" s="138"/>
      <c r="C42" s="138"/>
      <c r="D42" s="138"/>
      <c r="E42" s="138"/>
      <c r="F42" s="138"/>
      <c r="G42" s="138"/>
      <c r="H42" s="138"/>
      <c r="I42" s="138"/>
      <c r="J42" s="138"/>
      <c r="K42" s="138"/>
      <c r="L42" s="138"/>
      <c r="M42" s="138"/>
      <c r="N42" s="138"/>
      <c r="O42" s="138"/>
      <c r="P42" s="138"/>
      <c r="Q42" s="138"/>
      <c r="R42" s="138"/>
      <c r="S42" s="138"/>
      <c r="T42" s="138"/>
      <c r="U42" s="138"/>
      <c r="V42" s="138"/>
      <c r="W42" s="138"/>
      <c r="X42" s="138"/>
      <c r="Y42" s="138"/>
      <c r="Z42" s="138"/>
      <c r="AA42" s="138"/>
      <c r="AB42" s="138"/>
      <c r="AC42" s="138"/>
      <c r="AD42" s="138"/>
      <c r="AE42" s="138"/>
      <c r="AF42" s="138"/>
      <c r="AG42" s="138"/>
      <c r="AH42" s="138"/>
      <c r="AI42" s="138"/>
    </row>
    <row r="43" spans="1:35" x14ac:dyDescent="0.25">
      <c r="A43" s="138"/>
      <c r="B43" s="138"/>
      <c r="C43" s="138"/>
      <c r="D43" s="138"/>
      <c r="E43" s="138"/>
      <c r="F43" s="138"/>
      <c r="G43" s="138"/>
      <c r="H43" s="138"/>
      <c r="I43" s="138"/>
      <c r="J43" s="138"/>
      <c r="K43" s="138"/>
      <c r="L43" s="138"/>
      <c r="M43" s="138"/>
      <c r="N43" s="138"/>
      <c r="O43" s="138"/>
      <c r="P43" s="138"/>
      <c r="Q43" s="138"/>
      <c r="R43" s="138"/>
      <c r="S43" s="138"/>
      <c r="T43" s="138"/>
      <c r="U43" s="138"/>
      <c r="V43" s="138"/>
      <c r="W43" s="138"/>
      <c r="X43" s="138"/>
      <c r="Y43" s="138"/>
      <c r="Z43" s="138"/>
      <c r="AA43" s="138"/>
      <c r="AB43" s="138"/>
      <c r="AC43" s="138"/>
      <c r="AD43" s="138"/>
      <c r="AE43" s="138"/>
      <c r="AF43" s="138"/>
      <c r="AG43" s="138"/>
      <c r="AH43" s="138"/>
      <c r="AI43" s="138"/>
    </row>
    <row r="44" spans="1:35" x14ac:dyDescent="0.25">
      <c r="A44" s="138"/>
      <c r="B44" s="138"/>
      <c r="C44" s="138"/>
      <c r="D44" s="138"/>
      <c r="E44" s="138"/>
      <c r="F44" s="138"/>
      <c r="G44" s="138"/>
      <c r="H44" s="138"/>
      <c r="I44" s="138"/>
      <c r="J44" s="138"/>
      <c r="K44" s="138"/>
      <c r="L44" s="138"/>
      <c r="M44" s="138"/>
      <c r="N44" s="138"/>
      <c r="O44" s="138"/>
      <c r="P44" s="138"/>
      <c r="Q44" s="138"/>
      <c r="R44" s="138"/>
      <c r="S44" s="138"/>
      <c r="T44" s="138"/>
      <c r="U44" s="138"/>
      <c r="V44" s="138"/>
      <c r="W44" s="138"/>
      <c r="X44" s="138"/>
      <c r="Y44" s="138"/>
      <c r="Z44" s="138"/>
      <c r="AA44" s="138"/>
      <c r="AB44" s="138"/>
      <c r="AC44" s="138"/>
      <c r="AD44" s="138"/>
      <c r="AE44" s="138"/>
      <c r="AF44" s="138"/>
      <c r="AG44" s="138"/>
      <c r="AH44" s="138"/>
      <c r="AI44" s="138"/>
    </row>
    <row r="45" spans="1:35" x14ac:dyDescent="0.25">
      <c r="A45" s="138"/>
      <c r="B45" s="138"/>
      <c r="C45" s="138"/>
      <c r="D45" s="138"/>
      <c r="E45" s="138"/>
      <c r="F45" s="138"/>
      <c r="G45" s="138"/>
      <c r="H45" s="138"/>
      <c r="I45" s="138"/>
      <c r="J45" s="138"/>
      <c r="K45" s="138"/>
      <c r="L45" s="138"/>
      <c r="M45" s="138"/>
      <c r="N45" s="138"/>
      <c r="O45" s="138"/>
      <c r="P45" s="138"/>
      <c r="Q45" s="138"/>
      <c r="R45" s="138"/>
      <c r="S45" s="138"/>
      <c r="T45" s="138"/>
      <c r="U45" s="138"/>
      <c r="V45" s="138"/>
      <c r="W45" s="138"/>
      <c r="X45" s="138"/>
      <c r="Y45" s="138"/>
      <c r="Z45" s="138"/>
      <c r="AA45" s="138"/>
      <c r="AB45" s="138"/>
      <c r="AC45" s="138"/>
      <c r="AD45" s="138"/>
      <c r="AE45" s="138"/>
      <c r="AF45" s="138"/>
      <c r="AG45" s="138"/>
      <c r="AH45" s="138"/>
      <c r="AI45" s="138"/>
    </row>
    <row r="46" spans="1:35" x14ac:dyDescent="0.25">
      <c r="A46" s="138"/>
      <c r="B46" s="138"/>
      <c r="C46" s="138"/>
      <c r="D46" s="138"/>
      <c r="E46" s="138"/>
      <c r="F46" s="138"/>
      <c r="G46" s="138"/>
      <c r="H46" s="138"/>
      <c r="I46" s="138"/>
      <c r="J46" s="138"/>
      <c r="K46" s="138"/>
      <c r="L46" s="138"/>
      <c r="M46" s="138"/>
      <c r="N46" s="138"/>
      <c r="O46" s="138"/>
      <c r="P46" s="138"/>
      <c r="Q46" s="138"/>
      <c r="R46" s="138"/>
      <c r="S46" s="138"/>
      <c r="T46" s="138"/>
      <c r="U46" s="138"/>
      <c r="V46" s="138"/>
      <c r="W46" s="138"/>
      <c r="X46" s="138"/>
      <c r="Y46" s="138"/>
      <c r="Z46" s="138"/>
      <c r="AA46" s="138"/>
      <c r="AB46" s="138"/>
      <c r="AC46" s="138"/>
      <c r="AD46" s="138"/>
      <c r="AE46" s="138"/>
      <c r="AF46" s="138"/>
      <c r="AG46" s="138"/>
      <c r="AH46" s="138"/>
      <c r="AI46" s="138"/>
    </row>
    <row r="47" spans="1:35" x14ac:dyDescent="0.25">
      <c r="A47" s="138"/>
      <c r="B47" s="138"/>
      <c r="C47" s="138"/>
      <c r="D47" s="138"/>
      <c r="E47" s="138"/>
      <c r="F47" s="138"/>
      <c r="G47" s="138"/>
      <c r="H47" s="138"/>
      <c r="I47" s="138"/>
      <c r="J47" s="138"/>
      <c r="K47" s="138"/>
      <c r="L47" s="138"/>
      <c r="M47" s="138"/>
      <c r="N47" s="138"/>
      <c r="O47" s="138"/>
      <c r="P47" s="138"/>
      <c r="Q47" s="138"/>
      <c r="R47" s="138"/>
      <c r="S47" s="138"/>
      <c r="T47" s="138"/>
      <c r="U47" s="138"/>
      <c r="V47" s="138"/>
      <c r="W47" s="138"/>
      <c r="X47" s="138"/>
      <c r="Y47" s="138"/>
      <c r="Z47" s="138"/>
      <c r="AA47" s="138"/>
      <c r="AB47" s="138"/>
      <c r="AC47" s="138"/>
      <c r="AD47" s="138"/>
      <c r="AE47" s="138"/>
      <c r="AF47" s="138"/>
      <c r="AG47" s="138"/>
      <c r="AH47" s="138"/>
      <c r="AI47" s="138"/>
    </row>
    <row r="48" spans="1:35" x14ac:dyDescent="0.25">
      <c r="A48" s="138"/>
      <c r="B48" s="138"/>
      <c r="C48" s="138"/>
      <c r="D48" s="138"/>
      <c r="E48" s="138"/>
      <c r="F48" s="138"/>
      <c r="G48" s="138"/>
      <c r="H48" s="138"/>
      <c r="I48" s="138"/>
      <c r="J48" s="138"/>
      <c r="K48" s="138"/>
      <c r="L48" s="138"/>
      <c r="M48" s="138"/>
      <c r="N48" s="138"/>
      <c r="O48" s="138"/>
      <c r="P48" s="138"/>
      <c r="Q48" s="138"/>
      <c r="R48" s="138"/>
      <c r="S48" s="138"/>
      <c r="T48" s="138"/>
      <c r="U48" s="138"/>
      <c r="V48" s="138"/>
      <c r="W48" s="138"/>
      <c r="X48" s="138"/>
      <c r="Y48" s="138"/>
      <c r="Z48" s="138"/>
      <c r="AA48" s="138"/>
      <c r="AB48" s="138"/>
      <c r="AC48" s="138"/>
      <c r="AD48" s="138"/>
      <c r="AE48" s="138"/>
      <c r="AF48" s="138"/>
      <c r="AG48" s="138"/>
      <c r="AH48" s="138"/>
      <c r="AI48" s="138"/>
    </row>
    <row r="49" spans="1:35" x14ac:dyDescent="0.25">
      <c r="A49" s="138"/>
      <c r="B49" s="138"/>
      <c r="C49" s="138"/>
      <c r="D49" s="138"/>
      <c r="E49" s="138"/>
      <c r="F49" s="138"/>
      <c r="G49" s="138"/>
      <c r="H49" s="138"/>
      <c r="I49" s="138"/>
      <c r="J49" s="138"/>
      <c r="K49" s="138"/>
      <c r="L49" s="138"/>
      <c r="M49" s="138"/>
      <c r="N49" s="138"/>
      <c r="O49" s="138"/>
      <c r="P49" s="138"/>
      <c r="Q49" s="138"/>
      <c r="R49" s="138"/>
      <c r="S49" s="138"/>
      <c r="T49" s="138"/>
      <c r="U49" s="138"/>
      <c r="V49" s="138"/>
      <c r="W49" s="138"/>
      <c r="X49" s="138"/>
      <c r="Y49" s="138"/>
      <c r="Z49" s="138"/>
      <c r="AA49" s="138"/>
      <c r="AB49" s="138"/>
      <c r="AC49" s="138"/>
      <c r="AD49" s="138"/>
      <c r="AE49" s="138"/>
      <c r="AF49" s="138"/>
      <c r="AG49" s="138"/>
      <c r="AH49" s="138"/>
      <c r="AI49" s="138"/>
    </row>
    <row r="50" spans="1:35" x14ac:dyDescent="0.25">
      <c r="A50" s="138"/>
      <c r="B50" s="138"/>
      <c r="C50" s="138"/>
      <c r="D50" s="138"/>
      <c r="E50" s="138"/>
      <c r="F50" s="138"/>
      <c r="G50" s="138"/>
      <c r="H50" s="138"/>
      <c r="I50" s="138"/>
      <c r="J50" s="138"/>
      <c r="K50" s="138"/>
      <c r="L50" s="138"/>
      <c r="M50" s="138"/>
      <c r="N50" s="138"/>
      <c r="O50" s="138"/>
      <c r="P50" s="138"/>
      <c r="Q50" s="138"/>
      <c r="R50" s="138"/>
      <c r="S50" s="138"/>
      <c r="T50" s="138"/>
      <c r="U50" s="138"/>
      <c r="V50" s="138"/>
      <c r="W50" s="138"/>
      <c r="X50" s="138"/>
      <c r="Y50" s="138"/>
      <c r="Z50" s="138"/>
      <c r="AA50" s="138"/>
      <c r="AB50" s="138"/>
      <c r="AC50" s="138"/>
      <c r="AD50" s="138"/>
      <c r="AE50" s="138"/>
      <c r="AF50" s="138"/>
      <c r="AG50" s="138"/>
      <c r="AH50" s="138"/>
      <c r="AI50" s="138"/>
    </row>
    <row r="51" spans="1:35" x14ac:dyDescent="0.25">
      <c r="A51" s="138"/>
      <c r="B51" s="138"/>
      <c r="C51" s="138"/>
      <c r="D51" s="138"/>
      <c r="E51" s="138"/>
      <c r="F51" s="138"/>
      <c r="G51" s="138"/>
      <c r="H51" s="138"/>
      <c r="I51" s="138"/>
      <c r="J51" s="138"/>
      <c r="K51" s="138"/>
      <c r="L51" s="138"/>
      <c r="M51" s="138"/>
      <c r="N51" s="138"/>
      <c r="O51" s="138"/>
      <c r="P51" s="138"/>
      <c r="Q51" s="138"/>
      <c r="R51" s="138"/>
      <c r="S51" s="138"/>
      <c r="T51" s="138"/>
      <c r="U51" s="138"/>
      <c r="V51" s="138"/>
      <c r="W51" s="138"/>
      <c r="X51" s="138"/>
      <c r="Y51" s="138"/>
      <c r="Z51" s="138"/>
      <c r="AA51" s="138"/>
      <c r="AB51" s="138"/>
      <c r="AC51" s="138"/>
      <c r="AD51" s="138"/>
      <c r="AE51" s="138"/>
      <c r="AF51" s="138"/>
      <c r="AG51" s="138"/>
      <c r="AH51" s="138"/>
      <c r="AI51" s="138"/>
    </row>
    <row r="52" spans="1:35" x14ac:dyDescent="0.25">
      <c r="A52" s="138"/>
      <c r="B52" s="138"/>
      <c r="C52" s="138"/>
      <c r="D52" s="138"/>
      <c r="E52" s="138"/>
      <c r="F52" s="138"/>
      <c r="G52" s="138"/>
      <c r="H52" s="138"/>
      <c r="I52" s="138"/>
      <c r="J52" s="138"/>
      <c r="K52" s="138"/>
      <c r="L52" s="138"/>
      <c r="M52" s="138"/>
      <c r="N52" s="138"/>
      <c r="O52" s="138"/>
      <c r="P52" s="138"/>
      <c r="Q52" s="138"/>
      <c r="R52" s="138"/>
      <c r="S52" s="138"/>
      <c r="T52" s="138"/>
      <c r="U52" s="138"/>
      <c r="V52" s="138"/>
      <c r="W52" s="138"/>
      <c r="X52" s="138"/>
      <c r="Y52" s="138"/>
      <c r="Z52" s="138"/>
      <c r="AA52" s="138"/>
      <c r="AB52" s="138"/>
      <c r="AC52" s="138"/>
      <c r="AD52" s="138"/>
      <c r="AE52" s="138"/>
      <c r="AF52" s="138"/>
      <c r="AG52" s="138"/>
      <c r="AH52" s="138"/>
      <c r="AI52" s="138"/>
    </row>
    <row r="53" spans="1:35" x14ac:dyDescent="0.25">
      <c r="A53" s="138"/>
      <c r="B53" s="138"/>
      <c r="C53" s="138"/>
      <c r="D53" s="138"/>
      <c r="E53" s="138"/>
      <c r="F53" s="138"/>
      <c r="G53" s="138"/>
      <c r="H53" s="138"/>
      <c r="I53" s="138"/>
      <c r="J53" s="138"/>
      <c r="K53" s="138"/>
      <c r="L53" s="138"/>
      <c r="M53" s="138"/>
      <c r="N53" s="138"/>
      <c r="O53" s="138"/>
      <c r="P53" s="138"/>
      <c r="Q53" s="138"/>
      <c r="R53" s="138"/>
      <c r="S53" s="138"/>
      <c r="T53" s="138"/>
      <c r="U53" s="138"/>
      <c r="V53" s="138"/>
      <c r="W53" s="138"/>
      <c r="X53" s="138"/>
      <c r="Y53" s="138"/>
      <c r="Z53" s="138"/>
      <c r="AA53" s="138"/>
      <c r="AB53" s="138"/>
      <c r="AC53" s="138"/>
      <c r="AD53" s="138"/>
      <c r="AE53" s="138"/>
      <c r="AF53" s="138"/>
      <c r="AG53" s="138"/>
      <c r="AH53" s="138"/>
      <c r="AI53" s="138"/>
    </row>
    <row r="54" spans="1:35" x14ac:dyDescent="0.25">
      <c r="A54" s="138"/>
      <c r="B54" s="138"/>
      <c r="C54" s="138"/>
      <c r="D54" s="138"/>
      <c r="E54" s="138"/>
      <c r="F54" s="138"/>
      <c r="G54" s="138"/>
      <c r="H54" s="138"/>
      <c r="I54" s="138"/>
      <c r="J54" s="138"/>
      <c r="K54" s="138"/>
      <c r="L54" s="138"/>
      <c r="M54" s="138"/>
      <c r="N54" s="138"/>
      <c r="O54" s="138"/>
      <c r="P54" s="138"/>
      <c r="Q54" s="138"/>
      <c r="R54" s="138"/>
      <c r="S54" s="138"/>
      <c r="T54" s="138"/>
      <c r="U54" s="138"/>
      <c r="V54" s="138"/>
      <c r="W54" s="138"/>
      <c r="X54" s="138"/>
      <c r="Y54" s="138"/>
      <c r="Z54" s="138"/>
      <c r="AA54" s="138"/>
      <c r="AB54" s="138"/>
      <c r="AC54" s="138"/>
      <c r="AD54" s="138"/>
      <c r="AE54" s="138"/>
      <c r="AF54" s="138"/>
      <c r="AG54" s="138"/>
      <c r="AH54" s="138"/>
      <c r="AI54" s="138"/>
    </row>
    <row r="55" spans="1:35" x14ac:dyDescent="0.25">
      <c r="A55" s="138"/>
      <c r="B55" s="138"/>
      <c r="C55" s="138"/>
      <c r="D55" s="138"/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  <c r="AC55" s="138"/>
      <c r="AD55" s="138"/>
      <c r="AE55" s="138"/>
      <c r="AF55" s="138"/>
      <c r="AG55" s="138"/>
      <c r="AH55" s="138"/>
      <c r="AI55" s="138"/>
    </row>
    <row r="56" spans="1:35" x14ac:dyDescent="0.25">
      <c r="A56" s="138"/>
      <c r="B56" s="138"/>
      <c r="C56" s="138"/>
      <c r="D56" s="138"/>
      <c r="E56" s="138"/>
      <c r="F56" s="138"/>
      <c r="G56" s="138"/>
      <c r="H56" s="138"/>
      <c r="I56" s="138"/>
      <c r="J56" s="138"/>
      <c r="K56" s="138"/>
      <c r="L56" s="138"/>
      <c r="M56" s="138"/>
      <c r="N56" s="138"/>
      <c r="O56" s="138"/>
      <c r="P56" s="138"/>
      <c r="Q56" s="138"/>
      <c r="R56" s="138"/>
      <c r="S56" s="138"/>
      <c r="T56" s="138"/>
      <c r="U56" s="138"/>
      <c r="V56" s="138"/>
      <c r="W56" s="138"/>
      <c r="X56" s="138"/>
      <c r="Y56" s="138"/>
      <c r="Z56" s="138"/>
      <c r="AA56" s="138"/>
      <c r="AB56" s="138"/>
      <c r="AC56" s="138"/>
      <c r="AD56" s="138"/>
      <c r="AE56" s="138"/>
      <c r="AF56" s="138"/>
      <c r="AG56" s="138"/>
      <c r="AH56" s="138"/>
      <c r="AI56" s="138"/>
    </row>
    <row r="57" spans="1:35" x14ac:dyDescent="0.25">
      <c r="A57" s="138"/>
      <c r="B57" s="138"/>
      <c r="C57" s="138"/>
      <c r="D57" s="138"/>
      <c r="E57" s="138"/>
      <c r="F57" s="138"/>
      <c r="G57" s="138"/>
      <c r="H57" s="138"/>
      <c r="I57" s="138"/>
      <c r="J57" s="138"/>
      <c r="K57" s="138"/>
      <c r="L57" s="138"/>
      <c r="M57" s="138"/>
      <c r="N57" s="138"/>
      <c r="O57" s="138"/>
      <c r="P57" s="138"/>
      <c r="Q57" s="138"/>
      <c r="R57" s="138"/>
      <c r="S57" s="138"/>
      <c r="T57" s="138"/>
      <c r="U57" s="138"/>
      <c r="V57" s="138"/>
      <c r="W57" s="138"/>
      <c r="X57" s="138"/>
      <c r="Y57" s="138"/>
      <c r="Z57" s="138"/>
      <c r="AA57" s="138"/>
      <c r="AB57" s="138"/>
      <c r="AC57" s="138"/>
      <c r="AD57" s="138"/>
      <c r="AE57" s="138"/>
      <c r="AF57" s="138"/>
      <c r="AG57" s="138"/>
      <c r="AH57" s="138"/>
      <c r="AI57" s="138"/>
    </row>
    <row r="58" spans="1:35" x14ac:dyDescent="0.25">
      <c r="A58" s="138"/>
      <c r="B58" s="138"/>
      <c r="C58" s="138"/>
      <c r="D58" s="138"/>
      <c r="E58" s="138"/>
      <c r="F58" s="138"/>
      <c r="G58" s="138"/>
      <c r="H58" s="138"/>
      <c r="I58" s="138"/>
      <c r="J58" s="138"/>
      <c r="K58" s="138"/>
      <c r="L58" s="138"/>
      <c r="M58" s="138"/>
      <c r="N58" s="138"/>
      <c r="O58" s="138"/>
      <c r="P58" s="138"/>
      <c r="Q58" s="138"/>
      <c r="R58" s="138"/>
      <c r="S58" s="138"/>
      <c r="T58" s="138"/>
      <c r="U58" s="138"/>
      <c r="V58" s="138"/>
      <c r="W58" s="138"/>
      <c r="X58" s="138"/>
      <c r="Y58" s="138"/>
      <c r="Z58" s="138"/>
      <c r="AA58" s="138"/>
      <c r="AB58" s="138"/>
      <c r="AC58" s="138"/>
      <c r="AD58" s="138"/>
      <c r="AE58" s="138"/>
      <c r="AF58" s="138"/>
      <c r="AG58" s="138"/>
      <c r="AH58" s="138"/>
      <c r="AI58" s="138"/>
    </row>
    <row r="59" spans="1:35" x14ac:dyDescent="0.25">
      <c r="A59" s="138"/>
      <c r="B59" s="138"/>
      <c r="C59" s="138"/>
      <c r="D59" s="138"/>
      <c r="E59" s="138"/>
      <c r="F59" s="138"/>
      <c r="G59" s="138"/>
      <c r="H59" s="138"/>
      <c r="I59" s="138"/>
      <c r="J59" s="138"/>
      <c r="K59" s="138"/>
      <c r="L59" s="138"/>
      <c r="M59" s="138"/>
      <c r="N59" s="138"/>
      <c r="O59" s="138"/>
      <c r="P59" s="138"/>
      <c r="Q59" s="138"/>
      <c r="R59" s="138"/>
      <c r="S59" s="138"/>
      <c r="T59" s="138"/>
      <c r="U59" s="138"/>
      <c r="V59" s="138"/>
      <c r="W59" s="138"/>
      <c r="X59" s="138"/>
      <c r="Y59" s="138"/>
      <c r="Z59" s="138"/>
      <c r="AA59" s="138"/>
      <c r="AB59" s="138"/>
      <c r="AC59" s="138"/>
      <c r="AD59" s="138"/>
      <c r="AE59" s="138"/>
      <c r="AF59" s="138"/>
      <c r="AG59" s="138"/>
      <c r="AH59" s="138"/>
      <c r="AI59" s="138"/>
    </row>
    <row r="60" spans="1:35" x14ac:dyDescent="0.25">
      <c r="A60" s="138"/>
      <c r="B60" s="138"/>
      <c r="C60" s="138"/>
      <c r="D60" s="138"/>
      <c r="E60" s="138"/>
      <c r="F60" s="138"/>
      <c r="G60" s="138"/>
      <c r="H60" s="138"/>
      <c r="I60" s="138"/>
      <c r="J60" s="138"/>
      <c r="K60" s="138"/>
      <c r="L60" s="138"/>
      <c r="M60" s="138"/>
      <c r="N60" s="138"/>
      <c r="O60" s="138"/>
      <c r="P60" s="138"/>
      <c r="Q60" s="138"/>
      <c r="R60" s="138"/>
      <c r="S60" s="138"/>
      <c r="T60" s="138"/>
      <c r="U60" s="138"/>
      <c r="V60" s="138"/>
      <c r="W60" s="138"/>
      <c r="X60" s="138"/>
      <c r="Y60" s="138"/>
      <c r="Z60" s="138"/>
      <c r="AA60" s="138"/>
      <c r="AB60" s="138"/>
      <c r="AC60" s="138"/>
      <c r="AD60" s="138"/>
      <c r="AE60" s="138"/>
      <c r="AF60" s="138"/>
      <c r="AG60" s="138"/>
      <c r="AH60" s="138"/>
      <c r="AI60" s="138"/>
    </row>
    <row r="61" spans="1:35" x14ac:dyDescent="0.25">
      <c r="A61" s="138"/>
      <c r="B61" s="138"/>
      <c r="C61" s="138"/>
      <c r="D61" s="138"/>
      <c r="E61" s="138"/>
      <c r="F61" s="138"/>
      <c r="G61" s="138"/>
      <c r="H61" s="138"/>
      <c r="I61" s="138"/>
      <c r="J61" s="138"/>
      <c r="K61" s="138"/>
      <c r="L61" s="138"/>
      <c r="M61" s="138"/>
      <c r="N61" s="138"/>
      <c r="O61" s="138"/>
      <c r="P61" s="138"/>
      <c r="Q61" s="138"/>
      <c r="R61" s="138"/>
      <c r="S61" s="138"/>
      <c r="T61" s="138"/>
      <c r="U61" s="138"/>
      <c r="V61" s="138"/>
      <c r="W61" s="138"/>
      <c r="X61" s="138"/>
      <c r="Y61" s="138"/>
      <c r="Z61" s="138"/>
      <c r="AA61" s="138"/>
      <c r="AB61" s="138"/>
      <c r="AC61" s="138"/>
      <c r="AD61" s="138"/>
      <c r="AE61" s="138"/>
      <c r="AF61" s="138"/>
      <c r="AG61" s="138"/>
      <c r="AH61" s="138"/>
      <c r="AI61" s="138"/>
    </row>
    <row r="62" spans="1:35" x14ac:dyDescent="0.25">
      <c r="A62" s="138"/>
      <c r="B62" s="138"/>
      <c r="C62" s="138"/>
      <c r="D62" s="138"/>
      <c r="E62" s="138"/>
      <c r="F62" s="138"/>
      <c r="G62" s="138"/>
      <c r="H62" s="138"/>
      <c r="I62" s="138"/>
      <c r="J62" s="138"/>
      <c r="K62" s="138"/>
      <c r="L62" s="138"/>
      <c r="M62" s="138"/>
      <c r="N62" s="138"/>
      <c r="O62" s="138"/>
      <c r="P62" s="138"/>
      <c r="Q62" s="138"/>
      <c r="R62" s="138"/>
      <c r="S62" s="138"/>
      <c r="T62" s="138"/>
      <c r="U62" s="138"/>
      <c r="V62" s="138"/>
      <c r="W62" s="138"/>
      <c r="X62" s="138"/>
      <c r="Y62" s="138"/>
      <c r="Z62" s="138"/>
      <c r="AA62" s="138"/>
      <c r="AB62" s="138"/>
      <c r="AC62" s="138"/>
      <c r="AD62" s="138"/>
      <c r="AE62" s="138"/>
      <c r="AF62" s="138"/>
      <c r="AG62" s="138"/>
      <c r="AH62" s="138"/>
      <c r="AI62" s="138"/>
    </row>
    <row r="63" spans="1:35" x14ac:dyDescent="0.25">
      <c r="A63" s="138"/>
      <c r="B63" s="138"/>
      <c r="C63" s="138"/>
      <c r="D63" s="138"/>
      <c r="E63" s="138"/>
      <c r="F63" s="138"/>
      <c r="G63" s="138"/>
      <c r="H63" s="138"/>
      <c r="I63" s="138"/>
      <c r="J63" s="138"/>
      <c r="K63" s="138"/>
      <c r="L63" s="138"/>
      <c r="M63" s="138"/>
      <c r="N63" s="138"/>
      <c r="O63" s="138"/>
      <c r="P63" s="138"/>
      <c r="Q63" s="138"/>
      <c r="R63" s="138"/>
      <c r="S63" s="138"/>
      <c r="T63" s="138"/>
      <c r="U63" s="138"/>
      <c r="V63" s="138"/>
      <c r="W63" s="138"/>
      <c r="X63" s="138"/>
      <c r="Y63" s="138"/>
      <c r="Z63" s="138"/>
      <c r="AA63" s="138"/>
      <c r="AB63" s="138"/>
      <c r="AC63" s="138"/>
      <c r="AD63" s="138"/>
      <c r="AE63" s="138"/>
      <c r="AF63" s="138"/>
      <c r="AG63" s="138"/>
      <c r="AH63" s="138"/>
      <c r="AI63" s="138"/>
    </row>
    <row r="64" spans="1:35" x14ac:dyDescent="0.25">
      <c r="A64" s="138"/>
      <c r="B64" s="138"/>
      <c r="C64" s="138"/>
      <c r="D64" s="138"/>
      <c r="E64" s="138"/>
      <c r="F64" s="138"/>
      <c r="G64" s="138"/>
      <c r="H64" s="138"/>
      <c r="I64" s="138"/>
      <c r="J64" s="138"/>
      <c r="K64" s="138"/>
      <c r="L64" s="138"/>
      <c r="M64" s="138"/>
      <c r="N64" s="138"/>
      <c r="O64" s="138"/>
      <c r="P64" s="138"/>
      <c r="Q64" s="138"/>
      <c r="R64" s="138"/>
      <c r="S64" s="138"/>
      <c r="T64" s="138"/>
      <c r="U64" s="138"/>
      <c r="V64" s="138"/>
      <c r="W64" s="138"/>
      <c r="X64" s="138"/>
      <c r="Y64" s="138"/>
      <c r="Z64" s="138"/>
      <c r="AA64" s="138"/>
      <c r="AB64" s="138"/>
      <c r="AC64" s="138"/>
      <c r="AD64" s="138"/>
      <c r="AE64" s="138"/>
      <c r="AF64" s="138"/>
      <c r="AG64" s="138"/>
      <c r="AH64" s="138"/>
      <c r="AI64" s="138"/>
    </row>
  </sheetData>
  <pageMargins left="0.7" right="0.7" top="0.75" bottom="0.75" header="0.3" footer="0.3"/>
  <pageSetup paperSize="9" orientation="portrait" r:id="rId1"/>
  <drawing r:id="rId2"/>
  <extLst>
    <ext xmlns:x15="http://schemas.microsoft.com/office/spreadsheetml/2010/11/main" uri="{7E03D99C-DC04-49d9-9315-930204A7B6E9}">
      <x15:timelineRefs>
        <x15:timelineRef r:id="rId3"/>
      </x15:timelineRef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8</vt:i4>
      </vt:variant>
    </vt:vector>
  </HeadingPairs>
  <TitlesOfParts>
    <vt:vector size="8" baseType="lpstr">
      <vt:lpstr>Dashboard</vt:lpstr>
      <vt:lpstr>Produits</vt:lpstr>
      <vt:lpstr>Entrées_stock</vt:lpstr>
      <vt:lpstr>ventes</vt:lpstr>
      <vt:lpstr>sorties</vt:lpstr>
      <vt:lpstr>Mouvements</vt:lpstr>
      <vt:lpstr>Data_Dashboard</vt:lpstr>
      <vt:lpstr>Marge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CISSE GSM</dc:creator>
  <cp:lastModifiedBy>CISSE GSM</cp:lastModifiedBy>
  <dcterms:created xsi:type="dcterms:W3CDTF">2026-02-18T17:20:12Z</dcterms:created>
  <dcterms:modified xsi:type="dcterms:W3CDTF">2026-08-30T10:22:49Z</dcterms:modified>
</cp:coreProperties>
</file>